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37a823de2dc6ab65/Dokumenty/FOKUS/3_Vnitřní management/zdravotnictví/"/>
    </mc:Choice>
  </mc:AlternateContent>
  <xr:revisionPtr revIDLastSave="0" documentId="8_{AC89C871-1AC7-495F-9601-3F590489F855}" xr6:coauthVersionLast="47" xr6:coauthVersionMax="47" xr10:uidLastSave="{00000000-0000-0000-0000-000000000000}"/>
  <bookViews>
    <workbookView xWindow="-98" yWindow="-98" windowWidth="19396" windowHeight="11475" firstSheet="17" activeTab="16" xr2:uid="{00000000-000D-0000-FFFF-FFFF00000000}"/>
  </bookViews>
  <sheets>
    <sheet name="měsíc vzorový 2025" sheetId="1" state="hidden" r:id="rId1"/>
    <sheet name="leden 2025" sheetId="2" state="hidden" r:id="rId2"/>
    <sheet name="únor 2025" sheetId="3" state="hidden" r:id="rId3"/>
    <sheet name="březen 2025" sheetId="6" state="hidden" r:id="rId4"/>
    <sheet name="duben 2025" sheetId="9" state="hidden" r:id="rId5"/>
    <sheet name="květen 2025" sheetId="10" state="hidden" r:id="rId6"/>
    <sheet name="červen 2025" sheetId="11" state="hidden" r:id="rId7"/>
    <sheet name="červenec 2025" sheetId="12" state="hidden" r:id="rId8"/>
    <sheet name="srpen 2025" sheetId="13" state="hidden" r:id="rId9"/>
    <sheet name="září 2025" sheetId="14" state="hidden" r:id="rId10"/>
    <sheet name="říjen 2025" sheetId="15" state="hidden" r:id="rId11"/>
    <sheet name="listopad 2025" sheetId="16" state="hidden" r:id="rId12"/>
    <sheet name="prosinec 2025" sheetId="17" state="hidden" r:id="rId13"/>
    <sheet name="celkem 2025" sheetId="5" r:id="rId14"/>
    <sheet name="osoby a grafy" sheetId="18" state="hidden" r:id="rId15"/>
    <sheet name="leden 2026" sheetId="19" r:id="rId16"/>
    <sheet name="únor 2026" sheetId="21" r:id="rId17"/>
    <sheet name="březen 2026" sheetId="22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7" i="21" l="1"/>
  <c r="Y12" i="21"/>
  <c r="Y72" i="21"/>
  <c r="Y5" i="21"/>
  <c r="Y63" i="21"/>
  <c r="Y62" i="21"/>
  <c r="Y61" i="21"/>
  <c r="Y48" i="21"/>
  <c r="Y45" i="21"/>
  <c r="Y41" i="21"/>
  <c r="Y40" i="21"/>
  <c r="Y36" i="21"/>
  <c r="Y33" i="21"/>
  <c r="Y31" i="21"/>
  <c r="Y30" i="21"/>
  <c r="Y29" i="21"/>
  <c r="Y28" i="21"/>
  <c r="Y24" i="21"/>
  <c r="Y21" i="21"/>
  <c r="Y19" i="21"/>
  <c r="Y18" i="21"/>
  <c r="Y17" i="21"/>
  <c r="Y16" i="21"/>
  <c r="Y4" i="21"/>
  <c r="Y6" i="21"/>
  <c r="Y9" i="21"/>
  <c r="Y10" i="21"/>
  <c r="E157" i="22"/>
  <c r="F157" i="22" s="1"/>
  <c r="E156" i="22"/>
  <c r="F156" i="22" s="1"/>
  <c r="E155" i="22"/>
  <c r="F155" i="22" s="1"/>
  <c r="E154" i="22"/>
  <c r="E153" i="22"/>
  <c r="E149" i="22" s="1"/>
  <c r="E152" i="22"/>
  <c r="F152" i="22" s="1"/>
  <c r="E151" i="22"/>
  <c r="F151" i="22" s="1"/>
  <c r="E150" i="22"/>
  <c r="F150" i="22" s="1"/>
  <c r="D149" i="22"/>
  <c r="F139" i="22"/>
  <c r="C139" i="22"/>
  <c r="B139" i="22"/>
  <c r="A139" i="22"/>
  <c r="F138" i="22"/>
  <c r="C138" i="22"/>
  <c r="B138" i="22"/>
  <c r="A138" i="22"/>
  <c r="F137" i="22"/>
  <c r="C137" i="22"/>
  <c r="B137" i="22"/>
  <c r="A137" i="22"/>
  <c r="D136" i="22"/>
  <c r="F136" i="22" s="1"/>
  <c r="C136" i="22"/>
  <c r="B136" i="22"/>
  <c r="A136" i="22"/>
  <c r="F135" i="22"/>
  <c r="C135" i="22"/>
  <c r="B135" i="22"/>
  <c r="A135" i="22"/>
  <c r="F134" i="22"/>
  <c r="C134" i="22"/>
  <c r="B134" i="22"/>
  <c r="A134" i="22"/>
  <c r="F133" i="22"/>
  <c r="C133" i="22"/>
  <c r="B133" i="22"/>
  <c r="A133" i="22"/>
  <c r="F132" i="22"/>
  <c r="C132" i="22"/>
  <c r="B132" i="22"/>
  <c r="A132" i="22"/>
  <c r="E131" i="22"/>
  <c r="C131" i="22"/>
  <c r="B131" i="22"/>
  <c r="F130" i="22"/>
  <c r="C130" i="22"/>
  <c r="B130" i="22"/>
  <c r="A130" i="22"/>
  <c r="F129" i="22"/>
  <c r="C129" i="22"/>
  <c r="B129" i="22"/>
  <c r="A129" i="22"/>
  <c r="E128" i="22"/>
  <c r="F128" i="22" s="1"/>
  <c r="D128" i="22"/>
  <c r="C128" i="22"/>
  <c r="B128" i="22"/>
  <c r="F127" i="22"/>
  <c r="C127" i="22"/>
  <c r="B127" i="22"/>
  <c r="A127" i="22"/>
  <c r="F126" i="22"/>
  <c r="C126" i="22"/>
  <c r="B126" i="22"/>
  <c r="A126" i="22"/>
  <c r="E125" i="22"/>
  <c r="D125" i="22"/>
  <c r="F125" i="22" s="1"/>
  <c r="C125" i="22"/>
  <c r="B125" i="22"/>
  <c r="F124" i="22"/>
  <c r="A124" i="22"/>
  <c r="F123" i="22"/>
  <c r="A123" i="22"/>
  <c r="F122" i="22"/>
  <c r="E122" i="22"/>
  <c r="D122" i="22"/>
  <c r="C122" i="22"/>
  <c r="B122" i="22"/>
  <c r="F121" i="22"/>
  <c r="C121" i="22"/>
  <c r="B121" i="22"/>
  <c r="A121" i="22"/>
  <c r="F120" i="22"/>
  <c r="C120" i="22"/>
  <c r="B120" i="22"/>
  <c r="A120" i="22"/>
  <c r="F119" i="22"/>
  <c r="C119" i="22"/>
  <c r="B119" i="22"/>
  <c r="A119" i="22"/>
  <c r="F118" i="22"/>
  <c r="C118" i="22"/>
  <c r="B118" i="22"/>
  <c r="A118" i="22"/>
  <c r="F117" i="22"/>
  <c r="C117" i="22"/>
  <c r="B117" i="22"/>
  <c r="A117" i="22"/>
  <c r="F116" i="22"/>
  <c r="C116" i="22"/>
  <c r="B116" i="22"/>
  <c r="A116" i="22"/>
  <c r="F115" i="22"/>
  <c r="C115" i="22"/>
  <c r="B115" i="22"/>
  <c r="A115" i="22"/>
  <c r="F114" i="22"/>
  <c r="C114" i="22"/>
  <c r="B114" i="22"/>
  <c r="A114" i="22"/>
  <c r="F113" i="22"/>
  <c r="C113" i="22"/>
  <c r="B113" i="22"/>
  <c r="A113" i="22"/>
  <c r="F112" i="22"/>
  <c r="C112" i="22"/>
  <c r="B112" i="22"/>
  <c r="A112" i="22"/>
  <c r="F111" i="22"/>
  <c r="C111" i="22"/>
  <c r="B111" i="22"/>
  <c r="A111" i="22"/>
  <c r="E110" i="22"/>
  <c r="F110" i="22" s="1"/>
  <c r="D110" i="22"/>
  <c r="C110" i="22"/>
  <c r="B110" i="22"/>
  <c r="F109" i="22"/>
  <c r="C109" i="22"/>
  <c r="B109" i="22"/>
  <c r="A109" i="22"/>
  <c r="F108" i="22"/>
  <c r="C108" i="22"/>
  <c r="B108" i="22"/>
  <c r="A108" i="22"/>
  <c r="F107" i="22"/>
  <c r="C107" i="22"/>
  <c r="B107" i="22"/>
  <c r="A107" i="22"/>
  <c r="F106" i="22"/>
  <c r="C106" i="22"/>
  <c r="B106" i="22"/>
  <c r="A106" i="22"/>
  <c r="F105" i="22"/>
  <c r="C105" i="22"/>
  <c r="B105" i="22"/>
  <c r="A105" i="22"/>
  <c r="D104" i="22"/>
  <c r="F104" i="22" s="1"/>
  <c r="C104" i="22"/>
  <c r="B104" i="22"/>
  <c r="A104" i="22"/>
  <c r="F103" i="22"/>
  <c r="C103" i="22"/>
  <c r="B103" i="22"/>
  <c r="A103" i="22"/>
  <c r="F102" i="22"/>
  <c r="C102" i="22"/>
  <c r="B102" i="22"/>
  <c r="A102" i="22"/>
  <c r="F101" i="22"/>
  <c r="C101" i="22"/>
  <c r="B101" i="22"/>
  <c r="A101" i="22"/>
  <c r="F100" i="22"/>
  <c r="C100" i="22"/>
  <c r="B100" i="22"/>
  <c r="A100" i="22"/>
  <c r="F99" i="22"/>
  <c r="C99" i="22"/>
  <c r="B99" i="22"/>
  <c r="A99" i="22"/>
  <c r="E98" i="22"/>
  <c r="C98" i="22"/>
  <c r="B98" i="22"/>
  <c r="F97" i="22"/>
  <c r="C97" i="22"/>
  <c r="B97" i="22"/>
  <c r="A97" i="22"/>
  <c r="F96" i="22"/>
  <c r="C96" i="22"/>
  <c r="B96" i="22"/>
  <c r="A96" i="22"/>
  <c r="F95" i="22"/>
  <c r="C95" i="22"/>
  <c r="B95" i="22"/>
  <c r="A95" i="22"/>
  <c r="F94" i="22"/>
  <c r="C94" i="22"/>
  <c r="B94" i="22"/>
  <c r="A94" i="22"/>
  <c r="F93" i="22"/>
  <c r="C93" i="22"/>
  <c r="B93" i="22"/>
  <c r="A93" i="22"/>
  <c r="F92" i="22"/>
  <c r="C92" i="22"/>
  <c r="B92" i="22"/>
  <c r="A92" i="22"/>
  <c r="F91" i="22"/>
  <c r="C91" i="22"/>
  <c r="B91" i="22"/>
  <c r="A91" i="22"/>
  <c r="F90" i="22"/>
  <c r="C90" i="22"/>
  <c r="B90" i="22"/>
  <c r="A90" i="22"/>
  <c r="F89" i="22"/>
  <c r="C89" i="22"/>
  <c r="B89" i="22"/>
  <c r="A89" i="22"/>
  <c r="F88" i="22"/>
  <c r="C88" i="22"/>
  <c r="B88" i="22"/>
  <c r="A88" i="22"/>
  <c r="F87" i="22"/>
  <c r="C87" i="22"/>
  <c r="B87" i="22"/>
  <c r="A87" i="22"/>
  <c r="E86" i="22"/>
  <c r="D86" i="22"/>
  <c r="C86" i="22"/>
  <c r="B86" i="22"/>
  <c r="F85" i="22"/>
  <c r="C85" i="22"/>
  <c r="B85" i="22"/>
  <c r="A85" i="22"/>
  <c r="F84" i="22"/>
  <c r="C84" i="22"/>
  <c r="B84" i="22"/>
  <c r="A84" i="22"/>
  <c r="F83" i="22"/>
  <c r="C83" i="22"/>
  <c r="B83" i="22"/>
  <c r="A83" i="22"/>
  <c r="F82" i="22"/>
  <c r="C82" i="22"/>
  <c r="B82" i="22"/>
  <c r="A82" i="22"/>
  <c r="F81" i="22"/>
  <c r="C81" i="22"/>
  <c r="B81" i="22"/>
  <c r="A81" i="22"/>
  <c r="F80" i="22"/>
  <c r="C80" i="22"/>
  <c r="B80" i="22"/>
  <c r="A80" i="22"/>
  <c r="F79" i="22"/>
  <c r="C79" i="22"/>
  <c r="B79" i="22"/>
  <c r="A79" i="22"/>
  <c r="F78" i="22"/>
  <c r="C78" i="22"/>
  <c r="B78" i="22"/>
  <c r="A78" i="22"/>
  <c r="F77" i="22"/>
  <c r="C77" i="22"/>
  <c r="B77" i="22"/>
  <c r="A77" i="22"/>
  <c r="F76" i="22"/>
  <c r="C76" i="22"/>
  <c r="B76" i="22"/>
  <c r="A76" i="22"/>
  <c r="F75" i="22"/>
  <c r="C75" i="22"/>
  <c r="B75" i="22"/>
  <c r="A75" i="22"/>
  <c r="F74" i="22"/>
  <c r="E74" i="22"/>
  <c r="D74" i="22"/>
  <c r="C74" i="22"/>
  <c r="B74" i="22"/>
  <c r="H66" i="22"/>
  <c r="G66" i="22"/>
  <c r="F66" i="22"/>
  <c r="E66" i="22"/>
  <c r="H65" i="22"/>
  <c r="G65" i="22"/>
  <c r="E65" i="22"/>
  <c r="F65" i="22" s="1"/>
  <c r="H64" i="22"/>
  <c r="G64" i="22"/>
  <c r="E64" i="22"/>
  <c r="F64" i="22" s="1"/>
  <c r="Y63" i="22"/>
  <c r="H63" i="22"/>
  <c r="G63" i="22"/>
  <c r="E63" i="22"/>
  <c r="F63" i="22" s="1"/>
  <c r="Y62" i="22"/>
  <c r="H62" i="22"/>
  <c r="G62" i="22"/>
  <c r="E62" i="22"/>
  <c r="F62" i="22" s="1"/>
  <c r="Y61" i="22"/>
  <c r="H61" i="22"/>
  <c r="G61" i="22"/>
  <c r="E61" i="22"/>
  <c r="F61" i="22" s="1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D60" i="22"/>
  <c r="H59" i="22"/>
  <c r="G59" i="22"/>
  <c r="F59" i="22"/>
  <c r="E59" i="22"/>
  <c r="H58" i="22"/>
  <c r="H57" i="22" s="1"/>
  <c r="G58" i="22"/>
  <c r="E58" i="22"/>
  <c r="F58" i="22" s="1"/>
  <c r="F57" i="22" s="1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J57" i="22"/>
  <c r="G57" i="22"/>
  <c r="D57" i="22"/>
  <c r="D165" i="22" s="1"/>
  <c r="H56" i="22"/>
  <c r="G56" i="22"/>
  <c r="F56" i="22"/>
  <c r="E56" i="22"/>
  <c r="H55" i="22"/>
  <c r="H54" i="22" s="1"/>
  <c r="G55" i="22"/>
  <c r="E55" i="22"/>
  <c r="E54" i="22" s="1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G54" i="22"/>
  <c r="F54" i="22"/>
  <c r="D54" i="22"/>
  <c r="H53" i="22"/>
  <c r="G53" i="22"/>
  <c r="E53" i="22"/>
  <c r="F53" i="22" s="1"/>
  <c r="H52" i="22"/>
  <c r="G52" i="22"/>
  <c r="G51" i="22" s="1"/>
  <c r="E52" i="22"/>
  <c r="F52" i="22" s="1"/>
  <c r="F51" i="22" s="1"/>
  <c r="X51" i="22"/>
  <c r="W51" i="22"/>
  <c r="V51" i="22"/>
  <c r="U51" i="22"/>
  <c r="T51" i="22"/>
  <c r="S51" i="22"/>
  <c r="S70" i="22" s="1"/>
  <c r="R51" i="22"/>
  <c r="Q51" i="22"/>
  <c r="P51" i="22"/>
  <c r="O51" i="22"/>
  <c r="N51" i="22"/>
  <c r="M51" i="22"/>
  <c r="L51" i="22"/>
  <c r="K51" i="22"/>
  <c r="J51" i="22"/>
  <c r="H51" i="22"/>
  <c r="D51" i="22"/>
  <c r="H50" i="22"/>
  <c r="G50" i="22"/>
  <c r="E50" i="22"/>
  <c r="F50" i="22" s="1"/>
  <c r="H49" i="22"/>
  <c r="G49" i="22"/>
  <c r="E49" i="22"/>
  <c r="F49" i="22" s="1"/>
  <c r="Y48" i="22"/>
  <c r="H48" i="22"/>
  <c r="G48" i="22"/>
  <c r="E48" i="22"/>
  <c r="F48" i="22" s="1"/>
  <c r="H47" i="22"/>
  <c r="G47" i="22"/>
  <c r="E47" i="22"/>
  <c r="F47" i="22" s="1"/>
  <c r="H46" i="22"/>
  <c r="G46" i="22"/>
  <c r="E46" i="22"/>
  <c r="F46" i="22" s="1"/>
  <c r="Y45" i="22"/>
  <c r="H45" i="22"/>
  <c r="G45" i="22"/>
  <c r="E45" i="22"/>
  <c r="F45" i="22" s="1"/>
  <c r="H44" i="22"/>
  <c r="G44" i="22"/>
  <c r="E44" i="22"/>
  <c r="F44" i="22" s="1"/>
  <c r="H43" i="22"/>
  <c r="G43" i="22"/>
  <c r="E43" i="22"/>
  <c r="F43" i="22" s="1"/>
  <c r="H42" i="22"/>
  <c r="G42" i="22"/>
  <c r="E42" i="22"/>
  <c r="F42" i="22" s="1"/>
  <c r="Y41" i="22"/>
  <c r="H41" i="22"/>
  <c r="G41" i="22"/>
  <c r="E41" i="22"/>
  <c r="F41" i="22" s="1"/>
  <c r="Y40" i="22"/>
  <c r="H40" i="22"/>
  <c r="H39" i="22" s="1"/>
  <c r="G40" i="22"/>
  <c r="E40" i="22"/>
  <c r="F40" i="22" s="1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D39" i="22"/>
  <c r="D162" i="22" s="1"/>
  <c r="H38" i="22"/>
  <c r="G38" i="22"/>
  <c r="E38" i="22"/>
  <c r="F38" i="22" s="1"/>
  <c r="H37" i="22"/>
  <c r="G37" i="22"/>
  <c r="E37" i="22"/>
  <c r="F37" i="22" s="1"/>
  <c r="Y36" i="22"/>
  <c r="H36" i="22"/>
  <c r="G36" i="22"/>
  <c r="E36" i="22"/>
  <c r="F36" i="22" s="1"/>
  <c r="H35" i="22"/>
  <c r="G35" i="22"/>
  <c r="E35" i="22"/>
  <c r="F35" i="22" s="1"/>
  <c r="H34" i="22"/>
  <c r="G34" i="22"/>
  <c r="E34" i="22"/>
  <c r="F34" i="22" s="1"/>
  <c r="Y33" i="22"/>
  <c r="H33" i="22"/>
  <c r="G33" i="22"/>
  <c r="E33" i="22"/>
  <c r="F33" i="22" s="1"/>
  <c r="D33" i="22"/>
  <c r="H32" i="22"/>
  <c r="G32" i="22"/>
  <c r="E32" i="22"/>
  <c r="F32" i="22" s="1"/>
  <c r="Y31" i="22"/>
  <c r="H31" i="22"/>
  <c r="G31" i="22"/>
  <c r="E31" i="22"/>
  <c r="F31" i="22" s="1"/>
  <c r="D31" i="22"/>
  <c r="Y30" i="22"/>
  <c r="H30" i="22"/>
  <c r="G30" i="22"/>
  <c r="E30" i="22"/>
  <c r="F30" i="22" s="1"/>
  <c r="D30" i="22"/>
  <c r="Y29" i="22"/>
  <c r="H29" i="22"/>
  <c r="G29" i="22"/>
  <c r="E29" i="22"/>
  <c r="F29" i="22" s="1"/>
  <c r="D29" i="22"/>
  <c r="D27" i="22" s="1"/>
  <c r="Y28" i="22"/>
  <c r="H28" i="22"/>
  <c r="G28" i="22"/>
  <c r="E28" i="22"/>
  <c r="F28" i="22" s="1"/>
  <c r="D28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H26" i="22"/>
  <c r="G26" i="22"/>
  <c r="E26" i="22"/>
  <c r="F26" i="22" s="1"/>
  <c r="H25" i="22"/>
  <c r="G25" i="22"/>
  <c r="E25" i="22"/>
  <c r="F25" i="22" s="1"/>
  <c r="Y24" i="22"/>
  <c r="H24" i="22"/>
  <c r="G24" i="22"/>
  <c r="E24" i="22"/>
  <c r="F24" i="22" s="1"/>
  <c r="H23" i="22"/>
  <c r="G23" i="22"/>
  <c r="E23" i="22"/>
  <c r="F23" i="22" s="1"/>
  <c r="H22" i="22"/>
  <c r="G22" i="22"/>
  <c r="E22" i="22"/>
  <c r="F22" i="22" s="1"/>
  <c r="Y21" i="22"/>
  <c r="H21" i="22"/>
  <c r="G21" i="22"/>
  <c r="E21" i="22"/>
  <c r="F21" i="22" s="1"/>
  <c r="D21" i="22"/>
  <c r="D15" i="22" s="1"/>
  <c r="H20" i="22"/>
  <c r="G20" i="22"/>
  <c r="E20" i="22"/>
  <c r="F20" i="22" s="1"/>
  <c r="Y19" i="22"/>
  <c r="H19" i="22"/>
  <c r="G19" i="22"/>
  <c r="E19" i="22"/>
  <c r="F19" i="22" s="1"/>
  <c r="Y18" i="22"/>
  <c r="H18" i="22"/>
  <c r="G18" i="22"/>
  <c r="E18" i="22"/>
  <c r="F18" i="22" s="1"/>
  <c r="Y17" i="22"/>
  <c r="H17" i="22"/>
  <c r="G17" i="22"/>
  <c r="E17" i="22"/>
  <c r="F17" i="22" s="1"/>
  <c r="Y16" i="22"/>
  <c r="H16" i="22"/>
  <c r="H15" i="22" s="1"/>
  <c r="G16" i="22"/>
  <c r="E16" i="22"/>
  <c r="F16" i="22" s="1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H14" i="22"/>
  <c r="G14" i="22"/>
  <c r="E14" i="22"/>
  <c r="F14" i="22" s="1"/>
  <c r="H13" i="22"/>
  <c r="G13" i="22"/>
  <c r="F13" i="22"/>
  <c r="Y12" i="22"/>
  <c r="H12" i="22"/>
  <c r="G12" i="22"/>
  <c r="E12" i="22"/>
  <c r="F12" i="22" s="1"/>
  <c r="H11" i="22"/>
  <c r="G11" i="22"/>
  <c r="E11" i="22"/>
  <c r="F11" i="22" s="1"/>
  <c r="Y10" i="22"/>
  <c r="H10" i="22"/>
  <c r="G10" i="22"/>
  <c r="E10" i="22"/>
  <c r="F10" i="22" s="1"/>
  <c r="D10" i="22"/>
  <c r="Y9" i="22"/>
  <c r="H9" i="22"/>
  <c r="G9" i="22"/>
  <c r="E9" i="22"/>
  <c r="F9" i="22" s="1"/>
  <c r="H8" i="22"/>
  <c r="G8" i="22"/>
  <c r="E8" i="22"/>
  <c r="F8" i="22" s="1"/>
  <c r="Y7" i="22"/>
  <c r="H7" i="22"/>
  <c r="G7" i="22"/>
  <c r="E7" i="22"/>
  <c r="F7" i="22" s="1"/>
  <c r="Y6" i="22"/>
  <c r="H6" i="22"/>
  <c r="G6" i="22"/>
  <c r="E6" i="22"/>
  <c r="F6" i="22" s="1"/>
  <c r="Y5" i="22"/>
  <c r="H5" i="22"/>
  <c r="G5" i="22"/>
  <c r="E5" i="22"/>
  <c r="F5" i="22" s="1"/>
  <c r="Y4" i="22"/>
  <c r="H4" i="22"/>
  <c r="G4" i="22"/>
  <c r="E4" i="22"/>
  <c r="F4" i="22" s="1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D3" i="22"/>
  <c r="G3" i="22" l="1"/>
  <c r="H60" i="22"/>
  <c r="G60" i="22"/>
  <c r="G39" i="22"/>
  <c r="J70" i="22"/>
  <c r="T70" i="22"/>
  <c r="G27" i="22"/>
  <c r="X70" i="22"/>
  <c r="H27" i="22"/>
  <c r="G15" i="22"/>
  <c r="O70" i="22"/>
  <c r="N70" i="22"/>
  <c r="P70" i="22"/>
  <c r="K70" i="22"/>
  <c r="U70" i="22"/>
  <c r="M70" i="22"/>
  <c r="W70" i="22"/>
  <c r="L70" i="22"/>
  <c r="V70" i="22"/>
  <c r="H3" i="22"/>
  <c r="H70" i="22" s="1"/>
  <c r="Y72" i="22"/>
  <c r="R70" i="22"/>
  <c r="Q70" i="22"/>
  <c r="F60" i="22"/>
  <c r="F3" i="22"/>
  <c r="D142" i="22"/>
  <c r="D160" i="22"/>
  <c r="F149" i="22"/>
  <c r="E164" i="22"/>
  <c r="E146" i="22"/>
  <c r="F27" i="22"/>
  <c r="D161" i="22"/>
  <c r="D143" i="22"/>
  <c r="F15" i="22"/>
  <c r="F39" i="22"/>
  <c r="D70" i="22"/>
  <c r="G70" i="22"/>
  <c r="E73" i="22"/>
  <c r="E39" i="22"/>
  <c r="F154" i="22"/>
  <c r="D159" i="22"/>
  <c r="D158" i="22" s="1"/>
  <c r="E60" i="22"/>
  <c r="D98" i="22"/>
  <c r="F98" i="22" s="1"/>
  <c r="D166" i="22"/>
  <c r="D147" i="22"/>
  <c r="D174" i="22" s="1"/>
  <c r="D184" i="22" s="1"/>
  <c r="D163" i="22"/>
  <c r="E27" i="22"/>
  <c r="E3" i="22"/>
  <c r="E57" i="22"/>
  <c r="D144" i="22"/>
  <c r="D171" i="22" s="1"/>
  <c r="D181" i="22" s="1"/>
  <c r="E15" i="22"/>
  <c r="F86" i="22"/>
  <c r="D141" i="22"/>
  <c r="D131" i="22"/>
  <c r="F131" i="22" s="1"/>
  <c r="D148" i="22"/>
  <c r="D164" i="22"/>
  <c r="D173" i="22" s="1"/>
  <c r="D183" i="22" s="1"/>
  <c r="D145" i="22"/>
  <c r="D172" i="22" s="1"/>
  <c r="D182" i="22"/>
  <c r="E51" i="22"/>
  <c r="F153" i="22"/>
  <c r="D146" i="22"/>
  <c r="D136" i="21"/>
  <c r="D131" i="21" s="1"/>
  <c r="C139" i="21"/>
  <c r="C138" i="21"/>
  <c r="C137" i="21"/>
  <c r="C136" i="21"/>
  <c r="C135" i="21"/>
  <c r="C134" i="21"/>
  <c r="C133" i="21"/>
  <c r="B139" i="21"/>
  <c r="B138" i="21"/>
  <c r="B137" i="21"/>
  <c r="B136" i="21"/>
  <c r="B135" i="21"/>
  <c r="B134" i="21"/>
  <c r="B133" i="21"/>
  <c r="A139" i="21"/>
  <c r="A138" i="21"/>
  <c r="A137" i="21"/>
  <c r="A136" i="21"/>
  <c r="A135" i="21"/>
  <c r="A134" i="21"/>
  <c r="A133" i="21"/>
  <c r="E66" i="21"/>
  <c r="E65" i="21"/>
  <c r="E64" i="21"/>
  <c r="H66" i="21"/>
  <c r="G66" i="21"/>
  <c r="F66" i="21"/>
  <c r="H65" i="21"/>
  <c r="G65" i="21"/>
  <c r="F65" i="21"/>
  <c r="E157" i="21"/>
  <c r="F157" i="21" s="1"/>
  <c r="E156" i="21"/>
  <c r="F156" i="21" s="1"/>
  <c r="E155" i="21"/>
  <c r="F155" i="21" s="1"/>
  <c r="E154" i="21"/>
  <c r="F154" i="21" s="1"/>
  <c r="E153" i="21"/>
  <c r="F153" i="21" s="1"/>
  <c r="E152" i="21"/>
  <c r="F152" i="21" s="1"/>
  <c r="E151" i="21"/>
  <c r="F151" i="21" s="1"/>
  <c r="E150" i="21"/>
  <c r="E149" i="21" s="1"/>
  <c r="D149" i="21"/>
  <c r="F139" i="21"/>
  <c r="F138" i="21"/>
  <c r="F137" i="21"/>
  <c r="F136" i="21"/>
  <c r="F135" i="21"/>
  <c r="F134" i="21"/>
  <c r="F133" i="21"/>
  <c r="F132" i="21"/>
  <c r="C132" i="21"/>
  <c r="B132" i="21"/>
  <c r="A132" i="21"/>
  <c r="E131" i="21"/>
  <c r="C131" i="21"/>
  <c r="B131" i="21"/>
  <c r="F130" i="21"/>
  <c r="C130" i="21"/>
  <c r="B130" i="21"/>
  <c r="A130" i="21"/>
  <c r="F129" i="21"/>
  <c r="C129" i="21"/>
  <c r="B129" i="21"/>
  <c r="A129" i="21"/>
  <c r="E128" i="21"/>
  <c r="D128" i="21"/>
  <c r="C128" i="21"/>
  <c r="B128" i="21"/>
  <c r="F127" i="21"/>
  <c r="C127" i="21"/>
  <c r="B127" i="21"/>
  <c r="A127" i="21"/>
  <c r="F126" i="21"/>
  <c r="C126" i="21"/>
  <c r="B126" i="21"/>
  <c r="A126" i="21"/>
  <c r="E125" i="21"/>
  <c r="D125" i="21"/>
  <c r="C125" i="21"/>
  <c r="B125" i="21"/>
  <c r="F124" i="21"/>
  <c r="A124" i="21"/>
  <c r="F123" i="21"/>
  <c r="A123" i="21"/>
  <c r="E122" i="21"/>
  <c r="D122" i="21"/>
  <c r="C122" i="21"/>
  <c r="B122" i="21"/>
  <c r="F121" i="21"/>
  <c r="C121" i="21"/>
  <c r="B121" i="21"/>
  <c r="A121" i="21"/>
  <c r="F120" i="21"/>
  <c r="C120" i="21"/>
  <c r="B120" i="21"/>
  <c r="A120" i="21"/>
  <c r="F119" i="21"/>
  <c r="C119" i="21"/>
  <c r="B119" i="21"/>
  <c r="A119" i="21"/>
  <c r="F118" i="21"/>
  <c r="C118" i="21"/>
  <c r="B118" i="21"/>
  <c r="A118" i="21"/>
  <c r="F117" i="21"/>
  <c r="C117" i="21"/>
  <c r="B117" i="21"/>
  <c r="A117" i="21"/>
  <c r="F116" i="21"/>
  <c r="C116" i="21"/>
  <c r="B116" i="21"/>
  <c r="A116" i="21"/>
  <c r="F115" i="21"/>
  <c r="C115" i="21"/>
  <c r="B115" i="21"/>
  <c r="A115" i="21"/>
  <c r="F114" i="21"/>
  <c r="C114" i="21"/>
  <c r="B114" i="21"/>
  <c r="A114" i="21"/>
  <c r="F113" i="21"/>
  <c r="C113" i="21"/>
  <c r="B113" i="21"/>
  <c r="A113" i="21"/>
  <c r="F112" i="21"/>
  <c r="C112" i="21"/>
  <c r="B112" i="21"/>
  <c r="A112" i="21"/>
  <c r="F111" i="21"/>
  <c r="C111" i="21"/>
  <c r="B111" i="21"/>
  <c r="A111" i="21"/>
  <c r="E110" i="21"/>
  <c r="D110" i="21"/>
  <c r="C110" i="21"/>
  <c r="B110" i="21"/>
  <c r="F109" i="21"/>
  <c r="C109" i="21"/>
  <c r="B109" i="21"/>
  <c r="A109" i="21"/>
  <c r="F108" i="21"/>
  <c r="C108" i="21"/>
  <c r="B108" i="21"/>
  <c r="A108" i="21"/>
  <c r="F107" i="21"/>
  <c r="C107" i="21"/>
  <c r="B107" i="21"/>
  <c r="A107" i="21"/>
  <c r="F106" i="21"/>
  <c r="C106" i="21"/>
  <c r="B106" i="21"/>
  <c r="A106" i="21"/>
  <c r="F105" i="21"/>
  <c r="C105" i="21"/>
  <c r="B105" i="21"/>
  <c r="A105" i="21"/>
  <c r="D104" i="21"/>
  <c r="F104" i="21" s="1"/>
  <c r="C104" i="21"/>
  <c r="B104" i="21"/>
  <c r="A104" i="21"/>
  <c r="F103" i="21"/>
  <c r="C103" i="21"/>
  <c r="B103" i="21"/>
  <c r="A103" i="21"/>
  <c r="F102" i="21"/>
  <c r="C102" i="21"/>
  <c r="B102" i="21"/>
  <c r="A102" i="21"/>
  <c r="F101" i="21"/>
  <c r="C101" i="21"/>
  <c r="B101" i="21"/>
  <c r="A101" i="21"/>
  <c r="F100" i="21"/>
  <c r="C100" i="21"/>
  <c r="B100" i="21"/>
  <c r="A100" i="21"/>
  <c r="F99" i="21"/>
  <c r="C99" i="21"/>
  <c r="B99" i="21"/>
  <c r="A99" i="21"/>
  <c r="E98" i="21"/>
  <c r="D98" i="21"/>
  <c r="C98" i="21"/>
  <c r="B98" i="21"/>
  <c r="F97" i="21"/>
  <c r="C97" i="21"/>
  <c r="B97" i="21"/>
  <c r="A97" i="21"/>
  <c r="F96" i="21"/>
  <c r="C96" i="21"/>
  <c r="B96" i="21"/>
  <c r="A96" i="21"/>
  <c r="F95" i="21"/>
  <c r="C95" i="21"/>
  <c r="B95" i="21"/>
  <c r="A95" i="21"/>
  <c r="F94" i="21"/>
  <c r="C94" i="21"/>
  <c r="B94" i="21"/>
  <c r="A94" i="21"/>
  <c r="F93" i="21"/>
  <c r="C93" i="21"/>
  <c r="B93" i="21"/>
  <c r="A93" i="21"/>
  <c r="F92" i="21"/>
  <c r="C92" i="21"/>
  <c r="B92" i="21"/>
  <c r="A92" i="21"/>
  <c r="F91" i="21"/>
  <c r="C91" i="21"/>
  <c r="B91" i="21"/>
  <c r="A91" i="21"/>
  <c r="F90" i="21"/>
  <c r="C90" i="21"/>
  <c r="B90" i="21"/>
  <c r="A90" i="21"/>
  <c r="F89" i="21"/>
  <c r="C89" i="21"/>
  <c r="B89" i="21"/>
  <c r="A89" i="21"/>
  <c r="F88" i="21"/>
  <c r="C88" i="21"/>
  <c r="B88" i="21"/>
  <c r="A88" i="21"/>
  <c r="F87" i="21"/>
  <c r="C87" i="21"/>
  <c r="B87" i="21"/>
  <c r="A87" i="21"/>
  <c r="E86" i="21"/>
  <c r="D86" i="21"/>
  <c r="C86" i="21"/>
  <c r="B86" i="21"/>
  <c r="F85" i="21"/>
  <c r="C85" i="21"/>
  <c r="B85" i="21"/>
  <c r="A85" i="21"/>
  <c r="F84" i="21"/>
  <c r="C84" i="21"/>
  <c r="B84" i="21"/>
  <c r="A84" i="21"/>
  <c r="F83" i="21"/>
  <c r="C83" i="21"/>
  <c r="B83" i="21"/>
  <c r="A83" i="21"/>
  <c r="F82" i="21"/>
  <c r="C82" i="21"/>
  <c r="B82" i="21"/>
  <c r="A82" i="21"/>
  <c r="F81" i="21"/>
  <c r="C81" i="21"/>
  <c r="B81" i="21"/>
  <c r="A81" i="21"/>
  <c r="F80" i="21"/>
  <c r="C80" i="21"/>
  <c r="B80" i="21"/>
  <c r="A80" i="21"/>
  <c r="F79" i="21"/>
  <c r="C79" i="21"/>
  <c r="B79" i="21"/>
  <c r="A79" i="21"/>
  <c r="F78" i="21"/>
  <c r="C78" i="21"/>
  <c r="B78" i="21"/>
  <c r="A78" i="21"/>
  <c r="F77" i="21"/>
  <c r="C77" i="21"/>
  <c r="B77" i="21"/>
  <c r="A77" i="21"/>
  <c r="F76" i="21"/>
  <c r="C76" i="21"/>
  <c r="B76" i="21"/>
  <c r="A76" i="21"/>
  <c r="F75" i="21"/>
  <c r="C75" i="21"/>
  <c r="B75" i="21"/>
  <c r="A75" i="21"/>
  <c r="E74" i="21"/>
  <c r="D74" i="21"/>
  <c r="C74" i="21"/>
  <c r="B74" i="21"/>
  <c r="H64" i="21"/>
  <c r="G64" i="21"/>
  <c r="F64" i="21"/>
  <c r="H63" i="21"/>
  <c r="G63" i="21"/>
  <c r="E63" i="21"/>
  <c r="F63" i="21" s="1"/>
  <c r="H62" i="21"/>
  <c r="G62" i="21"/>
  <c r="E62" i="21"/>
  <c r="D60" i="21"/>
  <c r="H61" i="21"/>
  <c r="H60" i="21" s="1"/>
  <c r="G61" i="21"/>
  <c r="G60" i="21" s="1"/>
  <c r="E61" i="21"/>
  <c r="F61" i="21" s="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H59" i="21"/>
  <c r="G59" i="21"/>
  <c r="E59" i="21"/>
  <c r="F59" i="21" s="1"/>
  <c r="H58" i="21"/>
  <c r="H57" i="21" s="1"/>
  <c r="G58" i="21"/>
  <c r="G57" i="21" s="1"/>
  <c r="E58" i="21"/>
  <c r="E57" i="21" s="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D57" i="21"/>
  <c r="D165" i="21" s="1"/>
  <c r="H56" i="21"/>
  <c r="G56" i="21"/>
  <c r="E56" i="21"/>
  <c r="F56" i="21" s="1"/>
  <c r="F54" i="21" s="1"/>
  <c r="H55" i="21"/>
  <c r="H54" i="21" s="1"/>
  <c r="G55" i="21"/>
  <c r="G54" i="21" s="1"/>
  <c r="E55" i="21"/>
  <c r="E54" i="21" s="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D54" i="21"/>
  <c r="H53" i="21"/>
  <c r="G53" i="21"/>
  <c r="E53" i="21"/>
  <c r="F53" i="21" s="1"/>
  <c r="H52" i="21"/>
  <c r="H51" i="21" s="1"/>
  <c r="G52" i="21"/>
  <c r="E52" i="21"/>
  <c r="F52" i="21" s="1"/>
  <c r="F51" i="21" s="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D51" i="21"/>
  <c r="D163" i="21" s="1"/>
  <c r="H50" i="21"/>
  <c r="G50" i="21"/>
  <c r="E50" i="21"/>
  <c r="F50" i="21" s="1"/>
  <c r="H49" i="21"/>
  <c r="G49" i="21"/>
  <c r="E49" i="21"/>
  <c r="F49" i="21" s="1"/>
  <c r="H48" i="21"/>
  <c r="G48" i="21"/>
  <c r="E48" i="21"/>
  <c r="F48" i="21" s="1"/>
  <c r="H47" i="21"/>
  <c r="G47" i="21"/>
  <c r="E47" i="21"/>
  <c r="F47" i="21" s="1"/>
  <c r="H46" i="21"/>
  <c r="G46" i="21"/>
  <c r="E46" i="21"/>
  <c r="F46" i="21" s="1"/>
  <c r="H45" i="21"/>
  <c r="G45" i="21"/>
  <c r="E45" i="21"/>
  <c r="F45" i="21" s="1"/>
  <c r="H44" i="21"/>
  <c r="G44" i="21"/>
  <c r="E44" i="21"/>
  <c r="F44" i="21" s="1"/>
  <c r="H43" i="21"/>
  <c r="G43" i="21"/>
  <c r="E43" i="21"/>
  <c r="F43" i="21" s="1"/>
  <c r="H42" i="21"/>
  <c r="G42" i="21"/>
  <c r="E42" i="21"/>
  <c r="F42" i="21" s="1"/>
  <c r="H41" i="21"/>
  <c r="G41" i="21"/>
  <c r="E41" i="21"/>
  <c r="H40" i="21"/>
  <c r="H39" i="21" s="1"/>
  <c r="G40" i="21"/>
  <c r="E40" i="21"/>
  <c r="F40" i="21" s="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G39" i="21"/>
  <c r="D39" i="21"/>
  <c r="D162" i="21" s="1"/>
  <c r="H38" i="21"/>
  <c r="G38" i="21"/>
  <c r="E38" i="21"/>
  <c r="F38" i="21" s="1"/>
  <c r="H37" i="21"/>
  <c r="G37" i="21"/>
  <c r="E37" i="21"/>
  <c r="F37" i="21" s="1"/>
  <c r="H36" i="21"/>
  <c r="G36" i="21"/>
  <c r="E36" i="21"/>
  <c r="F36" i="21" s="1"/>
  <c r="H35" i="21"/>
  <c r="G35" i="21"/>
  <c r="E35" i="21"/>
  <c r="F35" i="21" s="1"/>
  <c r="H34" i="21"/>
  <c r="G34" i="21"/>
  <c r="E34" i="21"/>
  <c r="F34" i="21" s="1"/>
  <c r="H33" i="21"/>
  <c r="G33" i="21"/>
  <c r="E33" i="21"/>
  <c r="D33" i="21"/>
  <c r="H32" i="21"/>
  <c r="G32" i="21"/>
  <c r="E32" i="21"/>
  <c r="F32" i="21" s="1"/>
  <c r="H31" i="21"/>
  <c r="G31" i="21"/>
  <c r="E31" i="21"/>
  <c r="D31" i="21"/>
  <c r="H30" i="21"/>
  <c r="G30" i="21"/>
  <c r="E30" i="21"/>
  <c r="D30" i="21"/>
  <c r="H29" i="21"/>
  <c r="G29" i="21"/>
  <c r="E29" i="21"/>
  <c r="D29" i="21"/>
  <c r="H28" i="21"/>
  <c r="G28" i="21"/>
  <c r="E28" i="21"/>
  <c r="D28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H26" i="21"/>
  <c r="G26" i="21"/>
  <c r="E26" i="21"/>
  <c r="F26" i="21" s="1"/>
  <c r="H25" i="21"/>
  <c r="G25" i="21"/>
  <c r="E25" i="21"/>
  <c r="F25" i="21" s="1"/>
  <c r="H24" i="21"/>
  <c r="G24" i="21"/>
  <c r="E24" i="21"/>
  <c r="F24" i="21" s="1"/>
  <c r="H23" i="21"/>
  <c r="G23" i="21"/>
  <c r="E23" i="21"/>
  <c r="F23" i="21" s="1"/>
  <c r="H22" i="21"/>
  <c r="G22" i="21"/>
  <c r="E22" i="21"/>
  <c r="F22" i="21" s="1"/>
  <c r="H21" i="21"/>
  <c r="G21" i="21"/>
  <c r="E21" i="21"/>
  <c r="D21" i="21"/>
  <c r="H20" i="21"/>
  <c r="G20" i="21"/>
  <c r="E20" i="21"/>
  <c r="F20" i="21" s="1"/>
  <c r="H19" i="21"/>
  <c r="G19" i="21"/>
  <c r="E19" i="21"/>
  <c r="F19" i="21" s="1"/>
  <c r="H18" i="21"/>
  <c r="G18" i="21"/>
  <c r="E18" i="21"/>
  <c r="F18" i="21" s="1"/>
  <c r="H17" i="21"/>
  <c r="G17" i="21"/>
  <c r="E17" i="21"/>
  <c r="F17" i="21" s="1"/>
  <c r="H16" i="21"/>
  <c r="G16" i="21"/>
  <c r="E16" i="21"/>
  <c r="F16" i="21" s="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D15" i="21"/>
  <c r="H14" i="21"/>
  <c r="G14" i="21"/>
  <c r="E14" i="21"/>
  <c r="F14" i="21" s="1"/>
  <c r="H13" i="21"/>
  <c r="G13" i="21"/>
  <c r="F13" i="21"/>
  <c r="H12" i="21"/>
  <c r="G12" i="21"/>
  <c r="F12" i="21"/>
  <c r="H11" i="21"/>
  <c r="G11" i="21"/>
  <c r="E11" i="21"/>
  <c r="F11" i="21" s="1"/>
  <c r="H10" i="21"/>
  <c r="G10" i="21"/>
  <c r="E10" i="21"/>
  <c r="D10" i="21"/>
  <c r="D3" i="21" s="1"/>
  <c r="H9" i="21"/>
  <c r="G9" i="21"/>
  <c r="E9" i="21"/>
  <c r="F9" i="21" s="1"/>
  <c r="H8" i="21"/>
  <c r="G8" i="21"/>
  <c r="E8" i="21"/>
  <c r="F8" i="21" s="1"/>
  <c r="Y7" i="21"/>
  <c r="H7" i="21"/>
  <c r="G7" i="21"/>
  <c r="E7" i="21"/>
  <c r="F7" i="21" s="1"/>
  <c r="H6" i="21"/>
  <c r="G6" i="21"/>
  <c r="E6" i="21"/>
  <c r="F6" i="21" s="1"/>
  <c r="H5" i="21"/>
  <c r="G5" i="21"/>
  <c r="E5" i="21"/>
  <c r="F5" i="21" s="1"/>
  <c r="H4" i="21"/>
  <c r="G4" i="21"/>
  <c r="E4" i="21"/>
  <c r="E3" i="21" s="1"/>
  <c r="E159" i="21" s="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H8" i="19"/>
  <c r="G8" i="19"/>
  <c r="F8" i="19"/>
  <c r="E8" i="19"/>
  <c r="F137" i="19"/>
  <c r="C137" i="19"/>
  <c r="B137" i="19"/>
  <c r="A137" i="19"/>
  <c r="H64" i="19"/>
  <c r="G64" i="19"/>
  <c r="F64" i="19"/>
  <c r="Y6" i="19"/>
  <c r="H6" i="19"/>
  <c r="G6" i="19"/>
  <c r="E6" i="19"/>
  <c r="F6" i="19" s="1"/>
  <c r="F139" i="19"/>
  <c r="C139" i="19"/>
  <c r="B139" i="19"/>
  <c r="A139" i="19"/>
  <c r="F138" i="19"/>
  <c r="C138" i="19"/>
  <c r="B138" i="19"/>
  <c r="A138" i="19"/>
  <c r="F136" i="19"/>
  <c r="C136" i="19"/>
  <c r="B136" i="19"/>
  <c r="A136" i="19"/>
  <c r="F135" i="19"/>
  <c r="C135" i="19"/>
  <c r="B135" i="19"/>
  <c r="A135" i="19"/>
  <c r="F134" i="19"/>
  <c r="C134" i="19"/>
  <c r="B134" i="19"/>
  <c r="A134" i="19"/>
  <c r="Y63" i="19"/>
  <c r="H63" i="19"/>
  <c r="G63" i="19"/>
  <c r="E63" i="19"/>
  <c r="F63" i="19" s="1"/>
  <c r="F133" i="19"/>
  <c r="C133" i="19"/>
  <c r="B133" i="19"/>
  <c r="A133" i="19"/>
  <c r="D62" i="19"/>
  <c r="D60" i="19" s="1"/>
  <c r="F73" i="22" l="1"/>
  <c r="E141" i="22"/>
  <c r="E159" i="22"/>
  <c r="D73" i="22"/>
  <c r="E165" i="22"/>
  <c r="E147" i="22"/>
  <c r="F147" i="22" s="1"/>
  <c r="E161" i="22"/>
  <c r="F161" i="22" s="1"/>
  <c r="E143" i="22"/>
  <c r="D168" i="22"/>
  <c r="D178" i="22" s="1"/>
  <c r="D140" i="22"/>
  <c r="D170" i="22"/>
  <c r="D180" i="22" s="1"/>
  <c r="F146" i="22"/>
  <c r="D169" i="22"/>
  <c r="D179" i="22" s="1"/>
  <c r="E144" i="22"/>
  <c r="E162" i="22"/>
  <c r="F162" i="22" s="1"/>
  <c r="E145" i="22"/>
  <c r="E163" i="22"/>
  <c r="F163" i="22" s="1"/>
  <c r="E142" i="22"/>
  <c r="E160" i="22"/>
  <c r="F160" i="22" s="1"/>
  <c r="D175" i="22"/>
  <c r="D185" i="22" s="1"/>
  <c r="F164" i="22"/>
  <c r="E173" i="22"/>
  <c r="E183" i="22" s="1"/>
  <c r="F70" i="22"/>
  <c r="E70" i="22"/>
  <c r="E148" i="22"/>
  <c r="F148" i="22" s="1"/>
  <c r="E166" i="22"/>
  <c r="F10" i="21"/>
  <c r="F21" i="21"/>
  <c r="F28" i="21"/>
  <c r="F29" i="21"/>
  <c r="F30" i="21"/>
  <c r="D27" i="21"/>
  <c r="F33" i="21"/>
  <c r="G51" i="21"/>
  <c r="F62" i="21"/>
  <c r="F86" i="21"/>
  <c r="F122" i="21"/>
  <c r="F128" i="21"/>
  <c r="F98" i="21"/>
  <c r="F74" i="21"/>
  <c r="F131" i="21"/>
  <c r="F125" i="21"/>
  <c r="D73" i="21"/>
  <c r="F110" i="21"/>
  <c r="D144" i="21"/>
  <c r="F60" i="21"/>
  <c r="E39" i="21"/>
  <c r="K70" i="21"/>
  <c r="E27" i="21"/>
  <c r="E143" i="21" s="1"/>
  <c r="G27" i="21"/>
  <c r="U70" i="21"/>
  <c r="L70" i="21"/>
  <c r="H27" i="21"/>
  <c r="V70" i="21"/>
  <c r="M70" i="21"/>
  <c r="G15" i="21"/>
  <c r="W70" i="21"/>
  <c r="H15" i="21"/>
  <c r="F4" i="21"/>
  <c r="G3" i="21"/>
  <c r="H3" i="21"/>
  <c r="R70" i="21"/>
  <c r="Q70" i="21"/>
  <c r="O70" i="21"/>
  <c r="S70" i="21"/>
  <c r="P70" i="21"/>
  <c r="J70" i="21"/>
  <c r="T70" i="21"/>
  <c r="N70" i="21"/>
  <c r="X70" i="21"/>
  <c r="D161" i="21"/>
  <c r="D143" i="21"/>
  <c r="D170" i="21" s="1"/>
  <c r="D180" i="21" s="1"/>
  <c r="F149" i="21"/>
  <c r="D141" i="21"/>
  <c r="D159" i="21"/>
  <c r="E161" i="21"/>
  <c r="F161" i="21" s="1"/>
  <c r="E144" i="21"/>
  <c r="F144" i="21" s="1"/>
  <c r="E162" i="21"/>
  <c r="F162" i="21" s="1"/>
  <c r="D70" i="21"/>
  <c r="D166" i="21"/>
  <c r="D148" i="21"/>
  <c r="F3" i="21"/>
  <c r="F15" i="21"/>
  <c r="E164" i="21"/>
  <c r="E146" i="21"/>
  <c r="D171" i="21"/>
  <c r="D181" i="21" s="1"/>
  <c r="E165" i="21"/>
  <c r="E147" i="21"/>
  <c r="F150" i="21"/>
  <c r="F41" i="21"/>
  <c r="F39" i="21" s="1"/>
  <c r="E141" i="21"/>
  <c r="E168" i="21" s="1"/>
  <c r="E178" i="21" s="1"/>
  <c r="E60" i="21"/>
  <c r="E73" i="21"/>
  <c r="F58" i="21"/>
  <c r="F57" i="21" s="1"/>
  <c r="D160" i="21"/>
  <c r="D145" i="21"/>
  <c r="D172" i="21" s="1"/>
  <c r="D182" i="21" s="1"/>
  <c r="E15" i="21"/>
  <c r="F31" i="21"/>
  <c r="F27" i="21" s="1"/>
  <c r="D164" i="21"/>
  <c r="E51" i="21"/>
  <c r="D142" i="21"/>
  <c r="D147" i="21"/>
  <c r="D174" i="21" s="1"/>
  <c r="D184" i="21" s="1"/>
  <c r="D146" i="21"/>
  <c r="E36" i="19"/>
  <c r="F36" i="19" s="1"/>
  <c r="E31" i="19"/>
  <c r="E30" i="19"/>
  <c r="E29" i="19"/>
  <c r="E28" i="19"/>
  <c r="E24" i="19"/>
  <c r="F24" i="19" s="1"/>
  <c r="E18" i="19"/>
  <c r="F18" i="19" s="1"/>
  <c r="E17" i="19"/>
  <c r="F17" i="19" s="1"/>
  <c r="E12" i="19"/>
  <c r="F12" i="19" s="1"/>
  <c r="E16" i="19"/>
  <c r="F16" i="19" s="1"/>
  <c r="Y62" i="19"/>
  <c r="Y48" i="19"/>
  <c r="Y45" i="19"/>
  <c r="Y41" i="19"/>
  <c r="Y40" i="19"/>
  <c r="Y36" i="19"/>
  <c r="Y31" i="19"/>
  <c r="Y30" i="19"/>
  <c r="Y29" i="19"/>
  <c r="Y28" i="19"/>
  <c r="Y24" i="19"/>
  <c r="Y21" i="19"/>
  <c r="Y19" i="19"/>
  <c r="Y18" i="19"/>
  <c r="Y17" i="19"/>
  <c r="Y16" i="19"/>
  <c r="Y12" i="19"/>
  <c r="Y10" i="19"/>
  <c r="Y9" i="19"/>
  <c r="Y7" i="19"/>
  <c r="Y61" i="19"/>
  <c r="Y5" i="19"/>
  <c r="Y4" i="19"/>
  <c r="Y33" i="19"/>
  <c r="C110" i="19"/>
  <c r="B110" i="19"/>
  <c r="C131" i="19"/>
  <c r="B131" i="19"/>
  <c r="C128" i="19"/>
  <c r="B128" i="19"/>
  <c r="C122" i="19"/>
  <c r="B122" i="19"/>
  <c r="C125" i="19"/>
  <c r="B125" i="19"/>
  <c r="C132" i="19"/>
  <c r="B132" i="19"/>
  <c r="C130" i="19"/>
  <c r="C129" i="19"/>
  <c r="B130" i="19"/>
  <c r="B129" i="19"/>
  <c r="C127" i="19"/>
  <c r="B127" i="19"/>
  <c r="C126" i="19"/>
  <c r="B126" i="19"/>
  <c r="F117" i="19"/>
  <c r="F116" i="19"/>
  <c r="F115" i="19"/>
  <c r="C121" i="19"/>
  <c r="B121" i="19"/>
  <c r="A121" i="19"/>
  <c r="C120" i="19"/>
  <c r="B120" i="19"/>
  <c r="A120" i="19"/>
  <c r="C119" i="19"/>
  <c r="B119" i="19"/>
  <c r="A119" i="19"/>
  <c r="C118" i="19"/>
  <c r="B118" i="19"/>
  <c r="A118" i="19"/>
  <c r="C117" i="19"/>
  <c r="B117" i="19"/>
  <c r="A117" i="19"/>
  <c r="C116" i="19"/>
  <c r="B116" i="19"/>
  <c r="A116" i="19"/>
  <c r="C115" i="19"/>
  <c r="B115" i="19"/>
  <c r="A115" i="19"/>
  <c r="C114" i="19"/>
  <c r="B114" i="19"/>
  <c r="A114" i="19"/>
  <c r="C113" i="19"/>
  <c r="B113" i="19"/>
  <c r="A113" i="19"/>
  <c r="C112" i="19"/>
  <c r="B112" i="19"/>
  <c r="A112" i="19"/>
  <c r="C111" i="19"/>
  <c r="B111" i="19"/>
  <c r="A111" i="19"/>
  <c r="C98" i="19"/>
  <c r="C86" i="19"/>
  <c r="B86" i="19"/>
  <c r="B98" i="19"/>
  <c r="F103" i="19"/>
  <c r="F105" i="19"/>
  <c r="F107" i="19"/>
  <c r="D104" i="19"/>
  <c r="F104" i="19" s="1"/>
  <c r="C109" i="19"/>
  <c r="B109" i="19"/>
  <c r="A109" i="19"/>
  <c r="C108" i="19"/>
  <c r="B108" i="19"/>
  <c r="A108" i="19"/>
  <c r="C107" i="19"/>
  <c r="B107" i="19"/>
  <c r="A107" i="19"/>
  <c r="C106" i="19"/>
  <c r="B106" i="19"/>
  <c r="A106" i="19"/>
  <c r="C105" i="19"/>
  <c r="B105" i="19"/>
  <c r="A105" i="19"/>
  <c r="C104" i="19"/>
  <c r="B104" i="19"/>
  <c r="A104" i="19"/>
  <c r="C103" i="19"/>
  <c r="B103" i="19"/>
  <c r="A103" i="19"/>
  <c r="C102" i="19"/>
  <c r="B102" i="19"/>
  <c r="A102" i="19"/>
  <c r="C101" i="19"/>
  <c r="B101" i="19"/>
  <c r="A101" i="19"/>
  <c r="C100" i="19"/>
  <c r="B100" i="19"/>
  <c r="A100" i="19"/>
  <c r="C99" i="19"/>
  <c r="B99" i="19"/>
  <c r="A99" i="19"/>
  <c r="F94" i="19"/>
  <c r="F93" i="19"/>
  <c r="F92" i="19"/>
  <c r="C97" i="19"/>
  <c r="B97" i="19"/>
  <c r="A97" i="19"/>
  <c r="C96" i="19"/>
  <c r="B96" i="19"/>
  <c r="A96" i="19"/>
  <c r="C95" i="19"/>
  <c r="B95" i="19"/>
  <c r="A95" i="19"/>
  <c r="C94" i="19"/>
  <c r="B94" i="19"/>
  <c r="A94" i="19"/>
  <c r="C93" i="19"/>
  <c r="B93" i="19"/>
  <c r="A93" i="19"/>
  <c r="C92" i="19"/>
  <c r="B92" i="19"/>
  <c r="A92" i="19"/>
  <c r="C91" i="19"/>
  <c r="B91" i="19"/>
  <c r="A91" i="19"/>
  <c r="C90" i="19"/>
  <c r="B90" i="19"/>
  <c r="A90" i="19"/>
  <c r="C89" i="19"/>
  <c r="B89" i="19"/>
  <c r="A89" i="19"/>
  <c r="C88" i="19"/>
  <c r="B88" i="19"/>
  <c r="A88" i="19"/>
  <c r="C87" i="19"/>
  <c r="B87" i="19"/>
  <c r="A87" i="19"/>
  <c r="F85" i="19"/>
  <c r="F84" i="19"/>
  <c r="F79" i="19"/>
  <c r="C85" i="19"/>
  <c r="B85" i="19"/>
  <c r="A85" i="19"/>
  <c r="C84" i="19"/>
  <c r="B84" i="19"/>
  <c r="A84" i="19"/>
  <c r="C83" i="19"/>
  <c r="B83" i="19"/>
  <c r="A83" i="19"/>
  <c r="C82" i="19"/>
  <c r="B82" i="19"/>
  <c r="A82" i="19"/>
  <c r="C81" i="19"/>
  <c r="B81" i="19"/>
  <c r="A81" i="19"/>
  <c r="C80" i="19"/>
  <c r="B80" i="19"/>
  <c r="A80" i="19"/>
  <c r="C79" i="19"/>
  <c r="B79" i="19"/>
  <c r="A79" i="19"/>
  <c r="C78" i="19"/>
  <c r="B78" i="19"/>
  <c r="A78" i="19"/>
  <c r="C77" i="19"/>
  <c r="B77" i="19"/>
  <c r="A77" i="19"/>
  <c r="C76" i="19"/>
  <c r="B76" i="19"/>
  <c r="A76" i="19"/>
  <c r="C74" i="19"/>
  <c r="B74" i="19"/>
  <c r="C75" i="19"/>
  <c r="B75" i="19"/>
  <c r="A75" i="19"/>
  <c r="H50" i="19"/>
  <c r="G50" i="19"/>
  <c r="E50" i="19"/>
  <c r="F50" i="19" s="1"/>
  <c r="H49" i="19"/>
  <c r="G49" i="19"/>
  <c r="E49" i="19"/>
  <c r="F49" i="19" s="1"/>
  <c r="H48" i="19"/>
  <c r="G48" i="19"/>
  <c r="E48" i="19"/>
  <c r="F48" i="19" s="1"/>
  <c r="H47" i="19"/>
  <c r="G47" i="19"/>
  <c r="E47" i="19"/>
  <c r="F47" i="19" s="1"/>
  <c r="H46" i="19"/>
  <c r="G46" i="19"/>
  <c r="E46" i="19"/>
  <c r="F46" i="19" s="1"/>
  <c r="H45" i="19"/>
  <c r="G45" i="19"/>
  <c r="E45" i="19"/>
  <c r="F45" i="19" s="1"/>
  <c r="H44" i="19"/>
  <c r="G44" i="19"/>
  <c r="E44" i="19"/>
  <c r="F44" i="19" s="1"/>
  <c r="H43" i="19"/>
  <c r="G43" i="19"/>
  <c r="E43" i="19"/>
  <c r="F43" i="19" s="1"/>
  <c r="H42" i="19"/>
  <c r="G42" i="19"/>
  <c r="E42" i="19"/>
  <c r="F42" i="19" s="1"/>
  <c r="H41" i="19"/>
  <c r="G41" i="19"/>
  <c r="E41" i="19"/>
  <c r="F41" i="19" s="1"/>
  <c r="H40" i="19"/>
  <c r="G40" i="19"/>
  <c r="E40" i="19"/>
  <c r="F40" i="19" s="1"/>
  <c r="D39" i="19"/>
  <c r="D162" i="19" s="1"/>
  <c r="H37" i="19"/>
  <c r="G37" i="19"/>
  <c r="E37" i="19"/>
  <c r="F37" i="19" s="1"/>
  <c r="H35" i="19"/>
  <c r="G35" i="19"/>
  <c r="E35" i="19"/>
  <c r="F35" i="19" s="1"/>
  <c r="H32" i="19"/>
  <c r="G32" i="19"/>
  <c r="E32" i="19"/>
  <c r="F32" i="19" s="1"/>
  <c r="H23" i="19"/>
  <c r="G23" i="19"/>
  <c r="E23" i="19"/>
  <c r="F23" i="19" s="1"/>
  <c r="H20" i="19"/>
  <c r="G20" i="19"/>
  <c r="E20" i="19"/>
  <c r="F20" i="19" s="1"/>
  <c r="H25" i="19"/>
  <c r="G25" i="19"/>
  <c r="E25" i="19"/>
  <c r="F25" i="19" s="1"/>
  <c r="A70" i="17"/>
  <c r="F17" i="17"/>
  <c r="E17" i="17"/>
  <c r="D17" i="17"/>
  <c r="H13" i="19"/>
  <c r="G13" i="19"/>
  <c r="E13" i="19"/>
  <c r="F13" i="19" s="1"/>
  <c r="E157" i="19"/>
  <c r="F157" i="19" s="1"/>
  <c r="E156" i="19"/>
  <c r="F156" i="19" s="1"/>
  <c r="E155" i="19"/>
  <c r="F155" i="19" s="1"/>
  <c r="E154" i="19"/>
  <c r="F154" i="19" s="1"/>
  <c r="E153" i="19"/>
  <c r="F153" i="19" s="1"/>
  <c r="E152" i="19"/>
  <c r="F152" i="19" s="1"/>
  <c r="E151" i="19"/>
  <c r="F151" i="19" s="1"/>
  <c r="E150" i="19"/>
  <c r="D149" i="19"/>
  <c r="F132" i="19"/>
  <c r="A132" i="19"/>
  <c r="E131" i="19"/>
  <c r="D131" i="19"/>
  <c r="F130" i="19"/>
  <c r="A130" i="19"/>
  <c r="F129" i="19"/>
  <c r="A129" i="19"/>
  <c r="E128" i="19"/>
  <c r="D128" i="19"/>
  <c r="F127" i="19"/>
  <c r="A127" i="19"/>
  <c r="F126" i="19"/>
  <c r="A126" i="19"/>
  <c r="E125" i="19"/>
  <c r="D125" i="19"/>
  <c r="F124" i="19"/>
  <c r="A124" i="19"/>
  <c r="F123" i="19"/>
  <c r="A123" i="19"/>
  <c r="E122" i="19"/>
  <c r="D122" i="19"/>
  <c r="F121" i="19"/>
  <c r="F120" i="19"/>
  <c r="F119" i="19"/>
  <c r="F118" i="19"/>
  <c r="F114" i="19"/>
  <c r="F113" i="19"/>
  <c r="F112" i="19"/>
  <c r="F111" i="19"/>
  <c r="E110" i="19"/>
  <c r="D110" i="19"/>
  <c r="F109" i="19"/>
  <c r="F108" i="19"/>
  <c r="F102" i="19"/>
  <c r="F101" i="19"/>
  <c r="F100" i="19"/>
  <c r="F99" i="19"/>
  <c r="F97" i="19"/>
  <c r="F96" i="19"/>
  <c r="F95" i="19"/>
  <c r="D86" i="19"/>
  <c r="F90" i="19"/>
  <c r="F89" i="19"/>
  <c r="F88" i="19"/>
  <c r="F87" i="19"/>
  <c r="F83" i="19"/>
  <c r="F82" i="19"/>
  <c r="F81" i="19"/>
  <c r="F80" i="19"/>
  <c r="F78" i="19"/>
  <c r="E74" i="19"/>
  <c r="F76" i="19"/>
  <c r="F75" i="19"/>
  <c r="D74" i="19"/>
  <c r="H62" i="19"/>
  <c r="G62" i="19"/>
  <c r="E62" i="19"/>
  <c r="F62" i="19" s="1"/>
  <c r="H61" i="19"/>
  <c r="G61" i="19"/>
  <c r="E61" i="19"/>
  <c r="E60" i="19" s="1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H59" i="19"/>
  <c r="G59" i="19"/>
  <c r="E59" i="19"/>
  <c r="F59" i="19" s="1"/>
  <c r="H58" i="19"/>
  <c r="G58" i="19"/>
  <c r="E58" i="19"/>
  <c r="F58" i="19" s="1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D57" i="19"/>
  <c r="D165" i="19" s="1"/>
  <c r="H56" i="19"/>
  <c r="G56" i="19"/>
  <c r="E56" i="19"/>
  <c r="F56" i="19" s="1"/>
  <c r="H55" i="19"/>
  <c r="G55" i="19"/>
  <c r="E55" i="19"/>
  <c r="D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H53" i="19"/>
  <c r="G53" i="19"/>
  <c r="E53" i="19"/>
  <c r="F53" i="19" s="1"/>
  <c r="H52" i="19"/>
  <c r="G52" i="19"/>
  <c r="E52" i="19"/>
  <c r="F52" i="19" s="1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D51" i="19"/>
  <c r="D145" i="19" s="1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H38" i="19"/>
  <c r="G38" i="19"/>
  <c r="E38" i="19"/>
  <c r="F38" i="19" s="1"/>
  <c r="H36" i="19"/>
  <c r="G36" i="19"/>
  <c r="H34" i="19"/>
  <c r="G34" i="19"/>
  <c r="E34" i="19"/>
  <c r="F34" i="19" s="1"/>
  <c r="H33" i="19"/>
  <c r="G33" i="19"/>
  <c r="E33" i="19"/>
  <c r="D33" i="19"/>
  <c r="H31" i="19"/>
  <c r="G31" i="19"/>
  <c r="D31" i="19"/>
  <c r="H30" i="19"/>
  <c r="G30" i="19"/>
  <c r="D30" i="19"/>
  <c r="H29" i="19"/>
  <c r="G29" i="19"/>
  <c r="D29" i="19"/>
  <c r="H28" i="19"/>
  <c r="G28" i="19"/>
  <c r="D28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H26" i="19"/>
  <c r="G26" i="19"/>
  <c r="E26" i="19"/>
  <c r="F26" i="19" s="1"/>
  <c r="H24" i="19"/>
  <c r="G24" i="19"/>
  <c r="H22" i="19"/>
  <c r="G22" i="19"/>
  <c r="E22" i="19"/>
  <c r="F22" i="19" s="1"/>
  <c r="H21" i="19"/>
  <c r="G21" i="19"/>
  <c r="E21" i="19"/>
  <c r="D21" i="19"/>
  <c r="D15" i="19" s="1"/>
  <c r="H19" i="19"/>
  <c r="G19" i="19"/>
  <c r="E19" i="19"/>
  <c r="F19" i="19" s="1"/>
  <c r="H18" i="19"/>
  <c r="G18" i="19"/>
  <c r="H17" i="19"/>
  <c r="G17" i="19"/>
  <c r="H16" i="19"/>
  <c r="G16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H14" i="19"/>
  <c r="G14" i="19"/>
  <c r="E14" i="19"/>
  <c r="F14" i="19" s="1"/>
  <c r="H12" i="19"/>
  <c r="G12" i="19"/>
  <c r="H11" i="19"/>
  <c r="G11" i="19"/>
  <c r="E11" i="19"/>
  <c r="F11" i="19" s="1"/>
  <c r="H10" i="19"/>
  <c r="G10" i="19"/>
  <c r="E10" i="19"/>
  <c r="D10" i="19"/>
  <c r="D3" i="19" s="1"/>
  <c r="D159" i="19" s="1"/>
  <c r="H9" i="19"/>
  <c r="G9" i="19"/>
  <c r="H7" i="19"/>
  <c r="G7" i="19"/>
  <c r="E7" i="19"/>
  <c r="F7" i="19" s="1"/>
  <c r="H5" i="19"/>
  <c r="G5" i="19"/>
  <c r="E5" i="19"/>
  <c r="H4" i="19"/>
  <c r="G4" i="19"/>
  <c r="E4" i="19"/>
  <c r="F4" i="19" s="1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C59" i="16"/>
  <c r="F145" i="22" l="1"/>
  <c r="F172" i="22" s="1"/>
  <c r="F182" i="22" s="1"/>
  <c r="E172" i="22"/>
  <c r="E182" i="22" s="1"/>
  <c r="E174" i="22"/>
  <c r="E184" i="22" s="1"/>
  <c r="F165" i="22"/>
  <c r="F173" i="22" s="1"/>
  <c r="E175" i="22"/>
  <c r="E185" i="22" s="1"/>
  <c r="F166" i="22"/>
  <c r="F175" i="22" s="1"/>
  <c r="F185" i="22" s="1"/>
  <c r="F144" i="22"/>
  <c r="F171" i="22" s="1"/>
  <c r="F181" i="22" s="1"/>
  <c r="E171" i="22"/>
  <c r="E181" i="22" s="1"/>
  <c r="D167" i="22"/>
  <c r="E158" i="22"/>
  <c r="F158" i="22" s="1"/>
  <c r="F159" i="22"/>
  <c r="E168" i="22"/>
  <c r="E178" i="22" s="1"/>
  <c r="F141" i="22"/>
  <c r="E140" i="22"/>
  <c r="F142" i="22"/>
  <c r="F169" i="22" s="1"/>
  <c r="F179" i="22" s="1"/>
  <c r="E169" i="22"/>
  <c r="E179" i="22" s="1"/>
  <c r="F143" i="22"/>
  <c r="F170" i="22" s="1"/>
  <c r="F180" i="22" s="1"/>
  <c r="E170" i="22"/>
  <c r="E180" i="22" s="1"/>
  <c r="F174" i="22"/>
  <c r="F147" i="21"/>
  <c r="F73" i="21"/>
  <c r="D158" i="21"/>
  <c r="F171" i="21"/>
  <c r="F181" i="21" s="1"/>
  <c r="F70" i="21"/>
  <c r="G70" i="21"/>
  <c r="H70" i="21"/>
  <c r="E142" i="21"/>
  <c r="E160" i="21"/>
  <c r="E171" i="21"/>
  <c r="E181" i="21" s="1"/>
  <c r="E70" i="21"/>
  <c r="E148" i="21"/>
  <c r="F148" i="21" s="1"/>
  <c r="E166" i="21"/>
  <c r="F164" i="21"/>
  <c r="E173" i="21"/>
  <c r="E183" i="21" s="1"/>
  <c r="D175" i="21"/>
  <c r="D185" i="21" s="1"/>
  <c r="E163" i="21"/>
  <c r="F163" i="21" s="1"/>
  <c r="E145" i="21"/>
  <c r="F141" i="21"/>
  <c r="D168" i="21"/>
  <c r="D178" i="21" s="1"/>
  <c r="D140" i="21"/>
  <c r="D167" i="21" s="1"/>
  <c r="D169" i="21"/>
  <c r="D179" i="21" s="1"/>
  <c r="D173" i="21"/>
  <c r="D183" i="21" s="1"/>
  <c r="E170" i="21"/>
  <c r="E180" i="21" s="1"/>
  <c r="F143" i="21"/>
  <c r="F170" i="21" s="1"/>
  <c r="F180" i="21" s="1"/>
  <c r="E174" i="21"/>
  <c r="E184" i="21" s="1"/>
  <c r="F165" i="21"/>
  <c r="F173" i="21" s="1"/>
  <c r="F146" i="21"/>
  <c r="F159" i="21"/>
  <c r="F168" i="21" s="1"/>
  <c r="F178" i="21" s="1"/>
  <c r="Y72" i="19"/>
  <c r="D98" i="19"/>
  <c r="D73" i="19" s="1"/>
  <c r="E148" i="19"/>
  <c r="G57" i="19"/>
  <c r="F125" i="19"/>
  <c r="F51" i="19"/>
  <c r="F128" i="19"/>
  <c r="E57" i="19"/>
  <c r="E165" i="19" s="1"/>
  <c r="F165" i="19" s="1"/>
  <c r="G60" i="19"/>
  <c r="F110" i="19"/>
  <c r="D147" i="19"/>
  <c r="D174" i="19" s="1"/>
  <c r="D184" i="19" s="1"/>
  <c r="H60" i="19"/>
  <c r="F28" i="19"/>
  <c r="G39" i="19"/>
  <c r="G51" i="19"/>
  <c r="H51" i="19"/>
  <c r="F131" i="19"/>
  <c r="D141" i="19"/>
  <c r="D168" i="19" s="1"/>
  <c r="D178" i="19" s="1"/>
  <c r="F122" i="19"/>
  <c r="E39" i="19"/>
  <c r="E144" i="19" s="1"/>
  <c r="H57" i="19"/>
  <c r="F33" i="19"/>
  <c r="F30" i="19"/>
  <c r="F54" i="19"/>
  <c r="F57" i="19"/>
  <c r="H39" i="19"/>
  <c r="E149" i="19"/>
  <c r="F149" i="19" s="1"/>
  <c r="F10" i="19"/>
  <c r="H27" i="19"/>
  <c r="F21" i="19"/>
  <c r="F15" i="19" s="1"/>
  <c r="R70" i="19"/>
  <c r="F31" i="19"/>
  <c r="G54" i="19"/>
  <c r="E54" i="19"/>
  <c r="H54" i="19"/>
  <c r="W70" i="19"/>
  <c r="X70" i="19"/>
  <c r="F29" i="19"/>
  <c r="P70" i="19"/>
  <c r="Q70" i="19"/>
  <c r="E27" i="19"/>
  <c r="E161" i="19" s="1"/>
  <c r="G27" i="19"/>
  <c r="M70" i="19"/>
  <c r="N70" i="19"/>
  <c r="L70" i="19"/>
  <c r="V70" i="19"/>
  <c r="G15" i="19"/>
  <c r="H15" i="19"/>
  <c r="K70" i="19"/>
  <c r="U70" i="19"/>
  <c r="S70" i="19"/>
  <c r="T70" i="19"/>
  <c r="G3" i="19"/>
  <c r="H3" i="19"/>
  <c r="O70" i="19"/>
  <c r="D142" i="19"/>
  <c r="D160" i="19"/>
  <c r="F74" i="19"/>
  <c r="F106" i="19"/>
  <c r="E98" i="19"/>
  <c r="D166" i="19"/>
  <c r="F61" i="19"/>
  <c r="F60" i="19" s="1"/>
  <c r="F77" i="19"/>
  <c r="F150" i="19"/>
  <c r="D163" i="19"/>
  <c r="D172" i="19" s="1"/>
  <c r="D182" i="19" s="1"/>
  <c r="F5" i="19"/>
  <c r="D144" i="19"/>
  <c r="D171" i="19" s="1"/>
  <c r="D181" i="19" s="1"/>
  <c r="F39" i="19"/>
  <c r="D148" i="19"/>
  <c r="D27" i="19"/>
  <c r="E51" i="19"/>
  <c r="E15" i="19"/>
  <c r="D164" i="19"/>
  <c r="D146" i="19"/>
  <c r="C122" i="16"/>
  <c r="C121" i="16"/>
  <c r="C120" i="16"/>
  <c r="C119" i="16"/>
  <c r="C118" i="16"/>
  <c r="C117" i="16"/>
  <c r="C116" i="16"/>
  <c r="C115" i="16"/>
  <c r="C79" i="16"/>
  <c r="C78" i="16"/>
  <c r="C80" i="16"/>
  <c r="C73" i="16"/>
  <c r="C71" i="16"/>
  <c r="C60" i="16"/>
  <c r="C64" i="16"/>
  <c r="C62" i="16"/>
  <c r="C61" i="16"/>
  <c r="C58" i="16"/>
  <c r="AB34" i="18"/>
  <c r="AB33" i="18"/>
  <c r="AB32" i="18"/>
  <c r="AB31" i="18"/>
  <c r="AB30" i="18"/>
  <c r="AB29" i="18"/>
  <c r="AB28" i="18"/>
  <c r="AB27" i="18"/>
  <c r="AA34" i="18"/>
  <c r="AA33" i="18"/>
  <c r="AA32" i="18"/>
  <c r="AA31" i="18"/>
  <c r="AA30" i="18"/>
  <c r="AA29" i="18"/>
  <c r="AA28" i="18"/>
  <c r="AA27" i="18"/>
  <c r="Z34" i="18"/>
  <c r="Z33" i="18"/>
  <c r="Z32" i="18"/>
  <c r="Z31" i="18"/>
  <c r="Z30" i="18"/>
  <c r="Z29" i="18"/>
  <c r="Z28" i="18"/>
  <c r="Z27" i="18"/>
  <c r="Y34" i="18"/>
  <c r="Y33" i="18"/>
  <c r="Y32" i="18"/>
  <c r="Y31" i="18"/>
  <c r="Y30" i="18"/>
  <c r="Y29" i="18"/>
  <c r="Y28" i="18"/>
  <c r="Y27" i="18"/>
  <c r="X34" i="18"/>
  <c r="X33" i="18"/>
  <c r="X32" i="18"/>
  <c r="X31" i="18"/>
  <c r="X30" i="18"/>
  <c r="X29" i="18"/>
  <c r="X28" i="18"/>
  <c r="X27" i="18"/>
  <c r="W34" i="18"/>
  <c r="W33" i="18"/>
  <c r="W32" i="18"/>
  <c r="W31" i="18"/>
  <c r="W30" i="18"/>
  <c r="W29" i="18"/>
  <c r="W28" i="18"/>
  <c r="W27" i="18"/>
  <c r="V34" i="18"/>
  <c r="V33" i="18"/>
  <c r="V32" i="18"/>
  <c r="V31" i="18"/>
  <c r="V30" i="18"/>
  <c r="V29" i="18"/>
  <c r="V28" i="18"/>
  <c r="V27" i="18"/>
  <c r="U34" i="18"/>
  <c r="U33" i="18"/>
  <c r="U32" i="18"/>
  <c r="U31" i="18"/>
  <c r="U30" i="18"/>
  <c r="U29" i="18"/>
  <c r="U28" i="18"/>
  <c r="U27" i="18"/>
  <c r="T34" i="18"/>
  <c r="T33" i="18"/>
  <c r="T32" i="18"/>
  <c r="T31" i="18"/>
  <c r="T30" i="18"/>
  <c r="T29" i="18"/>
  <c r="T28" i="18"/>
  <c r="T27" i="18"/>
  <c r="S34" i="18"/>
  <c r="S33" i="18"/>
  <c r="S32" i="18"/>
  <c r="S31" i="18"/>
  <c r="S30" i="18"/>
  <c r="S29" i="18"/>
  <c r="S28" i="18"/>
  <c r="S27" i="18"/>
  <c r="F168" i="22" l="1"/>
  <c r="F178" i="22" s="1"/>
  <c r="F140" i="22"/>
  <c r="F167" i="22" s="1"/>
  <c r="F177" i="22" s="1"/>
  <c r="E167" i="22"/>
  <c r="F183" i="22"/>
  <c r="F184" i="22"/>
  <c r="D177" i="22"/>
  <c r="D187" i="22"/>
  <c r="D177" i="21"/>
  <c r="F160" i="21"/>
  <c r="E158" i="21"/>
  <c r="F158" i="21" s="1"/>
  <c r="F142" i="21"/>
  <c r="F169" i="21" s="1"/>
  <c r="F179" i="21" s="1"/>
  <c r="E169" i="21"/>
  <c r="E179" i="21" s="1"/>
  <c r="F174" i="21"/>
  <c r="E175" i="21"/>
  <c r="E185" i="21" s="1"/>
  <c r="F166" i="21"/>
  <c r="F175" i="21" s="1"/>
  <c r="F185" i="21" s="1"/>
  <c r="F145" i="21"/>
  <c r="F172" i="21" s="1"/>
  <c r="F182" i="21" s="1"/>
  <c r="E172" i="21"/>
  <c r="E182" i="21" s="1"/>
  <c r="E140" i="21"/>
  <c r="F98" i="19"/>
  <c r="E166" i="19"/>
  <c r="F166" i="19" s="1"/>
  <c r="E147" i="19"/>
  <c r="F147" i="19" s="1"/>
  <c r="F27" i="19"/>
  <c r="F148" i="19"/>
  <c r="G70" i="19"/>
  <c r="E162" i="19"/>
  <c r="F162" i="19" s="1"/>
  <c r="E143" i="19"/>
  <c r="E170" i="19" s="1"/>
  <c r="E180" i="19" s="1"/>
  <c r="D175" i="19"/>
  <c r="D185" i="19" s="1"/>
  <c r="E164" i="19"/>
  <c r="F164" i="19" s="1"/>
  <c r="E146" i="19"/>
  <c r="F146" i="19" s="1"/>
  <c r="H70" i="19"/>
  <c r="E145" i="19"/>
  <c r="E163" i="19"/>
  <c r="F163" i="19" s="1"/>
  <c r="D161" i="19"/>
  <c r="D158" i="19" s="1"/>
  <c r="D143" i="19"/>
  <c r="D70" i="19"/>
  <c r="D169" i="19"/>
  <c r="D179" i="19" s="1"/>
  <c r="D173" i="19"/>
  <c r="D183" i="19" s="1"/>
  <c r="F144" i="19"/>
  <c r="E86" i="19"/>
  <c r="F91" i="19"/>
  <c r="E142" i="19"/>
  <c r="E160" i="19"/>
  <c r="F160" i="19" s="1"/>
  <c r="Z35" i="18"/>
  <c r="S35" i="18"/>
  <c r="T35" i="18"/>
  <c r="U35" i="18"/>
  <c r="V35" i="18"/>
  <c r="W35" i="18"/>
  <c r="X35" i="18"/>
  <c r="Y35" i="18"/>
  <c r="AA35" i="18"/>
  <c r="AB35" i="18"/>
  <c r="C77" i="15"/>
  <c r="C76" i="15"/>
  <c r="C85" i="15"/>
  <c r="C62" i="15"/>
  <c r="C57" i="15"/>
  <c r="C61" i="15"/>
  <c r="C64" i="15"/>
  <c r="D16" i="15"/>
  <c r="X11" i="15"/>
  <c r="X9" i="15"/>
  <c r="X8" i="15"/>
  <c r="X10" i="15"/>
  <c r="X15" i="15"/>
  <c r="X14" i="15"/>
  <c r="X25" i="15"/>
  <c r="X24" i="15"/>
  <c r="X23" i="15"/>
  <c r="X44" i="15"/>
  <c r="X32" i="15"/>
  <c r="X6" i="15"/>
  <c r="X5" i="15"/>
  <c r="X4" i="15"/>
  <c r="AC50" i="5"/>
  <c r="AC44" i="5"/>
  <c r="AC41" i="5"/>
  <c r="AC32" i="5"/>
  <c r="AC29" i="5"/>
  <c r="AC26" i="5"/>
  <c r="AC25" i="5"/>
  <c r="AC24" i="5"/>
  <c r="AC23" i="5"/>
  <c r="AC20" i="5"/>
  <c r="AC15" i="5"/>
  <c r="AC14" i="5"/>
  <c r="AC12" i="5"/>
  <c r="AC11" i="5"/>
  <c r="AC10" i="5"/>
  <c r="AC9" i="5"/>
  <c r="AC8" i="5"/>
  <c r="AC6" i="5"/>
  <c r="AC5" i="5"/>
  <c r="AC4" i="5"/>
  <c r="AA65" i="5"/>
  <c r="Z65" i="5"/>
  <c r="Y65" i="5"/>
  <c r="X65" i="5"/>
  <c r="AA64" i="5"/>
  <c r="Z64" i="5"/>
  <c r="Y64" i="5"/>
  <c r="X64" i="5"/>
  <c r="AA63" i="5"/>
  <c r="Z63" i="5"/>
  <c r="Y63" i="5"/>
  <c r="X63" i="5"/>
  <c r="W65" i="5"/>
  <c r="V65" i="5"/>
  <c r="W64" i="5"/>
  <c r="V64" i="5"/>
  <c r="W63" i="5"/>
  <c r="V63" i="5"/>
  <c r="U65" i="5"/>
  <c r="T65" i="5"/>
  <c r="U64" i="5"/>
  <c r="T64" i="5"/>
  <c r="U63" i="5"/>
  <c r="T63" i="5"/>
  <c r="S65" i="5"/>
  <c r="R65" i="5"/>
  <c r="S64" i="5"/>
  <c r="R64" i="5"/>
  <c r="S63" i="5"/>
  <c r="R63" i="5"/>
  <c r="Q65" i="5"/>
  <c r="P65" i="5"/>
  <c r="Q64" i="5"/>
  <c r="P64" i="5"/>
  <c r="Q63" i="5"/>
  <c r="P63" i="5"/>
  <c r="O65" i="5"/>
  <c r="N65" i="5"/>
  <c r="O64" i="5"/>
  <c r="N64" i="5"/>
  <c r="O63" i="5"/>
  <c r="N63" i="5"/>
  <c r="M64" i="5"/>
  <c r="L64" i="5"/>
  <c r="K64" i="5"/>
  <c r="J64" i="5"/>
  <c r="M63" i="5"/>
  <c r="L63" i="5"/>
  <c r="K63" i="5"/>
  <c r="J63" i="5"/>
  <c r="I64" i="5"/>
  <c r="H64" i="5"/>
  <c r="I63" i="5"/>
  <c r="H63" i="5"/>
  <c r="I11" i="5"/>
  <c r="H11" i="5"/>
  <c r="I10" i="5"/>
  <c r="H10" i="5"/>
  <c r="K11" i="5"/>
  <c r="J11" i="5"/>
  <c r="K10" i="5"/>
  <c r="J10" i="5"/>
  <c r="J12" i="5"/>
  <c r="K12" i="5"/>
  <c r="M12" i="5"/>
  <c r="L12" i="5"/>
  <c r="M11" i="5"/>
  <c r="L11" i="5"/>
  <c r="M10" i="5"/>
  <c r="L10" i="5"/>
  <c r="O12" i="5"/>
  <c r="O11" i="5"/>
  <c r="O10" i="5"/>
  <c r="N12" i="5"/>
  <c r="N11" i="5"/>
  <c r="N10" i="5"/>
  <c r="Z12" i="5"/>
  <c r="Z11" i="5"/>
  <c r="Z10" i="5"/>
  <c r="X12" i="5"/>
  <c r="X11" i="5"/>
  <c r="X10" i="5"/>
  <c r="W12" i="5"/>
  <c r="V11" i="5"/>
  <c r="V10" i="5"/>
  <c r="U12" i="5"/>
  <c r="U11" i="5"/>
  <c r="U10" i="5"/>
  <c r="T12" i="5"/>
  <c r="T11" i="5"/>
  <c r="T10" i="5"/>
  <c r="S12" i="5"/>
  <c r="S11" i="5"/>
  <c r="S10" i="5"/>
  <c r="S9" i="5"/>
  <c r="S8" i="5"/>
  <c r="R12" i="5"/>
  <c r="R11" i="5"/>
  <c r="R10" i="5"/>
  <c r="R9" i="5"/>
  <c r="R8" i="5"/>
  <c r="Q12" i="5"/>
  <c r="Q11" i="5"/>
  <c r="Q10" i="5"/>
  <c r="Q9" i="5"/>
  <c r="Q8" i="5"/>
  <c r="P12" i="5"/>
  <c r="P11" i="5"/>
  <c r="P10" i="5"/>
  <c r="P9" i="5"/>
  <c r="P8" i="5"/>
  <c r="A57" i="15"/>
  <c r="A58" i="15"/>
  <c r="A59" i="15"/>
  <c r="A60" i="15"/>
  <c r="A61" i="15"/>
  <c r="A62" i="15"/>
  <c r="A63" i="15"/>
  <c r="A64" i="15"/>
  <c r="A65" i="15"/>
  <c r="S62" i="5"/>
  <c r="R62" i="5"/>
  <c r="Q62" i="5"/>
  <c r="P62" i="5"/>
  <c r="R61" i="5"/>
  <c r="S61" i="5"/>
  <c r="A104" i="15"/>
  <c r="A103" i="15"/>
  <c r="A101" i="15"/>
  <c r="A100" i="15"/>
  <c r="A98" i="15"/>
  <c r="A97" i="15"/>
  <c r="A95" i="15"/>
  <c r="A94" i="15"/>
  <c r="C122" i="15"/>
  <c r="C121" i="15"/>
  <c r="C120" i="15"/>
  <c r="C119" i="15"/>
  <c r="C118" i="15"/>
  <c r="C117" i="15"/>
  <c r="C116" i="15"/>
  <c r="C115" i="15"/>
  <c r="C122" i="14"/>
  <c r="C121" i="14"/>
  <c r="C120" i="14"/>
  <c r="C119" i="14"/>
  <c r="C118" i="14"/>
  <c r="C117" i="14"/>
  <c r="C116" i="14"/>
  <c r="C115" i="14"/>
  <c r="C122" i="13"/>
  <c r="C121" i="13"/>
  <c r="C120" i="13"/>
  <c r="C119" i="13"/>
  <c r="C118" i="13"/>
  <c r="C117" i="13"/>
  <c r="C116" i="13"/>
  <c r="C115" i="13"/>
  <c r="C122" i="12"/>
  <c r="C121" i="12"/>
  <c r="C120" i="12"/>
  <c r="C119" i="12"/>
  <c r="C118" i="12"/>
  <c r="C117" i="12"/>
  <c r="C116" i="12"/>
  <c r="C115" i="12"/>
  <c r="C122" i="11"/>
  <c r="C121" i="11"/>
  <c r="C120" i="11"/>
  <c r="C119" i="11"/>
  <c r="C118" i="11"/>
  <c r="C117" i="11"/>
  <c r="C116" i="11"/>
  <c r="C115" i="11"/>
  <c r="E187" i="22" l="1"/>
  <c r="E177" i="22"/>
  <c r="F184" i="21"/>
  <c r="F183" i="21"/>
  <c r="F140" i="21"/>
  <c r="F167" i="21" s="1"/>
  <c r="F177" i="21" s="1"/>
  <c r="E167" i="21"/>
  <c r="D170" i="19"/>
  <c r="D180" i="19" s="1"/>
  <c r="E174" i="19"/>
  <c r="E184" i="19" s="1"/>
  <c r="F161" i="19"/>
  <c r="F174" i="19"/>
  <c r="F184" i="19" s="1"/>
  <c r="F173" i="19"/>
  <c r="E175" i="19"/>
  <c r="E185" i="19" s="1"/>
  <c r="F175" i="19"/>
  <c r="F185" i="19" s="1"/>
  <c r="E171" i="19"/>
  <c r="E181" i="19" s="1"/>
  <c r="B10" i="5"/>
  <c r="F143" i="19"/>
  <c r="D140" i="19"/>
  <c r="D167" i="19" s="1"/>
  <c r="D177" i="19" s="1"/>
  <c r="F171" i="19"/>
  <c r="F181" i="19" s="1"/>
  <c r="E173" i="19"/>
  <c r="E183" i="19" s="1"/>
  <c r="F142" i="19"/>
  <c r="E169" i="19"/>
  <c r="E179" i="19" s="1"/>
  <c r="F145" i="19"/>
  <c r="F172" i="19" s="1"/>
  <c r="F182" i="19" s="1"/>
  <c r="E172" i="19"/>
  <c r="E182" i="19" s="1"/>
  <c r="F86" i="19"/>
  <c r="E73" i="19"/>
  <c r="F73" i="19" s="1"/>
  <c r="B63" i="5"/>
  <c r="C63" i="5"/>
  <c r="E187" i="21" l="1"/>
  <c r="E177" i="21"/>
  <c r="F170" i="19"/>
  <c r="F180" i="19" s="1"/>
  <c r="F183" i="19"/>
  <c r="F169" i="19"/>
  <c r="F179" i="19" s="1"/>
  <c r="D187" i="19"/>
  <c r="B10" i="11"/>
  <c r="B10" i="15" l="1"/>
  <c r="B10" i="14"/>
  <c r="B10" i="13"/>
  <c r="C11" i="17"/>
  <c r="AA11" i="5" s="1"/>
  <c r="C12" i="17"/>
  <c r="AA12" i="5" s="1"/>
  <c r="A82" i="15"/>
  <c r="A104" i="14"/>
  <c r="A100" i="14"/>
  <c r="A101" i="14"/>
  <c r="A98" i="14"/>
  <c r="A97" i="14"/>
  <c r="A94" i="14"/>
  <c r="A95" i="14"/>
  <c r="A86" i="14"/>
  <c r="A87" i="14"/>
  <c r="A88" i="14"/>
  <c r="A89" i="14"/>
  <c r="A90" i="14"/>
  <c r="A91" i="14"/>
  <c r="A92" i="14"/>
  <c r="A80" i="14"/>
  <c r="A81" i="14"/>
  <c r="A82" i="14"/>
  <c r="A83" i="14"/>
  <c r="A85" i="14"/>
  <c r="A76" i="14"/>
  <c r="A77" i="14"/>
  <c r="A78" i="14"/>
  <c r="A79" i="14"/>
  <c r="A70" i="14"/>
  <c r="A71" i="14"/>
  <c r="A72" i="14"/>
  <c r="A73" i="14"/>
  <c r="A74" i="14"/>
  <c r="A67" i="14"/>
  <c r="A68" i="14"/>
  <c r="A69" i="14"/>
  <c r="A76" i="15"/>
  <c r="A77" i="15"/>
  <c r="A78" i="15"/>
  <c r="A79" i="15"/>
  <c r="A67" i="15"/>
  <c r="A68" i="15"/>
  <c r="A69" i="15"/>
  <c r="A76" i="17"/>
  <c r="A77" i="17"/>
  <c r="A78" i="17"/>
  <c r="A79" i="17"/>
  <c r="A80" i="17"/>
  <c r="A76" i="16"/>
  <c r="A77" i="16"/>
  <c r="A78" i="16"/>
  <c r="A79" i="16"/>
  <c r="A80" i="16"/>
  <c r="A86" i="15"/>
  <c r="A87" i="15"/>
  <c r="A88" i="15"/>
  <c r="A89" i="15"/>
  <c r="A90" i="15"/>
  <c r="A91" i="15"/>
  <c r="A92" i="15"/>
  <c r="A85" i="15"/>
  <c r="A80" i="15"/>
  <c r="A81" i="15"/>
  <c r="A83" i="15"/>
  <c r="A70" i="15"/>
  <c r="A71" i="15"/>
  <c r="A72" i="15"/>
  <c r="A73" i="15"/>
  <c r="A74" i="15"/>
  <c r="C20" i="14"/>
  <c r="D20" i="14" s="1"/>
  <c r="E20" i="14"/>
  <c r="F20" i="14"/>
  <c r="C16" i="14"/>
  <c r="D16" i="14"/>
  <c r="E16" i="14"/>
  <c r="F16" i="14"/>
  <c r="C16" i="15"/>
  <c r="E16" i="15"/>
  <c r="F16" i="15"/>
  <c r="A104" i="17"/>
  <c r="A103" i="17"/>
  <c r="B102" i="17"/>
  <c r="A101" i="17"/>
  <c r="A100" i="17"/>
  <c r="B99" i="17"/>
  <c r="A98" i="17"/>
  <c r="A97" i="17"/>
  <c r="B96" i="17"/>
  <c r="A95" i="17"/>
  <c r="A94" i="17"/>
  <c r="B93" i="17"/>
  <c r="A92" i="17"/>
  <c r="A91" i="17"/>
  <c r="A90" i="17"/>
  <c r="A89" i="17"/>
  <c r="A88" i="17"/>
  <c r="A87" i="17"/>
  <c r="A86" i="17"/>
  <c r="A85" i="17"/>
  <c r="B84" i="17"/>
  <c r="A83" i="17"/>
  <c r="A82" i="17"/>
  <c r="A81" i="17"/>
  <c r="B80" i="17"/>
  <c r="B75" i="17"/>
  <c r="A74" i="17"/>
  <c r="A73" i="17"/>
  <c r="A72" i="17"/>
  <c r="B71" i="17"/>
  <c r="A71" i="17"/>
  <c r="A69" i="17"/>
  <c r="A68" i="17"/>
  <c r="A67" i="17"/>
  <c r="B66" i="17"/>
  <c r="A65" i="17"/>
  <c r="A64" i="17"/>
  <c r="A63" i="17"/>
  <c r="A62" i="17"/>
  <c r="A61" i="17"/>
  <c r="A60" i="17"/>
  <c r="A59" i="17"/>
  <c r="A58" i="17"/>
  <c r="A57" i="17"/>
  <c r="B49" i="17"/>
  <c r="B46" i="17"/>
  <c r="B44" i="17"/>
  <c r="B43" i="17"/>
  <c r="B40" i="17"/>
  <c r="B38" i="17"/>
  <c r="B36" i="17"/>
  <c r="B35" i="17"/>
  <c r="B34" i="17"/>
  <c r="B33" i="17"/>
  <c r="B27" i="17"/>
  <c r="B26" i="17"/>
  <c r="B25" i="17"/>
  <c r="B24" i="17"/>
  <c r="B23" i="17"/>
  <c r="B18" i="17"/>
  <c r="B9" i="17"/>
  <c r="B18" i="16"/>
  <c r="A103" i="16"/>
  <c r="A97" i="16"/>
  <c r="A104" i="16"/>
  <c r="A101" i="16"/>
  <c r="A100" i="16"/>
  <c r="A98" i="16"/>
  <c r="A95" i="16"/>
  <c r="A94" i="16"/>
  <c r="A92" i="16"/>
  <c r="A91" i="16"/>
  <c r="A90" i="16"/>
  <c r="A89" i="16"/>
  <c r="A88" i="16"/>
  <c r="A87" i="16"/>
  <c r="A86" i="16"/>
  <c r="A85" i="16"/>
  <c r="A83" i="16"/>
  <c r="A82" i="16"/>
  <c r="A81" i="16"/>
  <c r="A74" i="16"/>
  <c r="A73" i="16"/>
  <c r="A72" i="16"/>
  <c r="A71" i="16"/>
  <c r="A70" i="16"/>
  <c r="A69" i="16"/>
  <c r="A68" i="16"/>
  <c r="A67" i="16"/>
  <c r="D104" i="17"/>
  <c r="D103" i="17"/>
  <c r="C102" i="17"/>
  <c r="D101" i="17"/>
  <c r="D100" i="17"/>
  <c r="C99" i="17"/>
  <c r="D98" i="17"/>
  <c r="D97" i="17"/>
  <c r="C96" i="17"/>
  <c r="D95" i="17"/>
  <c r="D94" i="17"/>
  <c r="C93" i="17"/>
  <c r="D92" i="17"/>
  <c r="D91" i="17"/>
  <c r="D90" i="17"/>
  <c r="D89" i="17"/>
  <c r="D88" i="17"/>
  <c r="D87" i="17"/>
  <c r="D86" i="17"/>
  <c r="C84" i="17"/>
  <c r="D83" i="17"/>
  <c r="D82" i="17"/>
  <c r="D81" i="17"/>
  <c r="D80" i="17"/>
  <c r="D79" i="17"/>
  <c r="D78" i="17"/>
  <c r="D77" i="17"/>
  <c r="D76" i="17"/>
  <c r="C75" i="17"/>
  <c r="D75" i="17" s="1"/>
  <c r="D74" i="17"/>
  <c r="D73" i="17"/>
  <c r="D72" i="17"/>
  <c r="D70" i="17"/>
  <c r="D69" i="17"/>
  <c r="D68" i="17"/>
  <c r="D67" i="17"/>
  <c r="C66" i="17"/>
  <c r="D65" i="17"/>
  <c r="D64" i="17"/>
  <c r="D63" i="17"/>
  <c r="D62" i="17"/>
  <c r="D61" i="17"/>
  <c r="D60" i="17"/>
  <c r="D59" i="17"/>
  <c r="D58" i="17"/>
  <c r="D57" i="17"/>
  <c r="D104" i="16"/>
  <c r="D103" i="16"/>
  <c r="C102" i="16"/>
  <c r="B102" i="16"/>
  <c r="D101" i="16"/>
  <c r="D100" i="16"/>
  <c r="C99" i="16"/>
  <c r="B99" i="16"/>
  <c r="D98" i="16"/>
  <c r="D97" i="16"/>
  <c r="C96" i="16"/>
  <c r="B96" i="16"/>
  <c r="D95" i="16"/>
  <c r="D94" i="16"/>
  <c r="C93" i="16"/>
  <c r="B93" i="16"/>
  <c r="D92" i="16"/>
  <c r="D91" i="16"/>
  <c r="D90" i="16"/>
  <c r="D89" i="16"/>
  <c r="D88" i="16"/>
  <c r="D87" i="16"/>
  <c r="D86" i="16"/>
  <c r="D85" i="16"/>
  <c r="B84" i="16"/>
  <c r="D83" i="16"/>
  <c r="D82" i="16"/>
  <c r="D81" i="16"/>
  <c r="B80" i="16"/>
  <c r="D80" i="16" s="1"/>
  <c r="D79" i="16"/>
  <c r="D78" i="16"/>
  <c r="D77" i="16"/>
  <c r="D76" i="16"/>
  <c r="C75" i="16"/>
  <c r="D74" i="16"/>
  <c r="D73" i="16"/>
  <c r="D72" i="16"/>
  <c r="B71" i="16"/>
  <c r="B66" i="16" s="1"/>
  <c r="D70" i="16"/>
  <c r="D69" i="16"/>
  <c r="D68" i="16"/>
  <c r="D67" i="16"/>
  <c r="C66" i="16"/>
  <c r="D65" i="16"/>
  <c r="A65" i="16"/>
  <c r="D64" i="16"/>
  <c r="A64" i="16"/>
  <c r="D63" i="16"/>
  <c r="A63" i="16"/>
  <c r="D62" i="16"/>
  <c r="A62" i="16"/>
  <c r="D61" i="16"/>
  <c r="A61" i="16"/>
  <c r="D60" i="16"/>
  <c r="A60" i="16"/>
  <c r="D59" i="16"/>
  <c r="A59" i="16"/>
  <c r="D58" i="16"/>
  <c r="A58" i="16"/>
  <c r="D57" i="16"/>
  <c r="A57" i="16"/>
  <c r="D104" i="15"/>
  <c r="D103" i="15"/>
  <c r="C102" i="15"/>
  <c r="D102" i="15" s="1"/>
  <c r="B102" i="15"/>
  <c r="D101" i="15"/>
  <c r="D100" i="15"/>
  <c r="C99" i="15"/>
  <c r="D99" i="15" s="1"/>
  <c r="B99" i="15"/>
  <c r="D98" i="15"/>
  <c r="D97" i="15"/>
  <c r="C96" i="15"/>
  <c r="D96" i="15" s="1"/>
  <c r="B96" i="15"/>
  <c r="D95" i="15"/>
  <c r="D94" i="15"/>
  <c r="C93" i="15"/>
  <c r="D93" i="15" s="1"/>
  <c r="B93" i="15"/>
  <c r="D92" i="15"/>
  <c r="D91" i="15"/>
  <c r="D90" i="15"/>
  <c r="D89" i="15"/>
  <c r="D88" i="15"/>
  <c r="D87" i="15"/>
  <c r="D86" i="15"/>
  <c r="C84" i="15"/>
  <c r="D84" i="15" s="1"/>
  <c r="B84" i="15"/>
  <c r="D83" i="15"/>
  <c r="D82" i="15"/>
  <c r="D81" i="15"/>
  <c r="B75" i="15"/>
  <c r="D79" i="15"/>
  <c r="D78" i="15"/>
  <c r="D77" i="15"/>
  <c r="D76" i="15"/>
  <c r="C75" i="15"/>
  <c r="D74" i="15"/>
  <c r="D73" i="15"/>
  <c r="D72" i="15"/>
  <c r="B66" i="15"/>
  <c r="D70" i="15"/>
  <c r="D69" i="15"/>
  <c r="D68" i="15"/>
  <c r="D67" i="15"/>
  <c r="C66" i="15"/>
  <c r="D65" i="15"/>
  <c r="D64" i="15"/>
  <c r="D63" i="15"/>
  <c r="D62" i="15"/>
  <c r="D61" i="15"/>
  <c r="D60" i="15"/>
  <c r="D59" i="15"/>
  <c r="D58" i="15"/>
  <c r="D57" i="15"/>
  <c r="D104" i="14"/>
  <c r="D103" i="14"/>
  <c r="A103" i="14"/>
  <c r="C102" i="14"/>
  <c r="B102" i="14"/>
  <c r="D101" i="14"/>
  <c r="D100" i="14"/>
  <c r="C99" i="14"/>
  <c r="B99" i="14"/>
  <c r="D98" i="14"/>
  <c r="D97" i="14"/>
  <c r="C96" i="14"/>
  <c r="B96" i="14"/>
  <c r="D95" i="14"/>
  <c r="D94" i="14"/>
  <c r="C93" i="14"/>
  <c r="B93" i="14"/>
  <c r="D92" i="14"/>
  <c r="D91" i="14"/>
  <c r="D90" i="14"/>
  <c r="D89" i="14"/>
  <c r="D88" i="14"/>
  <c r="D87" i="14"/>
  <c r="D86" i="14"/>
  <c r="C85" i="14"/>
  <c r="D85" i="14" s="1"/>
  <c r="D83" i="14"/>
  <c r="D82" i="14"/>
  <c r="D81" i="14"/>
  <c r="B75" i="14"/>
  <c r="D79" i="14"/>
  <c r="D78" i="14"/>
  <c r="D77" i="14"/>
  <c r="C75" i="14"/>
  <c r="D74" i="14"/>
  <c r="D73" i="14"/>
  <c r="D72" i="14"/>
  <c r="B66" i="14"/>
  <c r="D70" i="14"/>
  <c r="D69" i="14"/>
  <c r="D68" i="14"/>
  <c r="D67" i="14"/>
  <c r="C66" i="14"/>
  <c r="D65" i="14"/>
  <c r="A65" i="14"/>
  <c r="D64" i="14"/>
  <c r="A64" i="14"/>
  <c r="D63" i="14"/>
  <c r="A63" i="14"/>
  <c r="D62" i="14"/>
  <c r="A62" i="14"/>
  <c r="D61" i="14"/>
  <c r="A61" i="14"/>
  <c r="D60" i="14"/>
  <c r="A60" i="14"/>
  <c r="D59" i="14"/>
  <c r="A59" i="14"/>
  <c r="D58" i="14"/>
  <c r="A58" i="14"/>
  <c r="D57" i="14"/>
  <c r="A57" i="14"/>
  <c r="F12" i="17"/>
  <c r="E12" i="17"/>
  <c r="F11" i="17"/>
  <c r="E11" i="17"/>
  <c r="F10" i="17"/>
  <c r="E10" i="17"/>
  <c r="C10" i="17"/>
  <c r="AA10" i="5" s="1"/>
  <c r="D10" i="17"/>
  <c r="F9" i="17"/>
  <c r="E9" i="17"/>
  <c r="C9" i="17"/>
  <c r="F8" i="17"/>
  <c r="E8" i="17"/>
  <c r="C8" i="17"/>
  <c r="D8" i="17" s="1"/>
  <c r="F7" i="17"/>
  <c r="E7" i="17"/>
  <c r="C7" i="17"/>
  <c r="D7" i="17" s="1"/>
  <c r="F6" i="17"/>
  <c r="E6" i="17"/>
  <c r="C6" i="17"/>
  <c r="D6" i="17" s="1"/>
  <c r="F5" i="17"/>
  <c r="E5" i="17"/>
  <c r="C5" i="17"/>
  <c r="D5" i="17" s="1"/>
  <c r="F4" i="17"/>
  <c r="E4" i="17"/>
  <c r="C4" i="17"/>
  <c r="D4" i="17" s="1"/>
  <c r="F12" i="16"/>
  <c r="E12" i="16"/>
  <c r="C12" i="16"/>
  <c r="F11" i="16"/>
  <c r="E11" i="16"/>
  <c r="C11" i="16"/>
  <c r="F10" i="16"/>
  <c r="E10" i="16"/>
  <c r="C10" i="16"/>
  <c r="Y10" i="5" s="1"/>
  <c r="F9" i="16"/>
  <c r="E9" i="16"/>
  <c r="C9" i="16"/>
  <c r="B9" i="16"/>
  <c r="F8" i="16"/>
  <c r="E8" i="16"/>
  <c r="C8" i="16"/>
  <c r="D8" i="16" s="1"/>
  <c r="F7" i="16"/>
  <c r="E7" i="16"/>
  <c r="C7" i="16"/>
  <c r="D7" i="16" s="1"/>
  <c r="F6" i="16"/>
  <c r="E6" i="16"/>
  <c r="C6" i="16"/>
  <c r="D6" i="16" s="1"/>
  <c r="F5" i="16"/>
  <c r="E5" i="16"/>
  <c r="C5" i="16"/>
  <c r="D5" i="16" s="1"/>
  <c r="F4" i="16"/>
  <c r="E4" i="16"/>
  <c r="C4" i="16"/>
  <c r="D4" i="16" s="1"/>
  <c r="F12" i="15"/>
  <c r="E12" i="15"/>
  <c r="C12" i="15"/>
  <c r="D12" i="15" s="1"/>
  <c r="F11" i="15"/>
  <c r="E11" i="15"/>
  <c r="C11" i="15"/>
  <c r="F10" i="15"/>
  <c r="E10" i="15"/>
  <c r="C10" i="15"/>
  <c r="W10" i="5" s="1"/>
  <c r="F9" i="15"/>
  <c r="E9" i="15"/>
  <c r="C9" i="15"/>
  <c r="D9" i="15" s="1"/>
  <c r="B9" i="15"/>
  <c r="F8" i="15"/>
  <c r="E8" i="15"/>
  <c r="C8" i="15"/>
  <c r="B8" i="15"/>
  <c r="D8" i="15" s="1"/>
  <c r="F7" i="15"/>
  <c r="E7" i="15"/>
  <c r="C7" i="15"/>
  <c r="D7" i="15" s="1"/>
  <c r="F6" i="15"/>
  <c r="E6" i="15"/>
  <c r="C6" i="15"/>
  <c r="D6" i="15" s="1"/>
  <c r="F5" i="15"/>
  <c r="E5" i="15"/>
  <c r="C5" i="15"/>
  <c r="D5" i="15" s="1"/>
  <c r="F4" i="15"/>
  <c r="E4" i="15"/>
  <c r="C4" i="15"/>
  <c r="D4" i="15" s="1"/>
  <c r="F12" i="14"/>
  <c r="E12" i="14"/>
  <c r="C12" i="14"/>
  <c r="D12" i="14" s="1"/>
  <c r="F11" i="14"/>
  <c r="E11" i="14"/>
  <c r="C11" i="14"/>
  <c r="D11" i="14" s="1"/>
  <c r="F10" i="14"/>
  <c r="E10" i="14"/>
  <c r="C10" i="14"/>
  <c r="F9" i="14"/>
  <c r="E9" i="14"/>
  <c r="C9" i="14"/>
  <c r="D9" i="14" s="1"/>
  <c r="B9" i="14"/>
  <c r="F8" i="14"/>
  <c r="E8" i="14"/>
  <c r="C8" i="14"/>
  <c r="D8" i="14" s="1"/>
  <c r="B8" i="14"/>
  <c r="F7" i="14"/>
  <c r="E7" i="14"/>
  <c r="C7" i="14"/>
  <c r="D7" i="14" s="1"/>
  <c r="F6" i="14"/>
  <c r="E6" i="14"/>
  <c r="C6" i="14"/>
  <c r="D6" i="14" s="1"/>
  <c r="F5" i="14"/>
  <c r="E5" i="14"/>
  <c r="C5" i="14"/>
  <c r="D5" i="14" s="1"/>
  <c r="F4" i="14"/>
  <c r="E4" i="14"/>
  <c r="C4" i="14"/>
  <c r="D4" i="14" s="1"/>
  <c r="C76" i="13"/>
  <c r="C85" i="13"/>
  <c r="C84" i="13" s="1"/>
  <c r="D84" i="13" s="1"/>
  <c r="C63" i="13"/>
  <c r="D63" i="13" s="1"/>
  <c r="C62" i="13"/>
  <c r="C57" i="13"/>
  <c r="C59" i="13"/>
  <c r="C58" i="13"/>
  <c r="C61" i="13"/>
  <c r="D104" i="13"/>
  <c r="D103" i="13"/>
  <c r="A103" i="13"/>
  <c r="B102" i="13"/>
  <c r="D101" i="13"/>
  <c r="D100" i="13"/>
  <c r="D99" i="13"/>
  <c r="C99" i="13"/>
  <c r="B99" i="13"/>
  <c r="D98" i="13"/>
  <c r="D97" i="13"/>
  <c r="C96" i="13"/>
  <c r="D96" i="13" s="1"/>
  <c r="B96" i="13"/>
  <c r="D95" i="13"/>
  <c r="D94" i="13"/>
  <c r="D92" i="13"/>
  <c r="D91" i="13"/>
  <c r="D90" i="13"/>
  <c r="D89" i="13"/>
  <c r="D88" i="13"/>
  <c r="D87" i="13"/>
  <c r="D86" i="13"/>
  <c r="D85" i="13"/>
  <c r="B84" i="13"/>
  <c r="D83" i="13"/>
  <c r="D82" i="13"/>
  <c r="D81" i="13"/>
  <c r="D80" i="13"/>
  <c r="D79" i="13"/>
  <c r="D78" i="13"/>
  <c r="D77" i="13"/>
  <c r="D76" i="13"/>
  <c r="D74" i="13"/>
  <c r="D73" i="13"/>
  <c r="D72" i="13"/>
  <c r="B66" i="13"/>
  <c r="D70" i="13"/>
  <c r="D69" i="13"/>
  <c r="D68" i="13"/>
  <c r="D67" i="13"/>
  <c r="C65" i="13"/>
  <c r="D65" i="13" s="1"/>
  <c r="A65" i="13"/>
  <c r="C64" i="13"/>
  <c r="D64" i="13" s="1"/>
  <c r="A64" i="13"/>
  <c r="A63" i="13"/>
  <c r="D62" i="13"/>
  <c r="A62" i="13"/>
  <c r="D61" i="13"/>
  <c r="A61" i="13"/>
  <c r="D60" i="13"/>
  <c r="A60" i="13"/>
  <c r="D59" i="13"/>
  <c r="A59" i="13"/>
  <c r="D58" i="13"/>
  <c r="A58" i="13"/>
  <c r="D57" i="13"/>
  <c r="A57" i="13"/>
  <c r="C63" i="12"/>
  <c r="A103" i="12"/>
  <c r="C62" i="12"/>
  <c r="C68" i="12"/>
  <c r="C57" i="12"/>
  <c r="C65" i="12"/>
  <c r="C61" i="12"/>
  <c r="C67" i="12"/>
  <c r="C64" i="12"/>
  <c r="D93" i="17" l="1"/>
  <c r="D12" i="17"/>
  <c r="D9" i="17"/>
  <c r="D11" i="17"/>
  <c r="D84" i="17"/>
  <c r="D66" i="17"/>
  <c r="D99" i="16"/>
  <c r="D12" i="16"/>
  <c r="Y12" i="5"/>
  <c r="D102" i="16"/>
  <c r="C10" i="5"/>
  <c r="D96" i="16"/>
  <c r="D11" i="16"/>
  <c r="Y11" i="5"/>
  <c r="D11" i="15"/>
  <c r="W11" i="5"/>
  <c r="D93" i="16"/>
  <c r="D93" i="14"/>
  <c r="D66" i="14"/>
  <c r="C84" i="14"/>
  <c r="D99" i="14"/>
  <c r="D96" i="14"/>
  <c r="D102" i="14"/>
  <c r="D75" i="14"/>
  <c r="D99" i="17"/>
  <c r="D96" i="17"/>
  <c r="D102" i="17"/>
  <c r="D71" i="17"/>
  <c r="D85" i="17"/>
  <c r="D66" i="16"/>
  <c r="B75" i="16"/>
  <c r="D75" i="16" s="1"/>
  <c r="D71" i="16"/>
  <c r="C84" i="16"/>
  <c r="D84" i="16" s="1"/>
  <c r="D10" i="16"/>
  <c r="D9" i="16"/>
  <c r="D75" i="15"/>
  <c r="D66" i="15"/>
  <c r="D71" i="15"/>
  <c r="D80" i="15"/>
  <c r="D85" i="15"/>
  <c r="D10" i="15"/>
  <c r="D76" i="14"/>
  <c r="D80" i="14"/>
  <c r="D71" i="14"/>
  <c r="D10" i="14"/>
  <c r="C102" i="13"/>
  <c r="D102" i="13" s="1"/>
  <c r="C66" i="13"/>
  <c r="D66" i="13" s="1"/>
  <c r="D71" i="13"/>
  <c r="F8" i="13" l="1"/>
  <c r="E8" i="13"/>
  <c r="F8" i="12"/>
  <c r="E8" i="12"/>
  <c r="D62" i="12"/>
  <c r="C51" i="13"/>
  <c r="D51" i="13" s="1"/>
  <c r="C50" i="13"/>
  <c r="D50" i="13" s="1"/>
  <c r="C49" i="13"/>
  <c r="B49" i="13"/>
  <c r="C48" i="13"/>
  <c r="D48" i="13" s="1"/>
  <c r="D47" i="13"/>
  <c r="D46" i="13" s="1"/>
  <c r="C47" i="13"/>
  <c r="C46" i="13"/>
  <c r="B46" i="13"/>
  <c r="C45" i="13"/>
  <c r="D45" i="13" s="1"/>
  <c r="C44" i="13"/>
  <c r="B44" i="13"/>
  <c r="B43" i="13" s="1"/>
  <c r="C42" i="13"/>
  <c r="D42" i="13" s="1"/>
  <c r="C41" i="13"/>
  <c r="B41" i="13"/>
  <c r="B40" i="13"/>
  <c r="C39" i="13"/>
  <c r="D39" i="13" s="1"/>
  <c r="C38" i="13"/>
  <c r="D38" i="13" s="1"/>
  <c r="C37" i="13"/>
  <c r="D37" i="13" s="1"/>
  <c r="C36" i="13"/>
  <c r="D36" i="13" s="1"/>
  <c r="C35" i="13"/>
  <c r="D35" i="13" s="1"/>
  <c r="C34" i="13"/>
  <c r="D34" i="13" s="1"/>
  <c r="C33" i="13"/>
  <c r="D33" i="13" s="1"/>
  <c r="C32" i="13"/>
  <c r="B32" i="13"/>
  <c r="B31" i="13"/>
  <c r="C30" i="13"/>
  <c r="D30" i="13" s="1"/>
  <c r="C29" i="13"/>
  <c r="D29" i="13" s="1"/>
  <c r="C28" i="13"/>
  <c r="D28" i="13" s="1"/>
  <c r="C27" i="13"/>
  <c r="D27" i="13" s="1"/>
  <c r="C26" i="13"/>
  <c r="C25" i="13"/>
  <c r="B25" i="13"/>
  <c r="C24" i="13"/>
  <c r="B24" i="13"/>
  <c r="C23" i="13"/>
  <c r="B23" i="13"/>
  <c r="C21" i="13"/>
  <c r="D21" i="13" s="1"/>
  <c r="C20" i="13"/>
  <c r="D20" i="13" s="1"/>
  <c r="C19" i="13"/>
  <c r="D19" i="13" s="1"/>
  <c r="C18" i="13"/>
  <c r="B13" i="13"/>
  <c r="C17" i="13"/>
  <c r="D17" i="13" s="1"/>
  <c r="C16" i="13"/>
  <c r="D16" i="13" s="1"/>
  <c r="C15" i="13"/>
  <c r="C14" i="13"/>
  <c r="D14" i="13" s="1"/>
  <c r="C12" i="13"/>
  <c r="D12" i="13" s="1"/>
  <c r="C11" i="13"/>
  <c r="D11" i="13" s="1"/>
  <c r="C10" i="13"/>
  <c r="C9" i="13"/>
  <c r="B9" i="13"/>
  <c r="C8" i="13"/>
  <c r="D8" i="13" s="1"/>
  <c r="B8" i="13"/>
  <c r="B3" i="13" s="1"/>
  <c r="C7" i="13"/>
  <c r="D7" i="13" s="1"/>
  <c r="C6" i="13"/>
  <c r="D6" i="13" s="1"/>
  <c r="C5" i="13"/>
  <c r="D5" i="13" s="1"/>
  <c r="C4" i="13"/>
  <c r="D4" i="13" s="1"/>
  <c r="B32" i="12"/>
  <c r="A65" i="12"/>
  <c r="A64" i="12"/>
  <c r="A63" i="12"/>
  <c r="A62" i="12"/>
  <c r="A61" i="12"/>
  <c r="A60" i="12"/>
  <c r="A59" i="12"/>
  <c r="A58" i="12"/>
  <c r="A57" i="12"/>
  <c r="C12" i="12"/>
  <c r="C11" i="12"/>
  <c r="C10" i="12"/>
  <c r="B10" i="12"/>
  <c r="C9" i="12"/>
  <c r="B9" i="12"/>
  <c r="C8" i="12"/>
  <c r="D8" i="12" s="1"/>
  <c r="B8" i="12"/>
  <c r="C7" i="12"/>
  <c r="C6" i="12"/>
  <c r="C5" i="12"/>
  <c r="C4" i="12"/>
  <c r="C27" i="11"/>
  <c r="B27" i="11"/>
  <c r="E11" i="11"/>
  <c r="F11" i="11"/>
  <c r="C11" i="11"/>
  <c r="D11" i="11"/>
  <c r="D64" i="11"/>
  <c r="A104" i="11"/>
  <c r="A103" i="11"/>
  <c r="B102" i="11"/>
  <c r="A101" i="11"/>
  <c r="A100" i="11"/>
  <c r="B99" i="11"/>
  <c r="A98" i="11"/>
  <c r="A97" i="11"/>
  <c r="B96" i="11"/>
  <c r="A95" i="11"/>
  <c r="A94" i="11"/>
  <c r="B93" i="11"/>
  <c r="A92" i="11"/>
  <c r="A91" i="11"/>
  <c r="A90" i="11"/>
  <c r="A89" i="11"/>
  <c r="A88" i="11"/>
  <c r="A87" i="11"/>
  <c r="A86" i="11"/>
  <c r="A85" i="11"/>
  <c r="B84" i="11"/>
  <c r="A83" i="11"/>
  <c r="A82" i="11"/>
  <c r="A81" i="11"/>
  <c r="A80" i="11"/>
  <c r="A79" i="11"/>
  <c r="A78" i="11"/>
  <c r="A77" i="11"/>
  <c r="A76" i="11"/>
  <c r="B75" i="11"/>
  <c r="A74" i="11"/>
  <c r="A73" i="11"/>
  <c r="A72" i="11"/>
  <c r="A71" i="11"/>
  <c r="A70" i="11"/>
  <c r="A69" i="11"/>
  <c r="A68" i="11"/>
  <c r="A67" i="11"/>
  <c r="B66" i="11"/>
  <c r="A65" i="11"/>
  <c r="A64" i="11"/>
  <c r="A63" i="11"/>
  <c r="A62" i="11"/>
  <c r="A61" i="11"/>
  <c r="A60" i="11"/>
  <c r="A59" i="11"/>
  <c r="A58" i="11"/>
  <c r="A57" i="11"/>
  <c r="A104" i="10"/>
  <c r="A103" i="10"/>
  <c r="A101" i="10"/>
  <c r="A100" i="10"/>
  <c r="A98" i="10"/>
  <c r="A97" i="10"/>
  <c r="A95" i="10"/>
  <c r="A94" i="10"/>
  <c r="A92" i="10"/>
  <c r="A91" i="10"/>
  <c r="A90" i="10"/>
  <c r="A89" i="10"/>
  <c r="A88" i="10"/>
  <c r="A87" i="10"/>
  <c r="A86" i="10"/>
  <c r="A85" i="10"/>
  <c r="A83" i="10"/>
  <c r="A82" i="10"/>
  <c r="A81" i="10"/>
  <c r="A80" i="10"/>
  <c r="A79" i="10"/>
  <c r="A78" i="10"/>
  <c r="A77" i="10"/>
  <c r="A76" i="10"/>
  <c r="A74" i="10"/>
  <c r="A73" i="10"/>
  <c r="A72" i="10"/>
  <c r="A71" i="10"/>
  <c r="A70" i="10"/>
  <c r="A69" i="10"/>
  <c r="A68" i="10"/>
  <c r="A67" i="10"/>
  <c r="A65" i="10"/>
  <c r="A64" i="10"/>
  <c r="A63" i="10"/>
  <c r="A62" i="10"/>
  <c r="A61" i="10"/>
  <c r="A60" i="10"/>
  <c r="A59" i="10"/>
  <c r="A58" i="10"/>
  <c r="A57" i="10"/>
  <c r="A102" i="9"/>
  <c r="A101" i="9"/>
  <c r="A99" i="9"/>
  <c r="A98" i="9"/>
  <c r="A96" i="9"/>
  <c r="A95" i="9"/>
  <c r="A93" i="9"/>
  <c r="A92" i="9"/>
  <c r="A90" i="9"/>
  <c r="A89" i="9"/>
  <c r="A88" i="9"/>
  <c r="A87" i="9"/>
  <c r="A86" i="9"/>
  <c r="A85" i="9"/>
  <c r="A84" i="9"/>
  <c r="A83" i="9"/>
  <c r="A81" i="9"/>
  <c r="A80" i="9"/>
  <c r="A79" i="9"/>
  <c r="A78" i="9"/>
  <c r="A77" i="9"/>
  <c r="A76" i="9"/>
  <c r="A75" i="9"/>
  <c r="A74" i="9"/>
  <c r="A72" i="9"/>
  <c r="A71" i="9"/>
  <c r="A70" i="9"/>
  <c r="A69" i="9"/>
  <c r="A68" i="9"/>
  <c r="A67" i="9"/>
  <c r="A66" i="9"/>
  <c r="A65" i="9"/>
  <c r="A63" i="9"/>
  <c r="A62" i="9"/>
  <c r="A61" i="9"/>
  <c r="A60" i="9"/>
  <c r="A59" i="9"/>
  <c r="B49" i="11"/>
  <c r="B46" i="11"/>
  <c r="B44" i="11"/>
  <c r="B43" i="11"/>
  <c r="B40" i="11"/>
  <c r="B32" i="11"/>
  <c r="B31" i="11"/>
  <c r="B25" i="11"/>
  <c r="B24" i="11"/>
  <c r="B23" i="11"/>
  <c r="B15" i="11"/>
  <c r="B14" i="11"/>
  <c r="B13" i="11"/>
  <c r="B9" i="11"/>
  <c r="B8" i="11"/>
  <c r="D64" i="10"/>
  <c r="E11" i="10"/>
  <c r="F11" i="10"/>
  <c r="C11" i="10"/>
  <c r="D11" i="10" s="1"/>
  <c r="C76" i="10"/>
  <c r="C97" i="10"/>
  <c r="C122" i="10"/>
  <c r="C121" i="10"/>
  <c r="C120" i="10"/>
  <c r="C119" i="10"/>
  <c r="C118" i="10"/>
  <c r="C117" i="10"/>
  <c r="C116" i="10"/>
  <c r="C115" i="10"/>
  <c r="C120" i="9"/>
  <c r="C119" i="9"/>
  <c r="C118" i="9"/>
  <c r="C117" i="9"/>
  <c r="C116" i="9"/>
  <c r="C115" i="9"/>
  <c r="C114" i="9"/>
  <c r="C113" i="9"/>
  <c r="C63" i="9"/>
  <c r="C61" i="9"/>
  <c r="C60" i="9"/>
  <c r="C95" i="9"/>
  <c r="C92" i="9"/>
  <c r="C66" i="9"/>
  <c r="C65" i="9"/>
  <c r="C57" i="9"/>
  <c r="C58" i="9"/>
  <c r="C13" i="13" l="1"/>
  <c r="B22" i="13"/>
  <c r="D9" i="13"/>
  <c r="C22" i="13"/>
  <c r="D24" i="13"/>
  <c r="D32" i="13"/>
  <c r="D41" i="13"/>
  <c r="D40" i="13" s="1"/>
  <c r="D18" i="13"/>
  <c r="D25" i="13"/>
  <c r="C3" i="13"/>
  <c r="D10" i="13"/>
  <c r="D3" i="13" s="1"/>
  <c r="D49" i="13"/>
  <c r="D26" i="13"/>
  <c r="C43" i="13"/>
  <c r="D31" i="13"/>
  <c r="C31" i="13"/>
  <c r="C40" i="13"/>
  <c r="D15" i="13"/>
  <c r="D13" i="13" s="1"/>
  <c r="D23" i="13"/>
  <c r="D22" i="13" s="1"/>
  <c r="D44" i="13"/>
  <c r="D43" i="13" s="1"/>
  <c r="B3" i="11"/>
  <c r="B22" i="11"/>
  <c r="B10" i="10"/>
  <c r="B9" i="10"/>
  <c r="B10" i="9"/>
  <c r="B9" i="9"/>
  <c r="B8" i="9"/>
  <c r="C115" i="6"/>
  <c r="C114" i="6"/>
  <c r="C113" i="6"/>
  <c r="A77" i="6"/>
  <c r="A76" i="6"/>
  <c r="A75" i="6"/>
  <c r="A74" i="6"/>
  <c r="A65" i="6"/>
  <c r="A66" i="6"/>
  <c r="B10" i="6" l="1"/>
  <c r="A58" i="9"/>
  <c r="A57" i="9"/>
  <c r="A56" i="9"/>
  <c r="C115" i="3"/>
  <c r="G117" i="5" s="1"/>
  <c r="C114" i="3"/>
  <c r="G116" i="5" s="1"/>
  <c r="C113" i="3"/>
  <c r="G115" i="5" s="1"/>
  <c r="A63" i="6"/>
  <c r="A62" i="6"/>
  <c r="A61" i="6"/>
  <c r="A60" i="6"/>
  <c r="A59" i="6"/>
  <c r="A58" i="6"/>
  <c r="A57" i="6"/>
  <c r="A56" i="6"/>
  <c r="Z122" i="5"/>
  <c r="Z121" i="5"/>
  <c r="Z120" i="5"/>
  <c r="Z119" i="5"/>
  <c r="Z118" i="5"/>
  <c r="AA117" i="5"/>
  <c r="Z117" i="5"/>
  <c r="AA116" i="5"/>
  <c r="Z116" i="5"/>
  <c r="AA115" i="5"/>
  <c r="Z115" i="5"/>
  <c r="AA104" i="5"/>
  <c r="Z104" i="5"/>
  <c r="AA103" i="5"/>
  <c r="Z103" i="5"/>
  <c r="AA101" i="5"/>
  <c r="Z101" i="5"/>
  <c r="AA100" i="5"/>
  <c r="Z100" i="5"/>
  <c r="AA98" i="5"/>
  <c r="Z98" i="5"/>
  <c r="AA97" i="5"/>
  <c r="Z97" i="5"/>
  <c r="AA95" i="5"/>
  <c r="Z95" i="5"/>
  <c r="AA94" i="5"/>
  <c r="Z94" i="5"/>
  <c r="AA92" i="5"/>
  <c r="Z92" i="5"/>
  <c r="AA91" i="5"/>
  <c r="Z91" i="5"/>
  <c r="AA90" i="5"/>
  <c r="Z90" i="5"/>
  <c r="AA89" i="5"/>
  <c r="AA88" i="5"/>
  <c r="Z88" i="5"/>
  <c r="AA87" i="5"/>
  <c r="Z87" i="5"/>
  <c r="AA86" i="5"/>
  <c r="Z86" i="5"/>
  <c r="AA85" i="5"/>
  <c r="Z85" i="5"/>
  <c r="AA83" i="5"/>
  <c r="Z83" i="5"/>
  <c r="AA82" i="5"/>
  <c r="Z82" i="5"/>
  <c r="AA81" i="5"/>
  <c r="Z81" i="5"/>
  <c r="AA80" i="5"/>
  <c r="AA79" i="5"/>
  <c r="Z79" i="5"/>
  <c r="AA78" i="5"/>
  <c r="Z78" i="5"/>
  <c r="AA77" i="5"/>
  <c r="Z77" i="5"/>
  <c r="AA76" i="5"/>
  <c r="Z76" i="5"/>
  <c r="AA74" i="5"/>
  <c r="Z74" i="5"/>
  <c r="AA73" i="5"/>
  <c r="Z73" i="5"/>
  <c r="AA72" i="5"/>
  <c r="Z72" i="5"/>
  <c r="AA71" i="5"/>
  <c r="AA70" i="5"/>
  <c r="Z70" i="5"/>
  <c r="AA69" i="5"/>
  <c r="Z69" i="5"/>
  <c r="AA68" i="5"/>
  <c r="Z68" i="5"/>
  <c r="AA67" i="5"/>
  <c r="Z67" i="5"/>
  <c r="AA62" i="5"/>
  <c r="Z62" i="5"/>
  <c r="AA61" i="5"/>
  <c r="Z61" i="5"/>
  <c r="AA60" i="5"/>
  <c r="Z60" i="5"/>
  <c r="AA59" i="5"/>
  <c r="Z59" i="5"/>
  <c r="AA58" i="5"/>
  <c r="Z58" i="5"/>
  <c r="AA57" i="5"/>
  <c r="Z57" i="5"/>
  <c r="Z51" i="5"/>
  <c r="Z50" i="5"/>
  <c r="Z48" i="5"/>
  <c r="Z47" i="5"/>
  <c r="Z45" i="5"/>
  <c r="Z42" i="5"/>
  <c r="Z39" i="5"/>
  <c r="Z37" i="5"/>
  <c r="Z30" i="5"/>
  <c r="Z28" i="5"/>
  <c r="Z21" i="5"/>
  <c r="Z19" i="5"/>
  <c r="Z17" i="5"/>
  <c r="Z16" i="5"/>
  <c r="Z15" i="5"/>
  <c r="Z14" i="5"/>
  <c r="Z7" i="5"/>
  <c r="Z6" i="5"/>
  <c r="Z5" i="5"/>
  <c r="Z4" i="5"/>
  <c r="X122" i="5"/>
  <c r="X121" i="5"/>
  <c r="X120" i="5"/>
  <c r="X119" i="5"/>
  <c r="X118" i="5"/>
  <c r="Y117" i="5"/>
  <c r="X117" i="5"/>
  <c r="Y116" i="5"/>
  <c r="X116" i="5"/>
  <c r="Y115" i="5"/>
  <c r="X115" i="5"/>
  <c r="Y104" i="5"/>
  <c r="X104" i="5"/>
  <c r="Y103" i="5"/>
  <c r="X103" i="5"/>
  <c r="Y101" i="5"/>
  <c r="X101" i="5"/>
  <c r="Y100" i="5"/>
  <c r="X100" i="5"/>
  <c r="Y98" i="5"/>
  <c r="X98" i="5"/>
  <c r="Y97" i="5"/>
  <c r="X97" i="5"/>
  <c r="Y95" i="5"/>
  <c r="X95" i="5"/>
  <c r="Y94" i="5"/>
  <c r="X94" i="5"/>
  <c r="Y92" i="5"/>
  <c r="X92" i="5"/>
  <c r="Y91" i="5"/>
  <c r="X91" i="5"/>
  <c r="Y90" i="5"/>
  <c r="X90" i="5"/>
  <c r="Y89" i="5"/>
  <c r="Y88" i="5"/>
  <c r="X88" i="5"/>
  <c r="Y87" i="5"/>
  <c r="X87" i="5"/>
  <c r="Y86" i="5"/>
  <c r="X86" i="5"/>
  <c r="Y85" i="5"/>
  <c r="X85" i="5"/>
  <c r="Y83" i="5"/>
  <c r="X83" i="5"/>
  <c r="Y82" i="5"/>
  <c r="X82" i="5"/>
  <c r="Y81" i="5"/>
  <c r="X81" i="5"/>
  <c r="Y80" i="5"/>
  <c r="Y79" i="5"/>
  <c r="X79" i="5"/>
  <c r="Y78" i="5"/>
  <c r="X78" i="5"/>
  <c r="Y77" i="5"/>
  <c r="X77" i="5"/>
  <c r="Y76" i="5"/>
  <c r="X76" i="5"/>
  <c r="Y74" i="5"/>
  <c r="X74" i="5"/>
  <c r="Y73" i="5"/>
  <c r="X73" i="5"/>
  <c r="Y72" i="5"/>
  <c r="X72" i="5"/>
  <c r="Y71" i="5"/>
  <c r="Y70" i="5"/>
  <c r="X70" i="5"/>
  <c r="Y69" i="5"/>
  <c r="X69" i="5"/>
  <c r="Y68" i="5"/>
  <c r="X68" i="5"/>
  <c r="Y67" i="5"/>
  <c r="X67" i="5"/>
  <c r="Y62" i="5"/>
  <c r="X62" i="5"/>
  <c r="Y61" i="5"/>
  <c r="X61" i="5"/>
  <c r="Y60" i="5"/>
  <c r="X60" i="5"/>
  <c r="Y59" i="5"/>
  <c r="X59" i="5"/>
  <c r="Y58" i="5"/>
  <c r="X58" i="5"/>
  <c r="Y57" i="5"/>
  <c r="X57" i="5"/>
  <c r="X51" i="5"/>
  <c r="X50" i="5"/>
  <c r="X48" i="5"/>
  <c r="X47" i="5"/>
  <c r="X45" i="5"/>
  <c r="X42" i="5"/>
  <c r="X39" i="5"/>
  <c r="X37" i="5"/>
  <c r="X30" i="5"/>
  <c r="X28" i="5"/>
  <c r="X21" i="5"/>
  <c r="X19" i="5"/>
  <c r="X17" i="5"/>
  <c r="X16" i="5"/>
  <c r="X15" i="5"/>
  <c r="X14" i="5"/>
  <c r="X7" i="5"/>
  <c r="X6" i="5"/>
  <c r="X5" i="5"/>
  <c r="X4" i="5"/>
  <c r="V122" i="5"/>
  <c r="V121" i="5"/>
  <c r="V120" i="5"/>
  <c r="V119" i="5"/>
  <c r="V118" i="5"/>
  <c r="W117" i="5"/>
  <c r="V117" i="5"/>
  <c r="W116" i="5"/>
  <c r="V116" i="5"/>
  <c r="W115" i="5"/>
  <c r="V115" i="5"/>
  <c r="W104" i="5"/>
  <c r="V104" i="5"/>
  <c r="W103" i="5"/>
  <c r="V103" i="5"/>
  <c r="W101" i="5"/>
  <c r="V101" i="5"/>
  <c r="W100" i="5"/>
  <c r="V100" i="5"/>
  <c r="W98" i="5"/>
  <c r="V98" i="5"/>
  <c r="W97" i="5"/>
  <c r="V97" i="5"/>
  <c r="W95" i="5"/>
  <c r="V95" i="5"/>
  <c r="W94" i="5"/>
  <c r="V94" i="5"/>
  <c r="W92" i="5"/>
  <c r="V92" i="5"/>
  <c r="W91" i="5"/>
  <c r="V91" i="5"/>
  <c r="W90" i="5"/>
  <c r="V90" i="5"/>
  <c r="W89" i="5"/>
  <c r="W88" i="5"/>
  <c r="V88" i="5"/>
  <c r="W87" i="5"/>
  <c r="V87" i="5"/>
  <c r="W86" i="5"/>
  <c r="V86" i="5"/>
  <c r="W85" i="5"/>
  <c r="V85" i="5"/>
  <c r="W83" i="5"/>
  <c r="V83" i="5"/>
  <c r="W82" i="5"/>
  <c r="V82" i="5"/>
  <c r="W81" i="5"/>
  <c r="V81" i="5"/>
  <c r="W80" i="5"/>
  <c r="V79" i="5"/>
  <c r="W78" i="5"/>
  <c r="V78" i="5"/>
  <c r="W77" i="5"/>
  <c r="V77" i="5"/>
  <c r="W76" i="5"/>
  <c r="V76" i="5"/>
  <c r="W74" i="5"/>
  <c r="V74" i="5"/>
  <c r="W73" i="5"/>
  <c r="V73" i="5"/>
  <c r="W72" i="5"/>
  <c r="V72" i="5"/>
  <c r="W71" i="5"/>
  <c r="W70" i="5"/>
  <c r="V70" i="5"/>
  <c r="W69" i="5"/>
  <c r="V69" i="5"/>
  <c r="W68" i="5"/>
  <c r="V68" i="5"/>
  <c r="W67" i="5"/>
  <c r="V67" i="5"/>
  <c r="W62" i="5"/>
  <c r="V62" i="5"/>
  <c r="W61" i="5"/>
  <c r="V61" i="5"/>
  <c r="W60" i="5"/>
  <c r="V60" i="5"/>
  <c r="W59" i="5"/>
  <c r="V59" i="5"/>
  <c r="W58" i="5"/>
  <c r="V58" i="5"/>
  <c r="W57" i="5"/>
  <c r="V57" i="5"/>
  <c r="V51" i="5"/>
  <c r="V50" i="5"/>
  <c r="V48" i="5"/>
  <c r="V47" i="5"/>
  <c r="V45" i="5"/>
  <c r="V42" i="5"/>
  <c r="V39" i="5"/>
  <c r="V37" i="5"/>
  <c r="V30" i="5"/>
  <c r="V28" i="5"/>
  <c r="V21" i="5"/>
  <c r="V19" i="5"/>
  <c r="V17" i="5"/>
  <c r="V16" i="5"/>
  <c r="V15" i="5"/>
  <c r="V14" i="5"/>
  <c r="V12" i="5"/>
  <c r="V8" i="5"/>
  <c r="V7" i="5"/>
  <c r="V6" i="5"/>
  <c r="V5" i="5"/>
  <c r="V4" i="5"/>
  <c r="T122" i="5"/>
  <c r="T121" i="5"/>
  <c r="T120" i="5"/>
  <c r="T119" i="5"/>
  <c r="T118" i="5"/>
  <c r="U117" i="5"/>
  <c r="T117" i="5"/>
  <c r="U116" i="5"/>
  <c r="T116" i="5"/>
  <c r="U115" i="5"/>
  <c r="T115" i="5"/>
  <c r="U104" i="5"/>
  <c r="T104" i="5"/>
  <c r="U103" i="5"/>
  <c r="T103" i="5"/>
  <c r="U101" i="5"/>
  <c r="T101" i="5"/>
  <c r="U100" i="5"/>
  <c r="T100" i="5"/>
  <c r="U98" i="5"/>
  <c r="T98" i="5"/>
  <c r="U97" i="5"/>
  <c r="T97" i="5"/>
  <c r="U95" i="5"/>
  <c r="T95" i="5"/>
  <c r="U94" i="5"/>
  <c r="T94" i="5"/>
  <c r="U92" i="5"/>
  <c r="T92" i="5"/>
  <c r="U91" i="5"/>
  <c r="T91" i="5"/>
  <c r="U90" i="5"/>
  <c r="T90" i="5"/>
  <c r="U89" i="5"/>
  <c r="U88" i="5"/>
  <c r="T88" i="5"/>
  <c r="U87" i="5"/>
  <c r="T87" i="5"/>
  <c r="U86" i="5"/>
  <c r="T86" i="5"/>
  <c r="U85" i="5"/>
  <c r="T85" i="5"/>
  <c r="U83" i="5"/>
  <c r="T83" i="5"/>
  <c r="U82" i="5"/>
  <c r="T82" i="5"/>
  <c r="U81" i="5"/>
  <c r="T81" i="5"/>
  <c r="U80" i="5"/>
  <c r="T79" i="5"/>
  <c r="U78" i="5"/>
  <c r="T78" i="5"/>
  <c r="U77" i="5"/>
  <c r="T77" i="5"/>
  <c r="U76" i="5"/>
  <c r="T76" i="5"/>
  <c r="U74" i="5"/>
  <c r="T74" i="5"/>
  <c r="U73" i="5"/>
  <c r="T73" i="5"/>
  <c r="U72" i="5"/>
  <c r="T72" i="5"/>
  <c r="U71" i="5"/>
  <c r="U70" i="5"/>
  <c r="T70" i="5"/>
  <c r="U69" i="5"/>
  <c r="T69" i="5"/>
  <c r="U68" i="5"/>
  <c r="T68" i="5"/>
  <c r="U67" i="5"/>
  <c r="T67" i="5"/>
  <c r="U62" i="5"/>
  <c r="T62" i="5"/>
  <c r="U61" i="5"/>
  <c r="T61" i="5"/>
  <c r="U60" i="5"/>
  <c r="T60" i="5"/>
  <c r="U59" i="5"/>
  <c r="T59" i="5"/>
  <c r="U58" i="5"/>
  <c r="T58" i="5"/>
  <c r="U57" i="5"/>
  <c r="T57" i="5"/>
  <c r="T51" i="5"/>
  <c r="T50" i="5"/>
  <c r="T48" i="5"/>
  <c r="T47" i="5"/>
  <c r="T45" i="5"/>
  <c r="T42" i="5"/>
  <c r="T39" i="5"/>
  <c r="T37" i="5"/>
  <c r="T30" i="5"/>
  <c r="T28" i="5"/>
  <c r="T21" i="5"/>
  <c r="T19" i="5"/>
  <c r="T17" i="5"/>
  <c r="T16" i="5"/>
  <c r="T15" i="5"/>
  <c r="T14" i="5"/>
  <c r="T7" i="5"/>
  <c r="T6" i="5"/>
  <c r="T5" i="5"/>
  <c r="T4" i="5"/>
  <c r="R122" i="5"/>
  <c r="R121" i="5"/>
  <c r="R120" i="5"/>
  <c r="R119" i="5"/>
  <c r="R118" i="5"/>
  <c r="S117" i="5"/>
  <c r="R117" i="5"/>
  <c r="S116" i="5"/>
  <c r="R116" i="5"/>
  <c r="S115" i="5"/>
  <c r="R115" i="5"/>
  <c r="S104" i="5"/>
  <c r="R104" i="5"/>
  <c r="S103" i="5"/>
  <c r="R103" i="5"/>
  <c r="S101" i="5"/>
  <c r="R101" i="5"/>
  <c r="S100" i="5"/>
  <c r="R100" i="5"/>
  <c r="S98" i="5"/>
  <c r="R98" i="5"/>
  <c r="S97" i="5"/>
  <c r="R97" i="5"/>
  <c r="S95" i="5"/>
  <c r="R95" i="5"/>
  <c r="S94" i="5"/>
  <c r="R94" i="5"/>
  <c r="S92" i="5"/>
  <c r="R92" i="5"/>
  <c r="S91" i="5"/>
  <c r="R91" i="5"/>
  <c r="S90" i="5"/>
  <c r="R90" i="5"/>
  <c r="S89" i="5"/>
  <c r="R89" i="5"/>
  <c r="S88" i="5"/>
  <c r="R88" i="5"/>
  <c r="S87" i="5"/>
  <c r="R87" i="5"/>
  <c r="S86" i="5"/>
  <c r="R86" i="5"/>
  <c r="S85" i="5"/>
  <c r="R85" i="5"/>
  <c r="S83" i="5"/>
  <c r="R83" i="5"/>
  <c r="S82" i="5"/>
  <c r="R82" i="5"/>
  <c r="S81" i="5"/>
  <c r="R81" i="5"/>
  <c r="S80" i="5"/>
  <c r="R79" i="5"/>
  <c r="S78" i="5"/>
  <c r="R78" i="5"/>
  <c r="S77" i="5"/>
  <c r="R77" i="5"/>
  <c r="S76" i="5"/>
  <c r="R76" i="5"/>
  <c r="S74" i="5"/>
  <c r="R74" i="5"/>
  <c r="S73" i="5"/>
  <c r="R73" i="5"/>
  <c r="S72" i="5"/>
  <c r="R72" i="5"/>
  <c r="S71" i="5"/>
  <c r="S70" i="5"/>
  <c r="R70" i="5"/>
  <c r="S69" i="5"/>
  <c r="R69" i="5"/>
  <c r="S68" i="5"/>
  <c r="R68" i="5"/>
  <c r="S67" i="5"/>
  <c r="R67" i="5"/>
  <c r="S60" i="5"/>
  <c r="R60" i="5"/>
  <c r="S59" i="5"/>
  <c r="R59" i="5"/>
  <c r="S58" i="5"/>
  <c r="R58" i="5"/>
  <c r="S57" i="5"/>
  <c r="R57" i="5"/>
  <c r="R51" i="5"/>
  <c r="R50" i="5"/>
  <c r="R48" i="5"/>
  <c r="R47" i="5"/>
  <c r="R45" i="5"/>
  <c r="R42" i="5"/>
  <c r="R39" i="5"/>
  <c r="R38" i="5"/>
  <c r="R37" i="5"/>
  <c r="R36" i="5"/>
  <c r="R35" i="5"/>
  <c r="R34" i="5"/>
  <c r="R33" i="5"/>
  <c r="R30" i="5"/>
  <c r="R28" i="5"/>
  <c r="R21" i="5"/>
  <c r="R19" i="5"/>
  <c r="R17" i="5"/>
  <c r="R16" i="5"/>
  <c r="R15" i="5"/>
  <c r="R14" i="5"/>
  <c r="R7" i="5"/>
  <c r="R6" i="5"/>
  <c r="R5" i="5"/>
  <c r="R4" i="5"/>
  <c r="P122" i="5"/>
  <c r="P121" i="5"/>
  <c r="P120" i="5"/>
  <c r="P119" i="5"/>
  <c r="P118" i="5"/>
  <c r="Q117" i="5"/>
  <c r="P117" i="5"/>
  <c r="Q116" i="5"/>
  <c r="P116" i="5"/>
  <c r="Q115" i="5"/>
  <c r="P115" i="5"/>
  <c r="Q104" i="5"/>
  <c r="P104" i="5"/>
  <c r="Q103" i="5"/>
  <c r="P103" i="5"/>
  <c r="Q101" i="5"/>
  <c r="P101" i="5"/>
  <c r="Q100" i="5"/>
  <c r="P100" i="5"/>
  <c r="Q98" i="5"/>
  <c r="P98" i="5"/>
  <c r="Q97" i="5"/>
  <c r="P97" i="5"/>
  <c r="Q95" i="5"/>
  <c r="P95" i="5"/>
  <c r="Q94" i="5"/>
  <c r="P94" i="5"/>
  <c r="Q92" i="5"/>
  <c r="P92" i="5"/>
  <c r="Q91" i="5"/>
  <c r="P91" i="5"/>
  <c r="Q90" i="5"/>
  <c r="P90" i="5"/>
  <c r="Q89" i="5"/>
  <c r="P89" i="5"/>
  <c r="Q88" i="5"/>
  <c r="P88" i="5"/>
  <c r="Q87" i="5"/>
  <c r="P87" i="5"/>
  <c r="Q86" i="5"/>
  <c r="P86" i="5"/>
  <c r="Q85" i="5"/>
  <c r="P85" i="5"/>
  <c r="Q83" i="5"/>
  <c r="P83" i="5"/>
  <c r="Q82" i="5"/>
  <c r="P82" i="5"/>
  <c r="Q81" i="5"/>
  <c r="P81" i="5"/>
  <c r="Q80" i="5"/>
  <c r="P79" i="5"/>
  <c r="Q78" i="5"/>
  <c r="P78" i="5"/>
  <c r="Q77" i="5"/>
  <c r="P77" i="5"/>
  <c r="Q76" i="5"/>
  <c r="P76" i="5"/>
  <c r="Q74" i="5"/>
  <c r="P74" i="5"/>
  <c r="Q73" i="5"/>
  <c r="P73" i="5"/>
  <c r="Q72" i="5"/>
  <c r="P72" i="5"/>
  <c r="Q71" i="5"/>
  <c r="Q70" i="5"/>
  <c r="P70" i="5"/>
  <c r="Q69" i="5"/>
  <c r="P69" i="5"/>
  <c r="Q68" i="5"/>
  <c r="P68" i="5"/>
  <c r="Q67" i="5"/>
  <c r="P67" i="5"/>
  <c r="Q61" i="5"/>
  <c r="P61" i="5"/>
  <c r="Q60" i="5"/>
  <c r="P60" i="5"/>
  <c r="Q59" i="5"/>
  <c r="P59" i="5"/>
  <c r="Q58" i="5"/>
  <c r="P58" i="5"/>
  <c r="Q57" i="5"/>
  <c r="P57" i="5"/>
  <c r="P51" i="5"/>
  <c r="P50" i="5"/>
  <c r="P48" i="5"/>
  <c r="P47" i="5"/>
  <c r="P45" i="5"/>
  <c r="P42" i="5"/>
  <c r="P39" i="5"/>
  <c r="P38" i="5"/>
  <c r="P37" i="5"/>
  <c r="P36" i="5"/>
  <c r="P35" i="5"/>
  <c r="P34" i="5"/>
  <c r="P33" i="5"/>
  <c r="P30" i="5"/>
  <c r="P28" i="5"/>
  <c r="P21" i="5"/>
  <c r="P19" i="5"/>
  <c r="P17" i="5"/>
  <c r="P16" i="5"/>
  <c r="P15" i="5"/>
  <c r="P14" i="5"/>
  <c r="P7" i="5"/>
  <c r="P6" i="5"/>
  <c r="P5" i="5"/>
  <c r="P4" i="5"/>
  <c r="N122" i="5"/>
  <c r="N121" i="5"/>
  <c r="N120" i="5"/>
  <c r="N119" i="5"/>
  <c r="N118" i="5"/>
  <c r="O117" i="5"/>
  <c r="N117" i="5"/>
  <c r="O116" i="5"/>
  <c r="N116" i="5"/>
  <c r="O115" i="5"/>
  <c r="N115" i="5"/>
  <c r="O104" i="5"/>
  <c r="N104" i="5"/>
  <c r="O103" i="5"/>
  <c r="N103" i="5"/>
  <c r="O101" i="5"/>
  <c r="N101" i="5"/>
  <c r="O100" i="5"/>
  <c r="N100" i="5"/>
  <c r="O98" i="5"/>
  <c r="N98" i="5"/>
  <c r="O97" i="5"/>
  <c r="N97" i="5"/>
  <c r="O95" i="5"/>
  <c r="N95" i="5"/>
  <c r="O94" i="5"/>
  <c r="N94" i="5"/>
  <c r="O92" i="5"/>
  <c r="N92" i="5"/>
  <c r="O91" i="5"/>
  <c r="N91" i="5"/>
  <c r="O90" i="5"/>
  <c r="N90" i="5"/>
  <c r="O89" i="5"/>
  <c r="N89" i="5"/>
  <c r="O88" i="5"/>
  <c r="N88" i="5"/>
  <c r="O87" i="5"/>
  <c r="N87" i="5"/>
  <c r="O86" i="5"/>
  <c r="N86" i="5"/>
  <c r="O85" i="5"/>
  <c r="N85" i="5"/>
  <c r="O83" i="5"/>
  <c r="N83" i="5"/>
  <c r="O82" i="5"/>
  <c r="N82" i="5"/>
  <c r="O81" i="5"/>
  <c r="N81" i="5"/>
  <c r="O80" i="5"/>
  <c r="N79" i="5"/>
  <c r="O78" i="5"/>
  <c r="N78" i="5"/>
  <c r="O77" i="5"/>
  <c r="N77" i="5"/>
  <c r="O76" i="5"/>
  <c r="N76" i="5"/>
  <c r="O74" i="5"/>
  <c r="N74" i="5"/>
  <c r="O73" i="5"/>
  <c r="N73" i="5"/>
  <c r="O72" i="5"/>
  <c r="N72" i="5"/>
  <c r="O71" i="5"/>
  <c r="O70" i="5"/>
  <c r="N70" i="5"/>
  <c r="O69" i="5"/>
  <c r="N69" i="5"/>
  <c r="O68" i="5"/>
  <c r="N68" i="5"/>
  <c r="O67" i="5"/>
  <c r="N67" i="5"/>
  <c r="O62" i="5"/>
  <c r="N62" i="5"/>
  <c r="O61" i="5"/>
  <c r="N61" i="5"/>
  <c r="O60" i="5"/>
  <c r="N60" i="5"/>
  <c r="O59" i="5"/>
  <c r="N59" i="5"/>
  <c r="O58" i="5"/>
  <c r="N58" i="5"/>
  <c r="O57" i="5"/>
  <c r="N57" i="5"/>
  <c r="N51" i="5"/>
  <c r="N50" i="5"/>
  <c r="N48" i="5"/>
  <c r="N47" i="5"/>
  <c r="N45" i="5"/>
  <c r="N42" i="5"/>
  <c r="N39" i="5"/>
  <c r="N38" i="5"/>
  <c r="N37" i="5"/>
  <c r="N36" i="5"/>
  <c r="N35" i="5"/>
  <c r="N34" i="5"/>
  <c r="N33" i="5"/>
  <c r="N30" i="5"/>
  <c r="N29" i="5"/>
  <c r="N28" i="5"/>
  <c r="N21" i="5"/>
  <c r="N20" i="5"/>
  <c r="N19" i="5"/>
  <c r="N7" i="5"/>
  <c r="N6" i="5"/>
  <c r="N5" i="5"/>
  <c r="N4" i="5"/>
  <c r="L122" i="5"/>
  <c r="L121" i="5"/>
  <c r="L120" i="5"/>
  <c r="L119" i="5"/>
  <c r="L118" i="5"/>
  <c r="M117" i="5"/>
  <c r="L117" i="5"/>
  <c r="M116" i="5"/>
  <c r="L116" i="5"/>
  <c r="M115" i="5"/>
  <c r="L115" i="5"/>
  <c r="M104" i="5"/>
  <c r="L104" i="5"/>
  <c r="M103" i="5"/>
  <c r="L103" i="5"/>
  <c r="M101" i="5"/>
  <c r="L101" i="5"/>
  <c r="M100" i="5"/>
  <c r="L100" i="5"/>
  <c r="M98" i="5"/>
  <c r="L98" i="5"/>
  <c r="M97" i="5"/>
  <c r="L97" i="5"/>
  <c r="M95" i="5"/>
  <c r="L95" i="5"/>
  <c r="M94" i="5"/>
  <c r="L94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3" i="5"/>
  <c r="L83" i="5"/>
  <c r="M82" i="5"/>
  <c r="L82" i="5"/>
  <c r="M81" i="5"/>
  <c r="L81" i="5"/>
  <c r="M80" i="5"/>
  <c r="L79" i="5"/>
  <c r="M78" i="5"/>
  <c r="L78" i="5"/>
  <c r="M77" i="5"/>
  <c r="L77" i="5"/>
  <c r="M76" i="5"/>
  <c r="L76" i="5"/>
  <c r="M74" i="5"/>
  <c r="L74" i="5"/>
  <c r="M73" i="5"/>
  <c r="L73" i="5"/>
  <c r="M72" i="5"/>
  <c r="L72" i="5"/>
  <c r="M71" i="5"/>
  <c r="M70" i="5"/>
  <c r="L70" i="5"/>
  <c r="M69" i="5"/>
  <c r="L69" i="5"/>
  <c r="M68" i="5"/>
  <c r="L68" i="5"/>
  <c r="M67" i="5"/>
  <c r="L67" i="5"/>
  <c r="M65" i="5"/>
  <c r="L65" i="5"/>
  <c r="M62" i="5"/>
  <c r="L62" i="5"/>
  <c r="M61" i="5"/>
  <c r="L61" i="5"/>
  <c r="M60" i="5"/>
  <c r="L60" i="5"/>
  <c r="M59" i="5"/>
  <c r="L59" i="5"/>
  <c r="M58" i="5"/>
  <c r="L58" i="5"/>
  <c r="M57" i="5"/>
  <c r="L57" i="5"/>
  <c r="L51" i="5"/>
  <c r="L50" i="5"/>
  <c r="L48" i="5"/>
  <c r="L47" i="5"/>
  <c r="L45" i="5"/>
  <c r="L42" i="5"/>
  <c r="L39" i="5"/>
  <c r="L38" i="5"/>
  <c r="L37" i="5"/>
  <c r="L36" i="5"/>
  <c r="L35" i="5"/>
  <c r="L34" i="5"/>
  <c r="L33" i="5"/>
  <c r="L30" i="5"/>
  <c r="L29" i="5"/>
  <c r="L28" i="5"/>
  <c r="L21" i="5"/>
  <c r="L20" i="5"/>
  <c r="L19" i="5"/>
  <c r="L9" i="5"/>
  <c r="L7" i="5"/>
  <c r="L6" i="5"/>
  <c r="L5" i="5"/>
  <c r="L4" i="5"/>
  <c r="K122" i="5"/>
  <c r="J122" i="5"/>
  <c r="J121" i="5"/>
  <c r="J120" i="5"/>
  <c r="J119" i="5"/>
  <c r="J118" i="5"/>
  <c r="K117" i="5"/>
  <c r="J117" i="5"/>
  <c r="K116" i="5"/>
  <c r="J116" i="5"/>
  <c r="K115" i="5"/>
  <c r="J115" i="5"/>
  <c r="K104" i="5"/>
  <c r="J104" i="5"/>
  <c r="K103" i="5"/>
  <c r="J103" i="5"/>
  <c r="K101" i="5"/>
  <c r="J101" i="5"/>
  <c r="K100" i="5"/>
  <c r="J100" i="5"/>
  <c r="K98" i="5"/>
  <c r="J98" i="5"/>
  <c r="K97" i="5"/>
  <c r="J97" i="5"/>
  <c r="K95" i="5"/>
  <c r="J95" i="5"/>
  <c r="K94" i="5"/>
  <c r="J94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K83" i="5"/>
  <c r="J83" i="5"/>
  <c r="K82" i="5"/>
  <c r="J82" i="5"/>
  <c r="K81" i="5"/>
  <c r="J81" i="5"/>
  <c r="K80" i="5"/>
  <c r="K79" i="5"/>
  <c r="J79" i="5"/>
  <c r="K78" i="5"/>
  <c r="J78" i="5"/>
  <c r="K77" i="5"/>
  <c r="J77" i="5"/>
  <c r="K76" i="5"/>
  <c r="J76" i="5"/>
  <c r="K74" i="5"/>
  <c r="J74" i="5"/>
  <c r="K73" i="5"/>
  <c r="J73" i="5"/>
  <c r="K72" i="5"/>
  <c r="J72" i="5"/>
  <c r="K71" i="5"/>
  <c r="K70" i="5"/>
  <c r="J70" i="5"/>
  <c r="K69" i="5"/>
  <c r="J69" i="5"/>
  <c r="K68" i="5"/>
  <c r="J68" i="5"/>
  <c r="K67" i="5"/>
  <c r="J67" i="5"/>
  <c r="K62" i="5"/>
  <c r="J62" i="5"/>
  <c r="K61" i="5"/>
  <c r="J61" i="5"/>
  <c r="K60" i="5"/>
  <c r="J60" i="5"/>
  <c r="K59" i="5"/>
  <c r="J59" i="5"/>
  <c r="K58" i="5"/>
  <c r="J58" i="5"/>
  <c r="K57" i="5"/>
  <c r="J57" i="5"/>
  <c r="J51" i="5"/>
  <c r="J50" i="5"/>
  <c r="J48" i="5"/>
  <c r="J47" i="5"/>
  <c r="J45" i="5"/>
  <c r="J44" i="5"/>
  <c r="J42" i="5"/>
  <c r="J39" i="5"/>
  <c r="J38" i="5"/>
  <c r="J37" i="5"/>
  <c r="J36" i="5"/>
  <c r="J35" i="5"/>
  <c r="J34" i="5"/>
  <c r="J33" i="5"/>
  <c r="J30" i="5"/>
  <c r="J29" i="5"/>
  <c r="J28" i="5"/>
  <c r="J21" i="5"/>
  <c r="J20" i="5"/>
  <c r="K19" i="5"/>
  <c r="J19" i="5"/>
  <c r="J7" i="5"/>
  <c r="J6" i="5"/>
  <c r="J5" i="5"/>
  <c r="J4" i="5"/>
  <c r="H122" i="5"/>
  <c r="H121" i="5"/>
  <c r="H120" i="5"/>
  <c r="H119" i="5"/>
  <c r="H118" i="5"/>
  <c r="I117" i="5"/>
  <c r="H117" i="5"/>
  <c r="I116" i="5"/>
  <c r="H116" i="5"/>
  <c r="I115" i="5"/>
  <c r="H115" i="5"/>
  <c r="I104" i="5"/>
  <c r="H104" i="5"/>
  <c r="I103" i="5"/>
  <c r="H103" i="5"/>
  <c r="I101" i="5"/>
  <c r="H101" i="5"/>
  <c r="I100" i="5"/>
  <c r="H100" i="5"/>
  <c r="I98" i="5"/>
  <c r="H98" i="5"/>
  <c r="I97" i="5"/>
  <c r="H97" i="5"/>
  <c r="I95" i="5"/>
  <c r="H95" i="5"/>
  <c r="I94" i="5"/>
  <c r="H94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2" i="5"/>
  <c r="H62" i="5"/>
  <c r="I61" i="5"/>
  <c r="H61" i="5"/>
  <c r="I60" i="5"/>
  <c r="H60" i="5"/>
  <c r="I59" i="5"/>
  <c r="H59" i="5"/>
  <c r="I58" i="5"/>
  <c r="H58" i="5"/>
  <c r="I57" i="5"/>
  <c r="H57" i="5"/>
  <c r="H51" i="5"/>
  <c r="H50" i="5"/>
  <c r="H48" i="5"/>
  <c r="H47" i="5"/>
  <c r="H45" i="5"/>
  <c r="H42" i="5"/>
  <c r="H39" i="5"/>
  <c r="H38" i="5"/>
  <c r="H37" i="5"/>
  <c r="H36" i="5"/>
  <c r="H35" i="5"/>
  <c r="H34" i="5"/>
  <c r="H33" i="5"/>
  <c r="H30" i="5"/>
  <c r="H29" i="5"/>
  <c r="H28" i="5"/>
  <c r="H27" i="5"/>
  <c r="H26" i="5"/>
  <c r="H25" i="5"/>
  <c r="H24" i="5"/>
  <c r="H21" i="5"/>
  <c r="H20" i="5"/>
  <c r="H19" i="5"/>
  <c r="H18" i="5"/>
  <c r="H17" i="5"/>
  <c r="H16" i="5"/>
  <c r="H15" i="5"/>
  <c r="H12" i="5"/>
  <c r="H7" i="5"/>
  <c r="H6" i="5"/>
  <c r="H5" i="5"/>
  <c r="H4" i="5"/>
  <c r="F122" i="5"/>
  <c r="F121" i="5"/>
  <c r="F120" i="5"/>
  <c r="F119" i="5"/>
  <c r="F118" i="5"/>
  <c r="F117" i="5"/>
  <c r="F116" i="5"/>
  <c r="F115" i="5"/>
  <c r="G104" i="5"/>
  <c r="F104" i="5"/>
  <c r="G103" i="5"/>
  <c r="F103" i="5"/>
  <c r="G101" i="5"/>
  <c r="F101" i="5"/>
  <c r="G100" i="5"/>
  <c r="F100" i="5"/>
  <c r="G98" i="5"/>
  <c r="F98" i="5"/>
  <c r="G97" i="5"/>
  <c r="F97" i="5"/>
  <c r="G95" i="5"/>
  <c r="F95" i="5"/>
  <c r="G94" i="5"/>
  <c r="F94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5" i="5"/>
  <c r="F65" i="5"/>
  <c r="G64" i="5"/>
  <c r="F64" i="5"/>
  <c r="G62" i="5"/>
  <c r="F62" i="5"/>
  <c r="G61" i="5"/>
  <c r="F61" i="5"/>
  <c r="G60" i="5"/>
  <c r="F60" i="5"/>
  <c r="G59" i="5"/>
  <c r="F59" i="5"/>
  <c r="G58" i="5"/>
  <c r="F58" i="5"/>
  <c r="G57" i="5"/>
  <c r="F57" i="5"/>
  <c r="F51" i="5"/>
  <c r="F50" i="5"/>
  <c r="F48" i="5"/>
  <c r="F47" i="5"/>
  <c r="F45" i="5"/>
  <c r="F42" i="5"/>
  <c r="F39" i="5"/>
  <c r="F38" i="5"/>
  <c r="F37" i="5"/>
  <c r="F36" i="5"/>
  <c r="F35" i="5"/>
  <c r="F34" i="5"/>
  <c r="F33" i="5"/>
  <c r="F32" i="5"/>
  <c r="F30" i="5"/>
  <c r="F29" i="5"/>
  <c r="F28" i="5"/>
  <c r="F27" i="5"/>
  <c r="F26" i="5"/>
  <c r="F25" i="5"/>
  <c r="F24" i="5"/>
  <c r="F21" i="5"/>
  <c r="F20" i="5"/>
  <c r="F19" i="5"/>
  <c r="F18" i="5"/>
  <c r="F17" i="5"/>
  <c r="F16" i="5"/>
  <c r="F15" i="5"/>
  <c r="F12" i="5"/>
  <c r="F7" i="5"/>
  <c r="F6" i="5"/>
  <c r="F5" i="5"/>
  <c r="F4" i="5"/>
  <c r="C122" i="17"/>
  <c r="C121" i="17"/>
  <c r="C120" i="17"/>
  <c r="C119" i="17"/>
  <c r="AA119" i="5" s="1"/>
  <c r="C118" i="17"/>
  <c r="D117" i="17"/>
  <c r="B114" i="17"/>
  <c r="Z114" i="5" s="1"/>
  <c r="Z102" i="5"/>
  <c r="AA99" i="5"/>
  <c r="Z96" i="5"/>
  <c r="AA93" i="5"/>
  <c r="Z93" i="5"/>
  <c r="AA84" i="5"/>
  <c r="AA75" i="5"/>
  <c r="C56" i="17"/>
  <c r="B56" i="17"/>
  <c r="Z56" i="5" s="1"/>
  <c r="F51" i="17"/>
  <c r="E51" i="17"/>
  <c r="C51" i="17"/>
  <c r="F50" i="17"/>
  <c r="E50" i="17"/>
  <c r="C50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F48" i="17"/>
  <c r="E48" i="17"/>
  <c r="C48" i="17"/>
  <c r="AA48" i="5" s="1"/>
  <c r="F47" i="17"/>
  <c r="F46" i="17" s="1"/>
  <c r="E47" i="17"/>
  <c r="C47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F45" i="17"/>
  <c r="E45" i="17"/>
  <c r="C45" i="17"/>
  <c r="F44" i="17"/>
  <c r="E44" i="17"/>
  <c r="C44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F42" i="17"/>
  <c r="E42" i="17"/>
  <c r="C42" i="17"/>
  <c r="AA42" i="5" s="1"/>
  <c r="F41" i="17"/>
  <c r="E41" i="17"/>
  <c r="C41" i="17"/>
  <c r="AA41" i="5" s="1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B110" i="17"/>
  <c r="Z110" i="5" s="1"/>
  <c r="F39" i="17"/>
  <c r="E39" i="17"/>
  <c r="C39" i="17"/>
  <c r="F38" i="17"/>
  <c r="E38" i="17"/>
  <c r="C38" i="17"/>
  <c r="AA38" i="5" s="1"/>
  <c r="F37" i="17"/>
  <c r="E37" i="17"/>
  <c r="C37" i="17"/>
  <c r="F36" i="17"/>
  <c r="E36" i="17"/>
  <c r="C36" i="17"/>
  <c r="Z36" i="5"/>
  <c r="F35" i="17"/>
  <c r="E35" i="17"/>
  <c r="C35" i="17"/>
  <c r="Z35" i="5"/>
  <c r="F34" i="17"/>
  <c r="E34" i="17"/>
  <c r="C34" i="17"/>
  <c r="Z34" i="5"/>
  <c r="F33" i="17"/>
  <c r="E33" i="17"/>
  <c r="C33" i="17"/>
  <c r="F32" i="17"/>
  <c r="E32" i="17"/>
  <c r="C32" i="17"/>
  <c r="Z32" i="5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F30" i="17"/>
  <c r="E30" i="17"/>
  <c r="C30" i="17"/>
  <c r="F29" i="17"/>
  <c r="E29" i="17"/>
  <c r="C29" i="17"/>
  <c r="Z29" i="5"/>
  <c r="F28" i="17"/>
  <c r="E28" i="17"/>
  <c r="C28" i="17"/>
  <c r="F27" i="17"/>
  <c r="E27" i="17"/>
  <c r="C27" i="17"/>
  <c r="AA27" i="5" s="1"/>
  <c r="Z27" i="5"/>
  <c r="F26" i="17"/>
  <c r="E26" i="17"/>
  <c r="C26" i="17"/>
  <c r="Z26" i="5"/>
  <c r="F25" i="17"/>
  <c r="E25" i="17"/>
  <c r="C25" i="17"/>
  <c r="AA25" i="5" s="1"/>
  <c r="Z25" i="5"/>
  <c r="F24" i="17"/>
  <c r="E24" i="17"/>
  <c r="C24" i="17"/>
  <c r="F23" i="17"/>
  <c r="E23" i="17"/>
  <c r="C23" i="17"/>
  <c r="AA23" i="5" s="1"/>
  <c r="Z23" i="5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F21" i="17"/>
  <c r="E21" i="17"/>
  <c r="C21" i="17"/>
  <c r="F20" i="17"/>
  <c r="E20" i="17"/>
  <c r="C20" i="17"/>
  <c r="Z20" i="5"/>
  <c r="F19" i="17"/>
  <c r="E19" i="17"/>
  <c r="C19" i="17"/>
  <c r="AA19" i="5" s="1"/>
  <c r="F18" i="17"/>
  <c r="E18" i="17"/>
  <c r="C18" i="17"/>
  <c r="AA17" i="5"/>
  <c r="F16" i="17"/>
  <c r="E16" i="17"/>
  <c r="F15" i="17"/>
  <c r="E15" i="17"/>
  <c r="C15" i="17"/>
  <c r="F14" i="17"/>
  <c r="E14" i="17"/>
  <c r="C14" i="17"/>
  <c r="D14" i="17" s="1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Z9" i="5"/>
  <c r="Z8" i="5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D118" i="16"/>
  <c r="D117" i="16"/>
  <c r="D116" i="16"/>
  <c r="B114" i="16"/>
  <c r="X114" i="5" s="1"/>
  <c r="X102" i="5"/>
  <c r="Y99" i="5"/>
  <c r="X99" i="5"/>
  <c r="X96" i="5"/>
  <c r="Y93" i="5"/>
  <c r="X93" i="5"/>
  <c r="X89" i="5"/>
  <c r="X71" i="5"/>
  <c r="Y66" i="5"/>
  <c r="C56" i="16"/>
  <c r="B56" i="16"/>
  <c r="F51" i="16"/>
  <c r="E51" i="16"/>
  <c r="C51" i="16"/>
  <c r="Y51" i="5" s="1"/>
  <c r="F50" i="16"/>
  <c r="E50" i="16"/>
  <c r="C50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B49" i="16"/>
  <c r="X49" i="5" s="1"/>
  <c r="F48" i="16"/>
  <c r="E48" i="16"/>
  <c r="C48" i="16"/>
  <c r="Y48" i="5" s="1"/>
  <c r="F47" i="16"/>
  <c r="E47" i="16"/>
  <c r="C47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B46" i="16"/>
  <c r="F45" i="16"/>
  <c r="E45" i="16"/>
  <c r="C45" i="16"/>
  <c r="F44" i="16"/>
  <c r="E44" i="16"/>
  <c r="C44" i="16"/>
  <c r="B44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F42" i="16"/>
  <c r="E42" i="16"/>
  <c r="C42" i="16"/>
  <c r="Y42" i="5" s="1"/>
  <c r="F41" i="16"/>
  <c r="E41" i="16"/>
  <c r="C41" i="16"/>
  <c r="X41" i="5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F39" i="16"/>
  <c r="E39" i="16"/>
  <c r="C39" i="16"/>
  <c r="F38" i="16"/>
  <c r="E38" i="16"/>
  <c r="C38" i="16"/>
  <c r="Y38" i="5" s="1"/>
  <c r="X38" i="5"/>
  <c r="F37" i="16"/>
  <c r="E37" i="16"/>
  <c r="C37" i="16"/>
  <c r="F36" i="16"/>
  <c r="E36" i="16"/>
  <c r="C36" i="16"/>
  <c r="X36" i="5"/>
  <c r="F35" i="16"/>
  <c r="E35" i="16"/>
  <c r="C35" i="16"/>
  <c r="X35" i="5"/>
  <c r="F34" i="16"/>
  <c r="E34" i="16"/>
  <c r="C34" i="16"/>
  <c r="X34" i="5"/>
  <c r="F33" i="16"/>
  <c r="E33" i="16"/>
  <c r="C33" i="16"/>
  <c r="F32" i="16"/>
  <c r="E32" i="16"/>
  <c r="C32" i="16"/>
  <c r="X32" i="5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F30" i="16"/>
  <c r="E30" i="16"/>
  <c r="C30" i="16"/>
  <c r="F29" i="16"/>
  <c r="E29" i="16"/>
  <c r="C29" i="16"/>
  <c r="F28" i="16"/>
  <c r="E28" i="16"/>
  <c r="C28" i="16"/>
  <c r="Y28" i="5" s="1"/>
  <c r="F27" i="16"/>
  <c r="E27" i="16"/>
  <c r="C27" i="16"/>
  <c r="B27" i="16"/>
  <c r="X27" i="5" s="1"/>
  <c r="F26" i="16"/>
  <c r="E26" i="16"/>
  <c r="C26" i="16"/>
  <c r="Y26" i="5" s="1"/>
  <c r="B26" i="16"/>
  <c r="X26" i="5" s="1"/>
  <c r="F25" i="16"/>
  <c r="E25" i="16"/>
  <c r="C25" i="16"/>
  <c r="B25" i="16"/>
  <c r="X25" i="5" s="1"/>
  <c r="F24" i="16"/>
  <c r="E24" i="16"/>
  <c r="C24" i="16"/>
  <c r="Y24" i="5" s="1"/>
  <c r="B24" i="16"/>
  <c r="X24" i="5" s="1"/>
  <c r="F23" i="16"/>
  <c r="E23" i="16"/>
  <c r="C23" i="16"/>
  <c r="B23" i="16"/>
  <c r="X23" i="5" s="1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F21" i="16"/>
  <c r="E21" i="16"/>
  <c r="C21" i="16"/>
  <c r="F20" i="16"/>
  <c r="E20" i="16"/>
  <c r="C20" i="16"/>
  <c r="X20" i="5"/>
  <c r="F19" i="16"/>
  <c r="E19" i="16"/>
  <c r="C19" i="16"/>
  <c r="F18" i="16"/>
  <c r="E18" i="16"/>
  <c r="C18" i="16"/>
  <c r="F17" i="16"/>
  <c r="E17" i="16"/>
  <c r="C17" i="16"/>
  <c r="Y17" i="5" s="1"/>
  <c r="F16" i="16"/>
  <c r="E16" i="16"/>
  <c r="C16" i="16"/>
  <c r="F15" i="16"/>
  <c r="E15" i="16"/>
  <c r="C15" i="16"/>
  <c r="F14" i="16"/>
  <c r="E14" i="16"/>
  <c r="C14" i="16"/>
  <c r="Y14" i="5" s="1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X9" i="5"/>
  <c r="X8" i="5"/>
  <c r="Y5" i="5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W118" i="5"/>
  <c r="D117" i="15"/>
  <c r="D116" i="15"/>
  <c r="B114" i="15"/>
  <c r="V114" i="5" s="1"/>
  <c r="W102" i="5"/>
  <c r="V102" i="5"/>
  <c r="W99" i="5"/>
  <c r="V99" i="5"/>
  <c r="W96" i="5"/>
  <c r="V96" i="5"/>
  <c r="W93" i="5"/>
  <c r="V93" i="5"/>
  <c r="W84" i="5"/>
  <c r="W75" i="5"/>
  <c r="C56" i="15"/>
  <c r="B56" i="15"/>
  <c r="V56" i="5" s="1"/>
  <c r="F51" i="15"/>
  <c r="E51" i="15"/>
  <c r="C51" i="15"/>
  <c r="F50" i="15"/>
  <c r="E50" i="15"/>
  <c r="C50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B49" i="15"/>
  <c r="F48" i="15"/>
  <c r="E48" i="15"/>
  <c r="C48" i="15"/>
  <c r="F47" i="15"/>
  <c r="E47" i="15"/>
  <c r="C47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B46" i="15"/>
  <c r="F45" i="15"/>
  <c r="E45" i="15"/>
  <c r="C45" i="15"/>
  <c r="F44" i="15"/>
  <c r="E44" i="15"/>
  <c r="C44" i="15"/>
  <c r="W44" i="5" s="1"/>
  <c r="B44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F42" i="15"/>
  <c r="E42" i="15"/>
  <c r="C42" i="15"/>
  <c r="D42" i="15" s="1"/>
  <c r="F41" i="15"/>
  <c r="E41" i="15"/>
  <c r="C41" i="15"/>
  <c r="V41" i="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F39" i="15"/>
  <c r="E39" i="15"/>
  <c r="C39" i="15"/>
  <c r="F38" i="15"/>
  <c r="E38" i="15"/>
  <c r="C38" i="15"/>
  <c r="W38" i="5" s="1"/>
  <c r="F37" i="15"/>
  <c r="E37" i="15"/>
  <c r="C37" i="15"/>
  <c r="F36" i="15"/>
  <c r="E36" i="15"/>
  <c r="C36" i="15"/>
  <c r="V36" i="5"/>
  <c r="F35" i="15"/>
  <c r="E35" i="15"/>
  <c r="C35" i="15"/>
  <c r="V35" i="5"/>
  <c r="F34" i="15"/>
  <c r="E34" i="15"/>
  <c r="C34" i="15"/>
  <c r="V34" i="5"/>
  <c r="F33" i="15"/>
  <c r="E33" i="15"/>
  <c r="C33" i="15"/>
  <c r="F32" i="15"/>
  <c r="E32" i="15"/>
  <c r="C32" i="15"/>
  <c r="B32" i="15"/>
  <c r="V32" i="5" s="1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F30" i="15"/>
  <c r="E30" i="15"/>
  <c r="C30" i="15"/>
  <c r="F29" i="15"/>
  <c r="E29" i="15"/>
  <c r="C29" i="15"/>
  <c r="V29" i="5"/>
  <c r="F28" i="15"/>
  <c r="E28" i="15"/>
  <c r="C28" i="15"/>
  <c r="F27" i="15"/>
  <c r="E27" i="15"/>
  <c r="C27" i="15"/>
  <c r="W27" i="5" s="1"/>
  <c r="V27" i="5"/>
  <c r="F26" i="15"/>
  <c r="E26" i="15"/>
  <c r="C26" i="15"/>
  <c r="W26" i="5" s="1"/>
  <c r="F25" i="15"/>
  <c r="E25" i="15"/>
  <c r="C25" i="15"/>
  <c r="W25" i="5" s="1"/>
  <c r="B25" i="15"/>
  <c r="V25" i="5" s="1"/>
  <c r="F24" i="15"/>
  <c r="E24" i="15"/>
  <c r="C24" i="15"/>
  <c r="B24" i="15"/>
  <c r="F23" i="15"/>
  <c r="E23" i="15"/>
  <c r="C23" i="15"/>
  <c r="W23" i="5" s="1"/>
  <c r="B23" i="15"/>
  <c r="V23" i="5" s="1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F21" i="15"/>
  <c r="E21" i="15"/>
  <c r="C21" i="15"/>
  <c r="D21" i="15" s="1"/>
  <c r="F20" i="15"/>
  <c r="E20" i="15"/>
  <c r="C20" i="15"/>
  <c r="F19" i="15"/>
  <c r="E19" i="15"/>
  <c r="C19" i="15"/>
  <c r="F18" i="15"/>
  <c r="E18" i="15"/>
  <c r="C18" i="15"/>
  <c r="F17" i="15"/>
  <c r="E17" i="15"/>
  <c r="C17" i="15"/>
  <c r="F15" i="15"/>
  <c r="E15" i="15"/>
  <c r="C15" i="15"/>
  <c r="F14" i="15"/>
  <c r="E14" i="15"/>
  <c r="C14" i="15"/>
  <c r="V13" i="15"/>
  <c r="U13" i="15"/>
  <c r="T13" i="15"/>
  <c r="S13" i="15"/>
  <c r="R13" i="15"/>
  <c r="Q13" i="15"/>
  <c r="P13" i="15"/>
  <c r="O13" i="15"/>
  <c r="N13" i="15"/>
  <c r="M13" i="15"/>
  <c r="V9" i="5"/>
  <c r="W5" i="5"/>
  <c r="E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B3" i="15"/>
  <c r="B84" i="14"/>
  <c r="D84" i="14" s="1"/>
  <c r="T38" i="5"/>
  <c r="T36" i="5"/>
  <c r="T35" i="5"/>
  <c r="T34" i="5"/>
  <c r="T33" i="5"/>
  <c r="B32" i="14"/>
  <c r="B43" i="2"/>
  <c r="B43" i="3"/>
  <c r="F44" i="5" s="1"/>
  <c r="B43" i="6"/>
  <c r="H44" i="5" s="1"/>
  <c r="B43" i="9"/>
  <c r="B44" i="10"/>
  <c r="L44" i="5" s="1"/>
  <c r="N44" i="5"/>
  <c r="B44" i="12"/>
  <c r="P44" i="5" s="1"/>
  <c r="U119" i="5"/>
  <c r="D117" i="14"/>
  <c r="D116" i="14"/>
  <c r="B114" i="14"/>
  <c r="T114" i="5" s="1"/>
  <c r="T102" i="5"/>
  <c r="T99" i="5"/>
  <c r="U96" i="5"/>
  <c r="T96" i="5"/>
  <c r="T93" i="5"/>
  <c r="U75" i="5"/>
  <c r="U66" i="5"/>
  <c r="C56" i="14"/>
  <c r="B56" i="14"/>
  <c r="T56" i="5" s="1"/>
  <c r="F51" i="14"/>
  <c r="E51" i="14"/>
  <c r="C51" i="14"/>
  <c r="F50" i="14"/>
  <c r="F49" i="14" s="1"/>
  <c r="E50" i="14"/>
  <c r="C50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B49" i="14"/>
  <c r="T49" i="5" s="1"/>
  <c r="F48" i="14"/>
  <c r="E48" i="14"/>
  <c r="C48" i="14"/>
  <c r="F47" i="14"/>
  <c r="E47" i="14"/>
  <c r="C47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B46" i="14"/>
  <c r="B130" i="14" s="1"/>
  <c r="F45" i="14"/>
  <c r="E45" i="14"/>
  <c r="C45" i="14"/>
  <c r="F44" i="14"/>
  <c r="E44" i="14"/>
  <c r="C44" i="14"/>
  <c r="T44" i="5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F42" i="14"/>
  <c r="E42" i="14"/>
  <c r="C42" i="14"/>
  <c r="F41" i="14"/>
  <c r="E41" i="14"/>
  <c r="C41" i="14"/>
  <c r="U41" i="5" s="1"/>
  <c r="T41" i="5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F39" i="14"/>
  <c r="E39" i="14"/>
  <c r="C39" i="14"/>
  <c r="D39" i="14" s="1"/>
  <c r="F38" i="14"/>
  <c r="E38" i="14"/>
  <c r="C38" i="14"/>
  <c r="F37" i="14"/>
  <c r="E37" i="14"/>
  <c r="C37" i="14"/>
  <c r="F36" i="14"/>
  <c r="E36" i="14"/>
  <c r="C36" i="14"/>
  <c r="F35" i="14"/>
  <c r="E35" i="14"/>
  <c r="C35" i="14"/>
  <c r="F34" i="14"/>
  <c r="E34" i="14"/>
  <c r="C34" i="14"/>
  <c r="F33" i="14"/>
  <c r="E33" i="14"/>
  <c r="C33" i="14"/>
  <c r="F32" i="14"/>
  <c r="E32" i="14"/>
  <c r="C32" i="14"/>
  <c r="U32" i="5" s="1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F30" i="14"/>
  <c r="E30" i="14"/>
  <c r="C30" i="14"/>
  <c r="F29" i="14"/>
  <c r="E29" i="14"/>
  <c r="C29" i="14"/>
  <c r="T29" i="5"/>
  <c r="F28" i="14"/>
  <c r="E28" i="14"/>
  <c r="C28" i="14"/>
  <c r="F27" i="14"/>
  <c r="E27" i="14"/>
  <c r="C27" i="14"/>
  <c r="T27" i="5"/>
  <c r="F26" i="14"/>
  <c r="E26" i="14"/>
  <c r="C26" i="14"/>
  <c r="T26" i="5"/>
  <c r="F25" i="14"/>
  <c r="E25" i="14"/>
  <c r="C25" i="14"/>
  <c r="B25" i="14"/>
  <c r="T25" i="5" s="1"/>
  <c r="F24" i="14"/>
  <c r="E24" i="14"/>
  <c r="C24" i="14"/>
  <c r="B24" i="14"/>
  <c r="F23" i="14"/>
  <c r="E23" i="14"/>
  <c r="C23" i="14"/>
  <c r="B23" i="14"/>
  <c r="T23" i="5" s="1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F21" i="14"/>
  <c r="E21" i="14"/>
  <c r="C21" i="14"/>
  <c r="U20" i="5"/>
  <c r="T20" i="5"/>
  <c r="F19" i="14"/>
  <c r="E19" i="14"/>
  <c r="C19" i="14"/>
  <c r="F18" i="14"/>
  <c r="E18" i="14"/>
  <c r="C18" i="14"/>
  <c r="T18" i="5"/>
  <c r="F17" i="14"/>
  <c r="E17" i="14"/>
  <c r="C17" i="14"/>
  <c r="F15" i="14"/>
  <c r="E15" i="14"/>
  <c r="C15" i="14"/>
  <c r="F14" i="14"/>
  <c r="E14" i="14"/>
  <c r="C14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T9" i="5"/>
  <c r="U4" i="5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D121" i="13"/>
  <c r="S119" i="5"/>
  <c r="S118" i="5"/>
  <c r="D117" i="13"/>
  <c r="D116" i="13"/>
  <c r="B114" i="13"/>
  <c r="R114" i="5" s="1"/>
  <c r="S102" i="5"/>
  <c r="S99" i="5"/>
  <c r="R99" i="5"/>
  <c r="S96" i="5"/>
  <c r="C93" i="13"/>
  <c r="S93" i="5" s="1"/>
  <c r="B93" i="13"/>
  <c r="R93" i="5" s="1"/>
  <c r="R84" i="5"/>
  <c r="C75" i="13"/>
  <c r="S75" i="5" s="1"/>
  <c r="S66" i="5"/>
  <c r="C56" i="13"/>
  <c r="B56" i="13"/>
  <c r="R56" i="5" s="1"/>
  <c r="F51" i="13"/>
  <c r="E51" i="13"/>
  <c r="F50" i="13"/>
  <c r="E50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R49" i="5"/>
  <c r="F48" i="13"/>
  <c r="E48" i="13"/>
  <c r="F47" i="13"/>
  <c r="E47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F45" i="13"/>
  <c r="E45" i="13"/>
  <c r="S45" i="5"/>
  <c r="F44" i="13"/>
  <c r="E44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F42" i="13"/>
  <c r="E42" i="13"/>
  <c r="E40" i="13" s="1"/>
  <c r="F41" i="13"/>
  <c r="E41" i="13"/>
  <c r="S41" i="5"/>
  <c r="R41" i="5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F39" i="13"/>
  <c r="E39" i="13"/>
  <c r="F38" i="13"/>
  <c r="E38" i="13"/>
  <c r="F37" i="13"/>
  <c r="E37" i="13"/>
  <c r="F36" i="13"/>
  <c r="E36" i="13"/>
  <c r="S36" i="5"/>
  <c r="F35" i="13"/>
  <c r="E35" i="13"/>
  <c r="F34" i="13"/>
  <c r="E34" i="13"/>
  <c r="F33" i="13"/>
  <c r="E33" i="13"/>
  <c r="F32" i="13"/>
  <c r="E32" i="13"/>
  <c r="R32" i="5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F30" i="13"/>
  <c r="E30" i="13"/>
  <c r="F29" i="13"/>
  <c r="E29" i="13"/>
  <c r="S29" i="5"/>
  <c r="F28" i="13"/>
  <c r="E28" i="13"/>
  <c r="S28" i="5"/>
  <c r="F27" i="13"/>
  <c r="E27" i="13"/>
  <c r="R27" i="5"/>
  <c r="F26" i="13"/>
  <c r="E26" i="13"/>
  <c r="R26" i="5"/>
  <c r="F25" i="13"/>
  <c r="E25" i="13"/>
  <c r="R25" i="5"/>
  <c r="F24" i="13"/>
  <c r="E24" i="13"/>
  <c r="R24" i="5"/>
  <c r="F23" i="13"/>
  <c r="E23" i="13"/>
  <c r="R23" i="5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F21" i="13"/>
  <c r="E21" i="13"/>
  <c r="F20" i="13"/>
  <c r="E20" i="13"/>
  <c r="S20" i="5"/>
  <c r="R20" i="5"/>
  <c r="F19" i="13"/>
  <c r="E19" i="13"/>
  <c r="F18" i="13"/>
  <c r="E18" i="13"/>
  <c r="R18" i="5"/>
  <c r="F17" i="13"/>
  <c r="E17" i="13"/>
  <c r="F16" i="13"/>
  <c r="E16" i="13"/>
  <c r="F15" i="13"/>
  <c r="E15" i="13"/>
  <c r="S15" i="5"/>
  <c r="F14" i="13"/>
  <c r="E14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F12" i="13"/>
  <c r="E12" i="13"/>
  <c r="F11" i="13"/>
  <c r="E11" i="13"/>
  <c r="F10" i="13"/>
  <c r="E10" i="13"/>
  <c r="F9" i="13"/>
  <c r="E9" i="13"/>
  <c r="F7" i="13"/>
  <c r="E7" i="13"/>
  <c r="F6" i="13"/>
  <c r="E6" i="13"/>
  <c r="S6" i="5"/>
  <c r="F5" i="13"/>
  <c r="E5" i="13"/>
  <c r="F4" i="13"/>
  <c r="E4" i="13"/>
  <c r="S4" i="5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P71" i="5"/>
  <c r="P80" i="5"/>
  <c r="N27" i="5"/>
  <c r="N18" i="5"/>
  <c r="N71" i="5"/>
  <c r="N80" i="5"/>
  <c r="L27" i="5"/>
  <c r="L18" i="5"/>
  <c r="L80" i="5"/>
  <c r="J80" i="5"/>
  <c r="J71" i="5"/>
  <c r="J27" i="5"/>
  <c r="J18" i="5"/>
  <c r="P29" i="5"/>
  <c r="P18" i="5"/>
  <c r="P27" i="5"/>
  <c r="P26" i="5"/>
  <c r="B25" i="12"/>
  <c r="P25" i="5" s="1"/>
  <c r="B24" i="12"/>
  <c r="B23" i="12"/>
  <c r="Q119" i="5"/>
  <c r="C114" i="12"/>
  <c r="Q114" i="5" s="1"/>
  <c r="D117" i="12"/>
  <c r="D116" i="12"/>
  <c r="B114" i="12"/>
  <c r="P114" i="5" s="1"/>
  <c r="D104" i="12"/>
  <c r="D103" i="12"/>
  <c r="C102" i="12"/>
  <c r="B102" i="12"/>
  <c r="P102" i="5" s="1"/>
  <c r="D101" i="12"/>
  <c r="D100" i="12"/>
  <c r="C99" i="12"/>
  <c r="Q99" i="5" s="1"/>
  <c r="B99" i="12"/>
  <c r="P99" i="5" s="1"/>
  <c r="D98" i="12"/>
  <c r="D97" i="12"/>
  <c r="C96" i="12"/>
  <c r="Q96" i="5" s="1"/>
  <c r="B96" i="12"/>
  <c r="P96" i="5" s="1"/>
  <c r="D95" i="12"/>
  <c r="D94" i="12"/>
  <c r="C93" i="12"/>
  <c r="Q93" i="5" s="1"/>
  <c r="B93" i="12"/>
  <c r="P93" i="5" s="1"/>
  <c r="D92" i="12"/>
  <c r="D91" i="12"/>
  <c r="D90" i="12"/>
  <c r="D89" i="12"/>
  <c r="D88" i="12"/>
  <c r="D87" i="12"/>
  <c r="D86" i="12"/>
  <c r="D85" i="12"/>
  <c r="C84" i="12"/>
  <c r="B84" i="12"/>
  <c r="P84" i="5" s="1"/>
  <c r="D83" i="12"/>
  <c r="D82" i="12"/>
  <c r="D81" i="12"/>
  <c r="D80" i="12"/>
  <c r="D79" i="12"/>
  <c r="D78" i="12"/>
  <c r="D77" i="12"/>
  <c r="D76" i="12"/>
  <c r="C75" i="12"/>
  <c r="B75" i="12"/>
  <c r="P75" i="5" s="1"/>
  <c r="D74" i="12"/>
  <c r="D73" i="12"/>
  <c r="D72" i="12"/>
  <c r="D70" i="12"/>
  <c r="D69" i="12"/>
  <c r="D68" i="12"/>
  <c r="D67" i="12"/>
  <c r="C66" i="12"/>
  <c r="Q66" i="5" s="1"/>
  <c r="B66" i="12"/>
  <c r="D65" i="12"/>
  <c r="D64" i="12"/>
  <c r="D63" i="12"/>
  <c r="D61" i="12"/>
  <c r="D60" i="12"/>
  <c r="D59" i="12"/>
  <c r="D58" i="12"/>
  <c r="D57" i="12"/>
  <c r="C56" i="12"/>
  <c r="B56" i="12"/>
  <c r="P56" i="5" s="1"/>
  <c r="F51" i="12"/>
  <c r="E51" i="12"/>
  <c r="C51" i="12"/>
  <c r="F50" i="12"/>
  <c r="F49" i="12" s="1"/>
  <c r="E50" i="12"/>
  <c r="C50" i="12"/>
  <c r="Q50" i="5" s="1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B49" i="12"/>
  <c r="P49" i="5" s="1"/>
  <c r="F48" i="12"/>
  <c r="E48" i="12"/>
  <c r="C48" i="12"/>
  <c r="Q48" i="5" s="1"/>
  <c r="F47" i="12"/>
  <c r="E47" i="12"/>
  <c r="C47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B46" i="12"/>
  <c r="F45" i="12"/>
  <c r="E45" i="12"/>
  <c r="C45" i="12"/>
  <c r="F44" i="12"/>
  <c r="E44" i="12"/>
  <c r="C44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E43" i="12"/>
  <c r="F42" i="12"/>
  <c r="E42" i="12"/>
  <c r="C42" i="12"/>
  <c r="F41" i="12"/>
  <c r="F40" i="12" s="1"/>
  <c r="E41" i="12"/>
  <c r="E40" i="12" s="1"/>
  <c r="C41" i="12"/>
  <c r="P41" i="5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F39" i="12"/>
  <c r="E39" i="12"/>
  <c r="C39" i="12"/>
  <c r="Q39" i="5" s="1"/>
  <c r="F38" i="12"/>
  <c r="E38" i="12"/>
  <c r="C38" i="12"/>
  <c r="Q38" i="5" s="1"/>
  <c r="F37" i="12"/>
  <c r="E37" i="12"/>
  <c r="C37" i="12"/>
  <c r="F36" i="12"/>
  <c r="E36" i="12"/>
  <c r="C36" i="12"/>
  <c r="F35" i="12"/>
  <c r="E35" i="12"/>
  <c r="C35" i="12"/>
  <c r="F34" i="12"/>
  <c r="E34" i="12"/>
  <c r="C34" i="12"/>
  <c r="Q34" i="5" s="1"/>
  <c r="F33" i="12"/>
  <c r="E33" i="12"/>
  <c r="C33" i="12"/>
  <c r="Q33" i="5" s="1"/>
  <c r="F32" i="12"/>
  <c r="E32" i="12"/>
  <c r="C32" i="12"/>
  <c r="P32" i="5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F30" i="12"/>
  <c r="E30" i="12"/>
  <c r="C30" i="12"/>
  <c r="F29" i="12"/>
  <c r="E29" i="12"/>
  <c r="C29" i="12"/>
  <c r="F28" i="12"/>
  <c r="E28" i="12"/>
  <c r="C28" i="12"/>
  <c r="F27" i="12"/>
  <c r="E27" i="12"/>
  <c r="C27" i="12"/>
  <c r="Q27" i="5" s="1"/>
  <c r="F26" i="12"/>
  <c r="E26" i="12"/>
  <c r="C26" i="12"/>
  <c r="Q26" i="5" s="1"/>
  <c r="F25" i="12"/>
  <c r="E25" i="12"/>
  <c r="C25" i="12"/>
  <c r="Q25" i="5" s="1"/>
  <c r="F24" i="12"/>
  <c r="E24" i="12"/>
  <c r="C24" i="12"/>
  <c r="F23" i="12"/>
  <c r="E23" i="12"/>
  <c r="C23" i="12"/>
  <c r="Q23" i="5" s="1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F21" i="12"/>
  <c r="E21" i="12"/>
  <c r="C21" i="12"/>
  <c r="Q21" i="5" s="1"/>
  <c r="F20" i="12"/>
  <c r="E20" i="12"/>
  <c r="C20" i="12"/>
  <c r="F19" i="12"/>
  <c r="E19" i="12"/>
  <c r="C19" i="12"/>
  <c r="Q19" i="5" s="1"/>
  <c r="F18" i="12"/>
  <c r="E18" i="12"/>
  <c r="C18" i="12"/>
  <c r="F17" i="12"/>
  <c r="E17" i="12"/>
  <c r="C17" i="12"/>
  <c r="F16" i="12"/>
  <c r="E16" i="12"/>
  <c r="C16" i="12"/>
  <c r="Q16" i="5" s="1"/>
  <c r="D16" i="12"/>
  <c r="F15" i="12"/>
  <c r="E15" i="12"/>
  <c r="C15" i="12"/>
  <c r="F14" i="12"/>
  <c r="E14" i="12"/>
  <c r="C14" i="12"/>
  <c r="Q14" i="5" s="1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F12" i="12"/>
  <c r="E12" i="12"/>
  <c r="F11" i="12"/>
  <c r="E11" i="12"/>
  <c r="F10" i="12"/>
  <c r="E10" i="12"/>
  <c r="F9" i="12"/>
  <c r="E9" i="12"/>
  <c r="F7" i="12"/>
  <c r="E7" i="12"/>
  <c r="F6" i="12"/>
  <c r="E6" i="12"/>
  <c r="Q6" i="5"/>
  <c r="F5" i="12"/>
  <c r="E5" i="12"/>
  <c r="D5" i="12"/>
  <c r="F4" i="12"/>
  <c r="E4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D117" i="11"/>
  <c r="D116" i="11"/>
  <c r="B114" i="11"/>
  <c r="N114" i="5" s="1"/>
  <c r="D104" i="11"/>
  <c r="D103" i="11"/>
  <c r="C102" i="11"/>
  <c r="N102" i="5"/>
  <c r="D101" i="11"/>
  <c r="D100" i="11"/>
  <c r="C99" i="11"/>
  <c r="O99" i="5" s="1"/>
  <c r="N99" i="5"/>
  <c r="D98" i="11"/>
  <c r="D97" i="11"/>
  <c r="C96" i="11"/>
  <c r="N96" i="5"/>
  <c r="D95" i="11"/>
  <c r="D94" i="11"/>
  <c r="C93" i="11"/>
  <c r="O93" i="5" s="1"/>
  <c r="N93" i="5"/>
  <c r="D92" i="11"/>
  <c r="D91" i="11"/>
  <c r="D90" i="11"/>
  <c r="D89" i="11"/>
  <c r="D88" i="11"/>
  <c r="D87" i="11"/>
  <c r="D86" i="11"/>
  <c r="D85" i="11"/>
  <c r="C84" i="11"/>
  <c r="N84" i="5"/>
  <c r="D83" i="11"/>
  <c r="D82" i="11"/>
  <c r="D81" i="11"/>
  <c r="D79" i="11"/>
  <c r="D78" i="11"/>
  <c r="D77" i="11"/>
  <c r="D76" i="11"/>
  <c r="C75" i="11"/>
  <c r="D74" i="11"/>
  <c r="D73" i="11"/>
  <c r="D72" i="11"/>
  <c r="D70" i="11"/>
  <c r="D69" i="11"/>
  <c r="D68" i="11"/>
  <c r="D67" i="11"/>
  <c r="C66" i="11"/>
  <c r="O66" i="5" s="1"/>
  <c r="D65" i="11"/>
  <c r="D63" i="11"/>
  <c r="D62" i="11"/>
  <c r="D61" i="11"/>
  <c r="D60" i="11"/>
  <c r="D59" i="11"/>
  <c r="D58" i="11"/>
  <c r="D57" i="11"/>
  <c r="C56" i="11"/>
  <c r="O56" i="5" s="1"/>
  <c r="B56" i="11"/>
  <c r="N56" i="5" s="1"/>
  <c r="F51" i="11"/>
  <c r="E51" i="11"/>
  <c r="C51" i="11"/>
  <c r="O51" i="5" s="1"/>
  <c r="F50" i="11"/>
  <c r="F49" i="11" s="1"/>
  <c r="E50" i="11"/>
  <c r="C50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F48" i="11"/>
  <c r="E48" i="11"/>
  <c r="C48" i="11"/>
  <c r="O48" i="5" s="1"/>
  <c r="F47" i="11"/>
  <c r="F46" i="11" s="1"/>
  <c r="E47" i="11"/>
  <c r="E46" i="11" s="1"/>
  <c r="C47" i="11"/>
  <c r="O47" i="5" s="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F45" i="11"/>
  <c r="E45" i="11"/>
  <c r="C45" i="11"/>
  <c r="F44" i="11"/>
  <c r="F43" i="11" s="1"/>
  <c r="E44" i="11"/>
  <c r="E43" i="11" s="1"/>
  <c r="C44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F42" i="11"/>
  <c r="E42" i="11"/>
  <c r="C42" i="11"/>
  <c r="D42" i="11" s="1"/>
  <c r="F41" i="11"/>
  <c r="E41" i="11"/>
  <c r="C41" i="11"/>
  <c r="N41" i="5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C40" i="11"/>
  <c r="N40" i="5"/>
  <c r="F39" i="11"/>
  <c r="E39" i="11"/>
  <c r="C39" i="11"/>
  <c r="O39" i="5" s="1"/>
  <c r="F38" i="11"/>
  <c r="E38" i="11"/>
  <c r="C38" i="11"/>
  <c r="O38" i="5" s="1"/>
  <c r="F37" i="11"/>
  <c r="E37" i="11"/>
  <c r="C37" i="11"/>
  <c r="O37" i="5" s="1"/>
  <c r="F36" i="11"/>
  <c r="E36" i="11"/>
  <c r="C36" i="11"/>
  <c r="D36" i="11" s="1"/>
  <c r="F35" i="11"/>
  <c r="E35" i="11"/>
  <c r="C35" i="11"/>
  <c r="F34" i="11"/>
  <c r="E34" i="11"/>
  <c r="C34" i="11"/>
  <c r="O34" i="5" s="1"/>
  <c r="F33" i="11"/>
  <c r="E33" i="11"/>
  <c r="C33" i="11"/>
  <c r="D33" i="11" s="1"/>
  <c r="F32" i="11"/>
  <c r="E32" i="11"/>
  <c r="C32" i="11"/>
  <c r="N32" i="5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B109" i="11"/>
  <c r="F30" i="11"/>
  <c r="E30" i="11"/>
  <c r="C30" i="11"/>
  <c r="F29" i="11"/>
  <c r="E29" i="11"/>
  <c r="C29" i="11"/>
  <c r="O29" i="5" s="1"/>
  <c r="F28" i="11"/>
  <c r="E28" i="11"/>
  <c r="C28" i="11"/>
  <c r="F27" i="11"/>
  <c r="E27" i="11"/>
  <c r="F26" i="11"/>
  <c r="E26" i="11"/>
  <c r="C26" i="11"/>
  <c r="N26" i="5"/>
  <c r="F25" i="11"/>
  <c r="E25" i="11"/>
  <c r="C25" i="11"/>
  <c r="O25" i="5" s="1"/>
  <c r="F24" i="11"/>
  <c r="E24" i="11"/>
  <c r="C24" i="11"/>
  <c r="N24" i="5"/>
  <c r="F23" i="11"/>
  <c r="E23" i="11"/>
  <c r="C23" i="11"/>
  <c r="O23" i="5" s="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F21" i="11"/>
  <c r="E21" i="11"/>
  <c r="C21" i="11"/>
  <c r="F20" i="11"/>
  <c r="E20" i="11"/>
  <c r="C20" i="11"/>
  <c r="F19" i="11"/>
  <c r="E19" i="11"/>
  <c r="C19" i="11"/>
  <c r="F18" i="11"/>
  <c r="E18" i="11"/>
  <c r="C18" i="11"/>
  <c r="F17" i="11"/>
  <c r="E17" i="11"/>
  <c r="C17" i="11"/>
  <c r="N17" i="5"/>
  <c r="F16" i="11"/>
  <c r="E16" i="11"/>
  <c r="C16" i="11"/>
  <c r="O16" i="5" s="1"/>
  <c r="F15" i="11"/>
  <c r="E15" i="11"/>
  <c r="C15" i="11"/>
  <c r="N15" i="5"/>
  <c r="F14" i="11"/>
  <c r="E14" i="11"/>
  <c r="C14" i="11"/>
  <c r="O14" i="5" s="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F12" i="11"/>
  <c r="E12" i="11"/>
  <c r="C12" i="11"/>
  <c r="D12" i="11" s="1"/>
  <c r="F10" i="11"/>
  <c r="E10" i="11"/>
  <c r="C10" i="11"/>
  <c r="F9" i="11"/>
  <c r="E9" i="11"/>
  <c r="C9" i="11"/>
  <c r="N9" i="5"/>
  <c r="F8" i="11"/>
  <c r="E8" i="11"/>
  <c r="C8" i="11"/>
  <c r="O8" i="5" s="1"/>
  <c r="N8" i="5"/>
  <c r="F7" i="11"/>
  <c r="E7" i="11"/>
  <c r="C7" i="11"/>
  <c r="F6" i="11"/>
  <c r="E6" i="11"/>
  <c r="C6" i="11"/>
  <c r="O6" i="5" s="1"/>
  <c r="F5" i="11"/>
  <c r="E5" i="11"/>
  <c r="C5" i="11"/>
  <c r="F4" i="11"/>
  <c r="E4" i="11"/>
  <c r="C4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B32" i="10"/>
  <c r="M119" i="5"/>
  <c r="D118" i="10"/>
  <c r="D117" i="10"/>
  <c r="B114" i="10"/>
  <c r="L114" i="5" s="1"/>
  <c r="D104" i="10"/>
  <c r="D103" i="10"/>
  <c r="C102" i="10"/>
  <c r="B102" i="10"/>
  <c r="L102" i="5" s="1"/>
  <c r="D101" i="10"/>
  <c r="D100" i="10"/>
  <c r="C99" i="10"/>
  <c r="B99" i="10"/>
  <c r="L99" i="5" s="1"/>
  <c r="D98" i="10"/>
  <c r="D97" i="10"/>
  <c r="C96" i="10"/>
  <c r="B96" i="10"/>
  <c r="L96" i="5" s="1"/>
  <c r="D95" i="10"/>
  <c r="D94" i="10"/>
  <c r="C93" i="10"/>
  <c r="M93" i="5" s="1"/>
  <c r="B93" i="10"/>
  <c r="L93" i="5" s="1"/>
  <c r="D92" i="10"/>
  <c r="D91" i="10"/>
  <c r="D90" i="10"/>
  <c r="D89" i="10"/>
  <c r="D88" i="10"/>
  <c r="D87" i="10"/>
  <c r="D86" i="10"/>
  <c r="D85" i="10"/>
  <c r="B84" i="10"/>
  <c r="L84" i="5" s="1"/>
  <c r="C84" i="10"/>
  <c r="M84" i="5" s="1"/>
  <c r="D83" i="10"/>
  <c r="D82" i="10"/>
  <c r="D81" i="10"/>
  <c r="D80" i="10"/>
  <c r="D79" i="10"/>
  <c r="D78" i="10"/>
  <c r="D77" i="10"/>
  <c r="D76" i="10"/>
  <c r="C75" i="10"/>
  <c r="M75" i="5" s="1"/>
  <c r="B75" i="10"/>
  <c r="D74" i="10"/>
  <c r="D73" i="10"/>
  <c r="D72" i="10"/>
  <c r="D71" i="10"/>
  <c r="D70" i="10"/>
  <c r="D69" i="10"/>
  <c r="D68" i="10"/>
  <c r="D67" i="10"/>
  <c r="C66" i="10"/>
  <c r="M66" i="5" s="1"/>
  <c r="D65" i="10"/>
  <c r="D63" i="10"/>
  <c r="D62" i="10"/>
  <c r="D61" i="10"/>
  <c r="D60" i="10"/>
  <c r="D59" i="10"/>
  <c r="D58" i="10"/>
  <c r="D57" i="10"/>
  <c r="C56" i="10"/>
  <c r="M56" i="5" s="1"/>
  <c r="B56" i="10"/>
  <c r="L56" i="5" s="1"/>
  <c r="F51" i="10"/>
  <c r="E51" i="10"/>
  <c r="C51" i="10"/>
  <c r="F50" i="10"/>
  <c r="F49" i="10" s="1"/>
  <c r="E50" i="10"/>
  <c r="C50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B49" i="10"/>
  <c r="L49" i="5" s="1"/>
  <c r="F48" i="10"/>
  <c r="E48" i="10"/>
  <c r="C48" i="10"/>
  <c r="F47" i="10"/>
  <c r="E47" i="10"/>
  <c r="C47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B46" i="10"/>
  <c r="F45" i="10"/>
  <c r="E45" i="10"/>
  <c r="C45" i="10"/>
  <c r="F44" i="10"/>
  <c r="E44" i="10"/>
  <c r="C44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B43" i="10"/>
  <c r="L43" i="5" s="1"/>
  <c r="F42" i="10"/>
  <c r="E42" i="10"/>
  <c r="C42" i="10"/>
  <c r="M42" i="5" s="1"/>
  <c r="F41" i="10"/>
  <c r="E41" i="10"/>
  <c r="C41" i="10"/>
  <c r="L41" i="5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F39" i="10"/>
  <c r="E39" i="10"/>
  <c r="C39" i="10"/>
  <c r="F38" i="10"/>
  <c r="E38" i="10"/>
  <c r="C38" i="10"/>
  <c r="F37" i="10"/>
  <c r="E37" i="10"/>
  <c r="C37" i="10"/>
  <c r="F36" i="10"/>
  <c r="E36" i="10"/>
  <c r="C36" i="10"/>
  <c r="F35" i="10"/>
  <c r="E35" i="10"/>
  <c r="C35" i="10"/>
  <c r="D35" i="10" s="1"/>
  <c r="F34" i="10"/>
  <c r="E34" i="10"/>
  <c r="C34" i="10"/>
  <c r="M34" i="5" s="1"/>
  <c r="F33" i="10"/>
  <c r="E33" i="10"/>
  <c r="C33" i="10"/>
  <c r="F32" i="10"/>
  <c r="E32" i="10"/>
  <c r="C32" i="10"/>
  <c r="M32" i="5" s="1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F30" i="10"/>
  <c r="E30" i="10"/>
  <c r="C30" i="10"/>
  <c r="F29" i="10"/>
  <c r="E29" i="10"/>
  <c r="C29" i="10"/>
  <c r="D29" i="10" s="1"/>
  <c r="F28" i="10"/>
  <c r="E28" i="10"/>
  <c r="C28" i="10"/>
  <c r="F27" i="10"/>
  <c r="E27" i="10"/>
  <c r="C27" i="10"/>
  <c r="F26" i="10"/>
  <c r="E26" i="10"/>
  <c r="C26" i="10"/>
  <c r="L26" i="5"/>
  <c r="F25" i="10"/>
  <c r="E25" i="10"/>
  <c r="C25" i="10"/>
  <c r="B25" i="10"/>
  <c r="L25" i="5" s="1"/>
  <c r="F24" i="10"/>
  <c r="E24" i="10"/>
  <c r="C24" i="10"/>
  <c r="B24" i="10"/>
  <c r="F23" i="10"/>
  <c r="E23" i="10"/>
  <c r="C23" i="10"/>
  <c r="B23" i="10"/>
  <c r="L23" i="5" s="1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F21" i="10"/>
  <c r="E21" i="10"/>
  <c r="C21" i="10"/>
  <c r="F20" i="10"/>
  <c r="E20" i="10"/>
  <c r="C20" i="10"/>
  <c r="F19" i="10"/>
  <c r="E19" i="10"/>
  <c r="C19" i="10"/>
  <c r="D19" i="10" s="1"/>
  <c r="F18" i="10"/>
  <c r="E18" i="10"/>
  <c r="C18" i="10"/>
  <c r="M18" i="5" s="1"/>
  <c r="F17" i="10"/>
  <c r="E17" i="10"/>
  <c r="C17" i="10"/>
  <c r="L17" i="5"/>
  <c r="F16" i="10"/>
  <c r="E16" i="10"/>
  <c r="C16" i="10"/>
  <c r="M16" i="5" s="1"/>
  <c r="L16" i="5"/>
  <c r="F15" i="10"/>
  <c r="E15" i="10"/>
  <c r="C15" i="10"/>
  <c r="M15" i="5" s="1"/>
  <c r="B15" i="10"/>
  <c r="L15" i="5" s="1"/>
  <c r="F14" i="10"/>
  <c r="E14" i="10"/>
  <c r="C14" i="10"/>
  <c r="M14" i="5" s="1"/>
  <c r="B14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F12" i="10"/>
  <c r="E12" i="10"/>
  <c r="C12" i="10"/>
  <c r="F10" i="10"/>
  <c r="E10" i="10"/>
  <c r="C10" i="10"/>
  <c r="F9" i="10"/>
  <c r="E9" i="10"/>
  <c r="C9" i="10"/>
  <c r="M9" i="5" s="1"/>
  <c r="D9" i="10"/>
  <c r="F8" i="10"/>
  <c r="E8" i="10"/>
  <c r="C8" i="10"/>
  <c r="B8" i="10"/>
  <c r="F7" i="10"/>
  <c r="E7" i="10"/>
  <c r="C7" i="10"/>
  <c r="F6" i="10"/>
  <c r="E6" i="10"/>
  <c r="C6" i="10"/>
  <c r="F5" i="10"/>
  <c r="E5" i="10"/>
  <c r="C5" i="10"/>
  <c r="F4" i="10"/>
  <c r="E4" i="10"/>
  <c r="C4" i="10"/>
  <c r="D4" i="10" s="1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J26" i="5"/>
  <c r="J24" i="5"/>
  <c r="J17" i="5"/>
  <c r="J16" i="5"/>
  <c r="B14" i="9"/>
  <c r="J15" i="5" s="1"/>
  <c r="D120" i="9"/>
  <c r="K119" i="5"/>
  <c r="D115" i="9"/>
  <c r="D114" i="9"/>
  <c r="C112" i="9"/>
  <c r="K114" i="5" s="1"/>
  <c r="B112" i="9"/>
  <c r="J114" i="5" s="1"/>
  <c r="D102" i="9"/>
  <c r="D101" i="9"/>
  <c r="C100" i="9"/>
  <c r="B100" i="9"/>
  <c r="J102" i="5" s="1"/>
  <c r="D99" i="9"/>
  <c r="D98" i="9"/>
  <c r="C97" i="9"/>
  <c r="K99" i="5" s="1"/>
  <c r="B97" i="9"/>
  <c r="J99" i="5" s="1"/>
  <c r="D96" i="9"/>
  <c r="D95" i="9"/>
  <c r="C94" i="9"/>
  <c r="B94" i="9"/>
  <c r="J96" i="5" s="1"/>
  <c r="D93" i="9"/>
  <c r="D92" i="9"/>
  <c r="C91" i="9"/>
  <c r="K93" i="5" s="1"/>
  <c r="B91" i="9"/>
  <c r="J93" i="5" s="1"/>
  <c r="D90" i="9"/>
  <c r="D89" i="9"/>
  <c r="D88" i="9"/>
  <c r="D87" i="9"/>
  <c r="D86" i="9"/>
  <c r="D85" i="9"/>
  <c r="D84" i="9"/>
  <c r="J85" i="5"/>
  <c r="C82" i="9"/>
  <c r="D81" i="9"/>
  <c r="D80" i="9"/>
  <c r="D79" i="9"/>
  <c r="D78" i="9"/>
  <c r="D77" i="9"/>
  <c r="D76" i="9"/>
  <c r="D75" i="9"/>
  <c r="D74" i="9"/>
  <c r="C73" i="9"/>
  <c r="K75" i="5" s="1"/>
  <c r="B73" i="9"/>
  <c r="D72" i="9"/>
  <c r="D71" i="9"/>
  <c r="D70" i="9"/>
  <c r="D69" i="9"/>
  <c r="D68" i="9"/>
  <c r="D67" i="9"/>
  <c r="D66" i="9"/>
  <c r="D65" i="9"/>
  <c r="C64" i="9"/>
  <c r="K66" i="5" s="1"/>
  <c r="B64" i="9"/>
  <c r="J66" i="5" s="1"/>
  <c r="D63" i="9"/>
  <c r="D62" i="9"/>
  <c r="D61" i="9"/>
  <c r="D60" i="9"/>
  <c r="D59" i="9"/>
  <c r="D58" i="9"/>
  <c r="D57" i="9"/>
  <c r="D56" i="9"/>
  <c r="C55" i="9"/>
  <c r="B55" i="9"/>
  <c r="J56" i="5" s="1"/>
  <c r="F50" i="9"/>
  <c r="E50" i="9"/>
  <c r="C50" i="9"/>
  <c r="K51" i="5" s="1"/>
  <c r="F49" i="9"/>
  <c r="F48" i="9" s="1"/>
  <c r="E49" i="9"/>
  <c r="C49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B48" i="9"/>
  <c r="J49" i="5" s="1"/>
  <c r="F47" i="9"/>
  <c r="E47" i="9"/>
  <c r="C47" i="9"/>
  <c r="F46" i="9"/>
  <c r="F45" i="9" s="1"/>
  <c r="E46" i="9"/>
  <c r="E45" i="9" s="1"/>
  <c r="C46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B45" i="9"/>
  <c r="F44" i="9"/>
  <c r="E44" i="9"/>
  <c r="C44" i="9"/>
  <c r="F43" i="9"/>
  <c r="E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E42" i="9"/>
  <c r="B42" i="9"/>
  <c r="F41" i="9"/>
  <c r="E41" i="9"/>
  <c r="C41" i="9"/>
  <c r="F40" i="9"/>
  <c r="F39" i="9" s="1"/>
  <c r="E40" i="9"/>
  <c r="C40" i="9"/>
  <c r="J41" i="5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B39" i="9"/>
  <c r="J40" i="5" s="1"/>
  <c r="F38" i="9"/>
  <c r="E38" i="9"/>
  <c r="C38" i="9"/>
  <c r="D38" i="9" s="1"/>
  <c r="F37" i="9"/>
  <c r="E37" i="9"/>
  <c r="C37" i="9"/>
  <c r="F36" i="9"/>
  <c r="E36" i="9"/>
  <c r="C36" i="9"/>
  <c r="K37" i="5" s="1"/>
  <c r="F35" i="9"/>
  <c r="E35" i="9"/>
  <c r="C35" i="9"/>
  <c r="F34" i="9"/>
  <c r="E34" i="9"/>
  <c r="C34" i="9"/>
  <c r="K35" i="5" s="1"/>
  <c r="F33" i="9"/>
  <c r="E33" i="9"/>
  <c r="C33" i="9"/>
  <c r="D33" i="9" s="1"/>
  <c r="F32" i="9"/>
  <c r="E32" i="9"/>
  <c r="C32" i="9"/>
  <c r="F31" i="9"/>
  <c r="E31" i="9"/>
  <c r="C31" i="9"/>
  <c r="K32" i="5" s="1"/>
  <c r="B31" i="9"/>
  <c r="J32" i="5" s="1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F30" i="9"/>
  <c r="B30" i="9"/>
  <c r="B107" i="9" s="1"/>
  <c r="F29" i="9"/>
  <c r="E29" i="9"/>
  <c r="C29" i="9"/>
  <c r="K30" i="5" s="1"/>
  <c r="F28" i="9"/>
  <c r="E28" i="9"/>
  <c r="C28" i="9"/>
  <c r="D28" i="9" s="1"/>
  <c r="F27" i="9"/>
  <c r="E27" i="9"/>
  <c r="C27" i="9"/>
  <c r="F26" i="9"/>
  <c r="E26" i="9"/>
  <c r="C26" i="9"/>
  <c r="F25" i="9"/>
  <c r="E25" i="9"/>
  <c r="C25" i="9"/>
  <c r="K26" i="5" s="1"/>
  <c r="F24" i="9"/>
  <c r="E24" i="9"/>
  <c r="C24" i="9"/>
  <c r="K25" i="5" s="1"/>
  <c r="F23" i="9"/>
  <c r="E23" i="9"/>
  <c r="C23" i="9"/>
  <c r="K24" i="5" s="1"/>
  <c r="F22" i="9"/>
  <c r="E22" i="9"/>
  <c r="C22" i="9"/>
  <c r="B22" i="9"/>
  <c r="J23" i="5" s="1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F20" i="9"/>
  <c r="E20" i="9"/>
  <c r="C20" i="9"/>
  <c r="K21" i="5" s="1"/>
  <c r="F19" i="9"/>
  <c r="E19" i="9"/>
  <c r="C19" i="9"/>
  <c r="F18" i="9"/>
  <c r="E18" i="9"/>
  <c r="C18" i="9"/>
  <c r="D18" i="9" s="1"/>
  <c r="F17" i="9"/>
  <c r="E17" i="9"/>
  <c r="C17" i="9"/>
  <c r="K18" i="5" s="1"/>
  <c r="F16" i="9"/>
  <c r="E16" i="9"/>
  <c r="C16" i="9"/>
  <c r="F15" i="9"/>
  <c r="E15" i="9"/>
  <c r="C15" i="9"/>
  <c r="K16" i="5" s="1"/>
  <c r="F14" i="9"/>
  <c r="E14" i="9"/>
  <c r="C14" i="9"/>
  <c r="F13" i="9"/>
  <c r="E13" i="9"/>
  <c r="E12" i="9" s="1"/>
  <c r="C13" i="9"/>
  <c r="D13" i="9" s="1"/>
  <c r="B13" i="9"/>
  <c r="J14" i="5" s="1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F11" i="9"/>
  <c r="E11" i="9"/>
  <c r="C11" i="9"/>
  <c r="F10" i="9"/>
  <c r="E10" i="9"/>
  <c r="C10" i="9"/>
  <c r="F9" i="9"/>
  <c r="E9" i="9"/>
  <c r="C9" i="9"/>
  <c r="J9" i="5"/>
  <c r="F8" i="9"/>
  <c r="E8" i="9"/>
  <c r="C8" i="9"/>
  <c r="K8" i="5" s="1"/>
  <c r="J8" i="5"/>
  <c r="F7" i="9"/>
  <c r="E7" i="9"/>
  <c r="C7" i="9"/>
  <c r="F6" i="9"/>
  <c r="E6" i="9"/>
  <c r="C6" i="9"/>
  <c r="F5" i="9"/>
  <c r="E5" i="9"/>
  <c r="C5" i="9"/>
  <c r="F4" i="9"/>
  <c r="F3" i="9" s="1"/>
  <c r="E4" i="9"/>
  <c r="C4" i="9"/>
  <c r="K4" i="5" s="1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B31" i="6"/>
  <c r="H32" i="5" s="1"/>
  <c r="B40" i="6"/>
  <c r="B39" i="6" s="1"/>
  <c r="H40" i="5" s="1"/>
  <c r="B22" i="6"/>
  <c r="B21" i="6" s="1"/>
  <c r="H22" i="5" s="1"/>
  <c r="B13" i="6"/>
  <c r="H14" i="5" s="1"/>
  <c r="B40" i="3"/>
  <c r="F41" i="5" s="1"/>
  <c r="B22" i="3"/>
  <c r="D22" i="3" s="1"/>
  <c r="B13" i="3"/>
  <c r="F14" i="5" s="1"/>
  <c r="B13" i="2"/>
  <c r="B22" i="2"/>
  <c r="D23" i="5" s="1"/>
  <c r="B40" i="2"/>
  <c r="D83" i="6"/>
  <c r="C120" i="6"/>
  <c r="D120" i="6" s="1"/>
  <c r="C119" i="6"/>
  <c r="D119" i="6" s="1"/>
  <c r="C118" i="6"/>
  <c r="D118" i="6" s="1"/>
  <c r="C117" i="6"/>
  <c r="I119" i="5" s="1"/>
  <c r="C116" i="6"/>
  <c r="D116" i="6" s="1"/>
  <c r="D115" i="6"/>
  <c r="D114" i="6"/>
  <c r="B112" i="6"/>
  <c r="H114" i="5" s="1"/>
  <c r="D102" i="6"/>
  <c r="D101" i="6"/>
  <c r="C100" i="6"/>
  <c r="I102" i="5" s="1"/>
  <c r="B100" i="6"/>
  <c r="H102" i="5" s="1"/>
  <c r="D99" i="6"/>
  <c r="D98" i="6"/>
  <c r="C97" i="6"/>
  <c r="I99" i="5" s="1"/>
  <c r="B97" i="6"/>
  <c r="H99" i="5" s="1"/>
  <c r="D96" i="6"/>
  <c r="D95" i="6"/>
  <c r="C94" i="6"/>
  <c r="I96" i="5" s="1"/>
  <c r="B94" i="6"/>
  <c r="D93" i="6"/>
  <c r="D92" i="6"/>
  <c r="C91" i="6"/>
  <c r="I93" i="5" s="1"/>
  <c r="B91" i="6"/>
  <c r="H93" i="5" s="1"/>
  <c r="D90" i="6"/>
  <c r="D89" i="6"/>
  <c r="D88" i="6"/>
  <c r="D87" i="6"/>
  <c r="D86" i="6"/>
  <c r="D85" i="6"/>
  <c r="D84" i="6"/>
  <c r="C82" i="6"/>
  <c r="I84" i="5" s="1"/>
  <c r="D81" i="6"/>
  <c r="D80" i="6"/>
  <c r="D79" i="6"/>
  <c r="D78" i="6"/>
  <c r="D77" i="6"/>
  <c r="D76" i="6"/>
  <c r="D75" i="6"/>
  <c r="D74" i="6"/>
  <c r="C73" i="6"/>
  <c r="B73" i="6"/>
  <c r="H75" i="5" s="1"/>
  <c r="D72" i="6"/>
  <c r="D71" i="6"/>
  <c r="D70" i="6"/>
  <c r="D69" i="6"/>
  <c r="D68" i="6"/>
  <c r="D67" i="6"/>
  <c r="D66" i="6"/>
  <c r="D65" i="6"/>
  <c r="C64" i="6"/>
  <c r="B64" i="6"/>
  <c r="H66" i="5" s="1"/>
  <c r="D63" i="6"/>
  <c r="D62" i="6"/>
  <c r="D61" i="6"/>
  <c r="D60" i="6"/>
  <c r="D59" i="6"/>
  <c r="D58" i="6"/>
  <c r="D57" i="6"/>
  <c r="D56" i="6"/>
  <c r="C55" i="6"/>
  <c r="B55" i="6"/>
  <c r="H56" i="5" s="1"/>
  <c r="F50" i="6"/>
  <c r="E50" i="6"/>
  <c r="C50" i="6"/>
  <c r="D50" i="6" s="1"/>
  <c r="F49" i="6"/>
  <c r="E49" i="6"/>
  <c r="C49" i="6"/>
  <c r="D49" i="6" s="1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B48" i="6"/>
  <c r="B129" i="6" s="1"/>
  <c r="F47" i="6"/>
  <c r="E47" i="6"/>
  <c r="C47" i="6"/>
  <c r="I48" i="5" s="1"/>
  <c r="F46" i="6"/>
  <c r="E46" i="6"/>
  <c r="C46" i="6"/>
  <c r="D46" i="6" s="1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B45" i="6"/>
  <c r="B128" i="6" s="1"/>
  <c r="H130" i="5" s="1"/>
  <c r="F44" i="6"/>
  <c r="E44" i="6"/>
  <c r="C44" i="6"/>
  <c r="D44" i="6" s="1"/>
  <c r="F43" i="6"/>
  <c r="E43" i="6"/>
  <c r="C43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F41" i="6"/>
  <c r="E41" i="6"/>
  <c r="C41" i="6"/>
  <c r="D41" i="6" s="1"/>
  <c r="F40" i="6"/>
  <c r="E40" i="6"/>
  <c r="C40" i="6"/>
  <c r="D40" i="6" s="1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F38" i="6"/>
  <c r="E38" i="6"/>
  <c r="C38" i="6"/>
  <c r="I39" i="5" s="1"/>
  <c r="F37" i="6"/>
  <c r="E37" i="6"/>
  <c r="C37" i="6"/>
  <c r="D37" i="6" s="1"/>
  <c r="F36" i="6"/>
  <c r="E36" i="6"/>
  <c r="C36" i="6"/>
  <c r="I37" i="5" s="1"/>
  <c r="F35" i="6"/>
  <c r="E35" i="6"/>
  <c r="C35" i="6"/>
  <c r="D35" i="6" s="1"/>
  <c r="F34" i="6"/>
  <c r="E34" i="6"/>
  <c r="C34" i="6"/>
  <c r="D34" i="6" s="1"/>
  <c r="F33" i="6"/>
  <c r="E33" i="6"/>
  <c r="C33" i="6"/>
  <c r="F32" i="6"/>
  <c r="E32" i="6"/>
  <c r="C32" i="6"/>
  <c r="D32" i="6" s="1"/>
  <c r="F31" i="6"/>
  <c r="E31" i="6"/>
  <c r="C31" i="6"/>
  <c r="I32" i="5" s="1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F29" i="6"/>
  <c r="E29" i="6"/>
  <c r="C29" i="6"/>
  <c r="D29" i="6" s="1"/>
  <c r="F28" i="6"/>
  <c r="E28" i="6"/>
  <c r="C28" i="6"/>
  <c r="D28" i="6" s="1"/>
  <c r="F27" i="6"/>
  <c r="E27" i="6"/>
  <c r="C27" i="6"/>
  <c r="D27" i="6" s="1"/>
  <c r="F26" i="6"/>
  <c r="E26" i="6"/>
  <c r="C26" i="6"/>
  <c r="D26" i="6" s="1"/>
  <c r="F25" i="6"/>
  <c r="E25" i="6"/>
  <c r="C25" i="6"/>
  <c r="I26" i="5" s="1"/>
  <c r="F24" i="6"/>
  <c r="E24" i="6"/>
  <c r="C24" i="6"/>
  <c r="D24" i="6" s="1"/>
  <c r="F23" i="6"/>
  <c r="E23" i="6"/>
  <c r="C23" i="6"/>
  <c r="I24" i="5" s="1"/>
  <c r="F22" i="6"/>
  <c r="E22" i="6"/>
  <c r="C22" i="6"/>
  <c r="I23" i="5" s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F20" i="6"/>
  <c r="E20" i="6"/>
  <c r="C20" i="6"/>
  <c r="D20" i="6" s="1"/>
  <c r="F19" i="6"/>
  <c r="E19" i="6"/>
  <c r="C19" i="6"/>
  <c r="I20" i="5" s="1"/>
  <c r="F18" i="6"/>
  <c r="E18" i="6"/>
  <c r="C18" i="6"/>
  <c r="D18" i="6" s="1"/>
  <c r="F17" i="6"/>
  <c r="E17" i="6"/>
  <c r="C17" i="6"/>
  <c r="D17" i="6" s="1"/>
  <c r="F16" i="6"/>
  <c r="E16" i="6"/>
  <c r="C16" i="6"/>
  <c r="I17" i="5" s="1"/>
  <c r="F15" i="6"/>
  <c r="E15" i="6"/>
  <c r="C15" i="6"/>
  <c r="D15" i="6" s="1"/>
  <c r="F14" i="6"/>
  <c r="E14" i="6"/>
  <c r="C14" i="6"/>
  <c r="I15" i="5" s="1"/>
  <c r="F13" i="6"/>
  <c r="E13" i="6"/>
  <c r="C13" i="6"/>
  <c r="I14" i="5" s="1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B12" i="6"/>
  <c r="B123" i="6" s="1"/>
  <c r="H125" i="5" s="1"/>
  <c r="F11" i="6"/>
  <c r="E11" i="6"/>
  <c r="C11" i="6"/>
  <c r="D11" i="6" s="1"/>
  <c r="F10" i="6"/>
  <c r="E10" i="6"/>
  <c r="C10" i="6"/>
  <c r="F9" i="6"/>
  <c r="E9" i="6"/>
  <c r="C9" i="6"/>
  <c r="I9" i="5" s="1"/>
  <c r="B9" i="6"/>
  <c r="H9" i="5" s="1"/>
  <c r="F8" i="6"/>
  <c r="E8" i="6"/>
  <c r="C8" i="6"/>
  <c r="I8" i="5" s="1"/>
  <c r="B8" i="6"/>
  <c r="H8" i="5" s="1"/>
  <c r="F7" i="6"/>
  <c r="E7" i="6"/>
  <c r="C7" i="6"/>
  <c r="D7" i="6" s="1"/>
  <c r="F6" i="6"/>
  <c r="E6" i="6"/>
  <c r="C6" i="6"/>
  <c r="I6" i="5" s="1"/>
  <c r="F5" i="6"/>
  <c r="E5" i="6"/>
  <c r="C5" i="6"/>
  <c r="D5" i="6" s="1"/>
  <c r="F4" i="6"/>
  <c r="E4" i="6"/>
  <c r="C4" i="6"/>
  <c r="D4" i="6" s="1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D122" i="5"/>
  <c r="D121" i="5"/>
  <c r="D120" i="5"/>
  <c r="D119" i="5"/>
  <c r="D118" i="5"/>
  <c r="D117" i="5"/>
  <c r="D116" i="5"/>
  <c r="D115" i="5"/>
  <c r="E104" i="5"/>
  <c r="D104" i="5"/>
  <c r="E103" i="5"/>
  <c r="D103" i="5"/>
  <c r="E101" i="5"/>
  <c r="D101" i="5"/>
  <c r="E100" i="5"/>
  <c r="D100" i="5"/>
  <c r="E98" i="5"/>
  <c r="D98" i="5"/>
  <c r="D97" i="5"/>
  <c r="E95" i="5"/>
  <c r="D95" i="5"/>
  <c r="D94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D67" i="5"/>
  <c r="E65" i="5"/>
  <c r="D65" i="5"/>
  <c r="D64" i="5"/>
  <c r="D62" i="5"/>
  <c r="D61" i="5"/>
  <c r="E60" i="5"/>
  <c r="D60" i="5"/>
  <c r="D59" i="5"/>
  <c r="D58" i="5"/>
  <c r="D57" i="5"/>
  <c r="D51" i="5"/>
  <c r="D50" i="5"/>
  <c r="D48" i="5"/>
  <c r="D47" i="5"/>
  <c r="D45" i="5"/>
  <c r="D44" i="5"/>
  <c r="D42" i="5"/>
  <c r="D41" i="5"/>
  <c r="D39" i="5"/>
  <c r="D38" i="5"/>
  <c r="D37" i="5"/>
  <c r="D36" i="5"/>
  <c r="D35" i="5"/>
  <c r="D34" i="5"/>
  <c r="D33" i="5"/>
  <c r="D32" i="5"/>
  <c r="D30" i="5"/>
  <c r="D29" i="5"/>
  <c r="D28" i="5"/>
  <c r="D27" i="5"/>
  <c r="D26" i="5"/>
  <c r="D25" i="5"/>
  <c r="D24" i="5"/>
  <c r="D21" i="5"/>
  <c r="D20" i="5"/>
  <c r="D19" i="5"/>
  <c r="D18" i="5"/>
  <c r="D17" i="5"/>
  <c r="D16" i="5"/>
  <c r="D15" i="5"/>
  <c r="D14" i="5"/>
  <c r="D12" i="5"/>
  <c r="D7" i="5"/>
  <c r="D6" i="5"/>
  <c r="D5" i="5"/>
  <c r="D4" i="5"/>
  <c r="C120" i="3"/>
  <c r="D120" i="3" s="1"/>
  <c r="C119" i="3"/>
  <c r="D119" i="3" s="1"/>
  <c r="C118" i="3"/>
  <c r="D118" i="3" s="1"/>
  <c r="C117" i="3"/>
  <c r="D117" i="3" s="1"/>
  <c r="C116" i="3"/>
  <c r="D116" i="3" s="1"/>
  <c r="B112" i="3"/>
  <c r="F114" i="5" s="1"/>
  <c r="D102" i="3"/>
  <c r="D101" i="3"/>
  <c r="C100" i="3"/>
  <c r="G102" i="5" s="1"/>
  <c r="B100" i="3"/>
  <c r="F102" i="5" s="1"/>
  <c r="D99" i="3"/>
  <c r="D98" i="3"/>
  <c r="C97" i="3"/>
  <c r="G99" i="5" s="1"/>
  <c r="B97" i="3"/>
  <c r="F99" i="5" s="1"/>
  <c r="D96" i="3"/>
  <c r="D95" i="3"/>
  <c r="C94" i="3"/>
  <c r="G96" i="5" s="1"/>
  <c r="B94" i="3"/>
  <c r="F96" i="5" s="1"/>
  <c r="D93" i="3"/>
  <c r="D92" i="3"/>
  <c r="C91" i="3"/>
  <c r="G93" i="5" s="1"/>
  <c r="B91" i="3"/>
  <c r="F93" i="5" s="1"/>
  <c r="D90" i="3"/>
  <c r="D89" i="3"/>
  <c r="D88" i="3"/>
  <c r="D87" i="3"/>
  <c r="D86" i="3"/>
  <c r="D85" i="3"/>
  <c r="D84" i="3"/>
  <c r="D83" i="3"/>
  <c r="C82" i="3"/>
  <c r="G84" i="5" s="1"/>
  <c r="B82" i="3"/>
  <c r="F84" i="5" s="1"/>
  <c r="D81" i="3"/>
  <c r="D80" i="3"/>
  <c r="D79" i="3"/>
  <c r="D78" i="3"/>
  <c r="D77" i="3"/>
  <c r="D76" i="3"/>
  <c r="D75" i="3"/>
  <c r="D74" i="3"/>
  <c r="C73" i="3"/>
  <c r="G75" i="5" s="1"/>
  <c r="B73" i="3"/>
  <c r="F75" i="5" s="1"/>
  <c r="D72" i="3"/>
  <c r="D71" i="3"/>
  <c r="D70" i="3"/>
  <c r="D69" i="3"/>
  <c r="D68" i="3"/>
  <c r="D67" i="3"/>
  <c r="D66" i="3"/>
  <c r="D65" i="3"/>
  <c r="C64" i="3"/>
  <c r="G66" i="5" s="1"/>
  <c r="B64" i="3"/>
  <c r="F66" i="5" s="1"/>
  <c r="D63" i="3"/>
  <c r="D62" i="3"/>
  <c r="D61" i="3"/>
  <c r="D60" i="3"/>
  <c r="D59" i="3"/>
  <c r="D58" i="3"/>
  <c r="D57" i="3"/>
  <c r="B55" i="3"/>
  <c r="F56" i="5" s="1"/>
  <c r="F50" i="3"/>
  <c r="E50" i="3"/>
  <c r="C50" i="3"/>
  <c r="D50" i="3" s="1"/>
  <c r="F49" i="3"/>
  <c r="E49" i="3"/>
  <c r="C49" i="3"/>
  <c r="D49" i="3" s="1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B48" i="3"/>
  <c r="B129" i="3" s="1"/>
  <c r="F131" i="5" s="1"/>
  <c r="F47" i="3"/>
  <c r="E47" i="3"/>
  <c r="C47" i="3"/>
  <c r="D47" i="3" s="1"/>
  <c r="F46" i="3"/>
  <c r="E46" i="3"/>
  <c r="C46" i="3"/>
  <c r="D46" i="3" s="1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B45" i="3"/>
  <c r="B128" i="3" s="1"/>
  <c r="F130" i="5" s="1"/>
  <c r="F44" i="3"/>
  <c r="E44" i="3"/>
  <c r="C44" i="3"/>
  <c r="D44" i="3" s="1"/>
  <c r="F43" i="3"/>
  <c r="E43" i="3"/>
  <c r="G44" i="5"/>
  <c r="B42" i="3"/>
  <c r="F43" i="5" s="1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F41" i="3"/>
  <c r="E41" i="3"/>
  <c r="C41" i="3"/>
  <c r="D41" i="3" s="1"/>
  <c r="F40" i="3"/>
  <c r="E40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F38" i="3"/>
  <c r="E38" i="3"/>
  <c r="C38" i="3"/>
  <c r="D38" i="3" s="1"/>
  <c r="F37" i="3"/>
  <c r="E37" i="3"/>
  <c r="C37" i="3"/>
  <c r="D37" i="3" s="1"/>
  <c r="F36" i="3"/>
  <c r="E36" i="3"/>
  <c r="C36" i="3"/>
  <c r="D36" i="3" s="1"/>
  <c r="F35" i="3"/>
  <c r="E35" i="3"/>
  <c r="C35" i="3"/>
  <c r="D35" i="3" s="1"/>
  <c r="F34" i="3"/>
  <c r="E34" i="3"/>
  <c r="C34" i="3"/>
  <c r="D34" i="3" s="1"/>
  <c r="F33" i="3"/>
  <c r="E33" i="3"/>
  <c r="C33" i="3"/>
  <c r="D33" i="3" s="1"/>
  <c r="F32" i="3"/>
  <c r="E32" i="3"/>
  <c r="C32" i="3"/>
  <c r="D32" i="3" s="1"/>
  <c r="F31" i="3"/>
  <c r="E31" i="3"/>
  <c r="C31" i="3"/>
  <c r="G32" i="5" s="1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B30" i="3"/>
  <c r="F31" i="5" s="1"/>
  <c r="F29" i="3"/>
  <c r="E29" i="3"/>
  <c r="C29" i="3"/>
  <c r="D29" i="3" s="1"/>
  <c r="F28" i="3"/>
  <c r="E28" i="3"/>
  <c r="C28" i="3"/>
  <c r="D28" i="3" s="1"/>
  <c r="F27" i="3"/>
  <c r="E27" i="3"/>
  <c r="C27" i="3"/>
  <c r="D27" i="3" s="1"/>
  <c r="F26" i="3"/>
  <c r="E26" i="3"/>
  <c r="C26" i="3"/>
  <c r="D26" i="3" s="1"/>
  <c r="F25" i="3"/>
  <c r="E25" i="3"/>
  <c r="C25" i="3"/>
  <c r="D25" i="3" s="1"/>
  <c r="F24" i="3"/>
  <c r="E24" i="3"/>
  <c r="C24" i="3"/>
  <c r="D24" i="3" s="1"/>
  <c r="F23" i="3"/>
  <c r="E23" i="3"/>
  <c r="C23" i="3"/>
  <c r="G24" i="5" s="1"/>
  <c r="F22" i="3"/>
  <c r="E22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F20" i="3"/>
  <c r="E20" i="3"/>
  <c r="C20" i="3"/>
  <c r="D20" i="3" s="1"/>
  <c r="F19" i="3"/>
  <c r="E19" i="3"/>
  <c r="C19" i="3"/>
  <c r="D19" i="3" s="1"/>
  <c r="F18" i="3"/>
  <c r="E18" i="3"/>
  <c r="C18" i="3"/>
  <c r="D18" i="3" s="1"/>
  <c r="F17" i="3"/>
  <c r="E17" i="3"/>
  <c r="C17" i="3"/>
  <c r="D17" i="3" s="1"/>
  <c r="F16" i="3"/>
  <c r="E16" i="3"/>
  <c r="C16" i="3"/>
  <c r="D16" i="3" s="1"/>
  <c r="F15" i="3"/>
  <c r="E15" i="3"/>
  <c r="C15" i="3"/>
  <c r="D15" i="3" s="1"/>
  <c r="F14" i="3"/>
  <c r="E14" i="3"/>
  <c r="C14" i="3"/>
  <c r="D14" i="3" s="1"/>
  <c r="F13" i="3"/>
  <c r="E13" i="3"/>
  <c r="D13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B12" i="3"/>
  <c r="B105" i="3" s="1"/>
  <c r="F107" i="5" s="1"/>
  <c r="F11" i="3"/>
  <c r="E11" i="3"/>
  <c r="C11" i="3"/>
  <c r="D11" i="3" s="1"/>
  <c r="F10" i="3"/>
  <c r="E10" i="3"/>
  <c r="C10" i="3"/>
  <c r="D10" i="3" s="1"/>
  <c r="F9" i="3"/>
  <c r="E9" i="3"/>
  <c r="B9" i="3"/>
  <c r="F9" i="5" s="1"/>
  <c r="F8" i="3"/>
  <c r="E8" i="3"/>
  <c r="B8" i="3"/>
  <c r="F8" i="5" s="1"/>
  <c r="F7" i="3"/>
  <c r="E7" i="3"/>
  <c r="C7" i="3"/>
  <c r="D7" i="3" s="1"/>
  <c r="F6" i="3"/>
  <c r="E6" i="3"/>
  <c r="D6" i="3"/>
  <c r="F5" i="3"/>
  <c r="E5" i="3"/>
  <c r="D5" i="3"/>
  <c r="F4" i="3"/>
  <c r="E4" i="3"/>
  <c r="D4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C120" i="2"/>
  <c r="E122" i="5" s="1"/>
  <c r="C119" i="2"/>
  <c r="E121" i="5" s="1"/>
  <c r="C118" i="2"/>
  <c r="E120" i="5" s="1"/>
  <c r="C117" i="2"/>
  <c r="E119" i="5" s="1"/>
  <c r="C116" i="2"/>
  <c r="E118" i="5" s="1"/>
  <c r="C115" i="2"/>
  <c r="E117" i="5" s="1"/>
  <c r="C114" i="2"/>
  <c r="E116" i="5" s="1"/>
  <c r="C113" i="2"/>
  <c r="E115" i="5" s="1"/>
  <c r="C95" i="2"/>
  <c r="E97" i="5" s="1"/>
  <c r="C92" i="2"/>
  <c r="E94" i="5" s="1"/>
  <c r="C65" i="2"/>
  <c r="E67" i="5" s="1"/>
  <c r="C62" i="2"/>
  <c r="E64" i="5" s="1"/>
  <c r="C61" i="2"/>
  <c r="E62" i="5" s="1"/>
  <c r="C60" i="2"/>
  <c r="E61" i="5" s="1"/>
  <c r="C58" i="2"/>
  <c r="E59" i="5" s="1"/>
  <c r="C57" i="2"/>
  <c r="E58" i="5" s="1"/>
  <c r="C56" i="2"/>
  <c r="E57" i="5" s="1"/>
  <c r="C50" i="1"/>
  <c r="C49" i="1"/>
  <c r="C47" i="1"/>
  <c r="C46" i="1"/>
  <c r="C44" i="1"/>
  <c r="C43" i="1"/>
  <c r="C50" i="2"/>
  <c r="E51" i="5" s="1"/>
  <c r="C49" i="2"/>
  <c r="E50" i="5" s="1"/>
  <c r="C47" i="2"/>
  <c r="E48" i="5" s="1"/>
  <c r="C46" i="2"/>
  <c r="E47" i="5" s="1"/>
  <c r="C44" i="2"/>
  <c r="E45" i="5" s="1"/>
  <c r="C43" i="2"/>
  <c r="E44" i="5" s="1"/>
  <c r="C79" i="5" l="1"/>
  <c r="F43" i="16"/>
  <c r="F40" i="16"/>
  <c r="F43" i="14"/>
  <c r="F46" i="14"/>
  <c r="D114" i="3"/>
  <c r="E40" i="17"/>
  <c r="F49" i="17"/>
  <c r="E40" i="16"/>
  <c r="F31" i="16"/>
  <c r="Q52" i="16"/>
  <c r="B13" i="14"/>
  <c r="T13" i="5" s="1"/>
  <c r="B40" i="14"/>
  <c r="T40" i="5" s="1"/>
  <c r="D27" i="17"/>
  <c r="AA14" i="5"/>
  <c r="E43" i="17"/>
  <c r="F43" i="17"/>
  <c r="D48" i="17"/>
  <c r="C114" i="17"/>
  <c r="AA114" i="5" s="1"/>
  <c r="D19" i="17"/>
  <c r="D28" i="16"/>
  <c r="E43" i="16"/>
  <c r="D48" i="16"/>
  <c r="E46" i="16"/>
  <c r="D24" i="16"/>
  <c r="D51" i="16"/>
  <c r="C114" i="15"/>
  <c r="W114" i="5" s="1"/>
  <c r="B13" i="15"/>
  <c r="B107" i="15" s="1"/>
  <c r="E46" i="15"/>
  <c r="L13" i="15"/>
  <c r="I13" i="15"/>
  <c r="I52" i="15" s="1"/>
  <c r="B40" i="15"/>
  <c r="B128" i="15" s="1"/>
  <c r="V128" i="5" s="1"/>
  <c r="F46" i="15"/>
  <c r="U52" i="15"/>
  <c r="E49" i="15"/>
  <c r="W21" i="5"/>
  <c r="F49" i="15"/>
  <c r="K13" i="15"/>
  <c r="K52" i="15" s="1"/>
  <c r="E43" i="15"/>
  <c r="W14" i="5"/>
  <c r="E13" i="15"/>
  <c r="V52" i="15"/>
  <c r="W17" i="5"/>
  <c r="V20" i="5"/>
  <c r="F43" i="15"/>
  <c r="C13" i="15"/>
  <c r="L52" i="15"/>
  <c r="H13" i="15"/>
  <c r="H52" i="15" s="1"/>
  <c r="F40" i="14"/>
  <c r="T84" i="5"/>
  <c r="T89" i="5"/>
  <c r="E46" i="13"/>
  <c r="E49" i="13"/>
  <c r="R13" i="5"/>
  <c r="F40" i="13"/>
  <c r="M52" i="13"/>
  <c r="E43" i="13"/>
  <c r="N52" i="13"/>
  <c r="F43" i="13"/>
  <c r="F3" i="13"/>
  <c r="E13" i="13"/>
  <c r="D118" i="13"/>
  <c r="D93" i="13"/>
  <c r="Q29" i="5"/>
  <c r="D29" i="12"/>
  <c r="I52" i="12"/>
  <c r="F43" i="12"/>
  <c r="B43" i="12"/>
  <c r="E46" i="12"/>
  <c r="F46" i="12"/>
  <c r="E49" i="12"/>
  <c r="T52" i="12"/>
  <c r="D119" i="12"/>
  <c r="D21" i="12"/>
  <c r="M52" i="12"/>
  <c r="D6" i="12"/>
  <c r="E13" i="12"/>
  <c r="D39" i="12"/>
  <c r="D50" i="12"/>
  <c r="S52" i="12"/>
  <c r="E31" i="12"/>
  <c r="B113" i="12"/>
  <c r="P113" i="5" s="1"/>
  <c r="B131" i="12"/>
  <c r="D14" i="12"/>
  <c r="Q5" i="5"/>
  <c r="D71" i="11"/>
  <c r="E40" i="11"/>
  <c r="C114" i="11"/>
  <c r="O114" i="5" s="1"/>
  <c r="S52" i="11"/>
  <c r="E31" i="11"/>
  <c r="C46" i="11"/>
  <c r="C112" i="11" s="1"/>
  <c r="O112" i="5" s="1"/>
  <c r="F40" i="11"/>
  <c r="N75" i="5"/>
  <c r="F22" i="10"/>
  <c r="C49" i="10"/>
  <c r="M49" i="5" s="1"/>
  <c r="E49" i="10"/>
  <c r="D5" i="11"/>
  <c r="O5" i="5"/>
  <c r="O19" i="5"/>
  <c r="D19" i="11"/>
  <c r="D21" i="11"/>
  <c r="O21" i="5"/>
  <c r="L52" i="11"/>
  <c r="V52" i="11"/>
  <c r="O32" i="5"/>
  <c r="D32" i="11"/>
  <c r="O52" i="11"/>
  <c r="N43" i="5"/>
  <c r="B129" i="11"/>
  <c r="N129" i="5" s="1"/>
  <c r="N49" i="5"/>
  <c r="B131" i="11"/>
  <c r="B113" i="11"/>
  <c r="N113" i="5" s="1"/>
  <c r="I52" i="11"/>
  <c r="J52" i="11"/>
  <c r="T52" i="11"/>
  <c r="E49" i="11"/>
  <c r="O119" i="5"/>
  <c r="D119" i="11"/>
  <c r="M7" i="5"/>
  <c r="D7" i="10"/>
  <c r="D8" i="10"/>
  <c r="M8" i="5"/>
  <c r="M20" i="5"/>
  <c r="D20" i="10"/>
  <c r="D25" i="10"/>
  <c r="D30" i="10"/>
  <c r="M30" i="5"/>
  <c r="D39" i="10"/>
  <c r="M39" i="5"/>
  <c r="E46" i="10"/>
  <c r="N52" i="10"/>
  <c r="O52" i="10"/>
  <c r="M51" i="5"/>
  <c r="D51" i="10"/>
  <c r="M99" i="5"/>
  <c r="D99" i="10"/>
  <c r="D102" i="10"/>
  <c r="M102" i="5"/>
  <c r="D55" i="9"/>
  <c r="F13" i="10"/>
  <c r="E13" i="10"/>
  <c r="F43" i="10"/>
  <c r="E43" i="10"/>
  <c r="M44" i="5"/>
  <c r="D44" i="10"/>
  <c r="C43" i="10"/>
  <c r="M43" i="5" s="1"/>
  <c r="U51" i="9"/>
  <c r="D115" i="3"/>
  <c r="C64" i="5"/>
  <c r="D10" i="9"/>
  <c r="E30" i="9"/>
  <c r="F42" i="9"/>
  <c r="K44" i="5"/>
  <c r="D43" i="9"/>
  <c r="C98" i="5"/>
  <c r="M52" i="14"/>
  <c r="C59" i="5"/>
  <c r="B112" i="14"/>
  <c r="T112" i="5" s="1"/>
  <c r="D41" i="14"/>
  <c r="B119" i="5"/>
  <c r="C76" i="5"/>
  <c r="E43" i="14"/>
  <c r="L52" i="14"/>
  <c r="V52" i="14"/>
  <c r="B4" i="5"/>
  <c r="B19" i="5"/>
  <c r="C80" i="5"/>
  <c r="H52" i="14"/>
  <c r="R52" i="14"/>
  <c r="E40" i="14"/>
  <c r="U52" i="14"/>
  <c r="C82" i="5"/>
  <c r="C104" i="5"/>
  <c r="J109" i="5"/>
  <c r="D9" i="9"/>
  <c r="K9" i="5"/>
  <c r="S30" i="5"/>
  <c r="S50" i="5"/>
  <c r="U52" i="11"/>
  <c r="F13" i="12"/>
  <c r="R96" i="5"/>
  <c r="U9" i="5"/>
  <c r="U93" i="5"/>
  <c r="B106" i="15"/>
  <c r="V106" i="5" s="1"/>
  <c r="V3" i="5"/>
  <c r="W8" i="5"/>
  <c r="D28" i="15"/>
  <c r="W28" i="5"/>
  <c r="D33" i="15"/>
  <c r="W33" i="5"/>
  <c r="B130" i="15"/>
  <c r="V130" i="5" s="1"/>
  <c r="V46" i="5"/>
  <c r="Y102" i="5"/>
  <c r="D121" i="16"/>
  <c r="Y121" i="5"/>
  <c r="B13" i="17"/>
  <c r="Z13" i="5" s="1"/>
  <c r="Z18" i="5"/>
  <c r="D30" i="17"/>
  <c r="AA30" i="5"/>
  <c r="D42" i="17"/>
  <c r="M50" i="5"/>
  <c r="C42" i="9"/>
  <c r="K43" i="5" s="1"/>
  <c r="K45" i="5"/>
  <c r="K51" i="9"/>
  <c r="D26" i="10"/>
  <c r="M26" i="5"/>
  <c r="D20" i="11"/>
  <c r="O20" i="5"/>
  <c r="D25" i="11"/>
  <c r="N25" i="5"/>
  <c r="B25" i="5" s="1"/>
  <c r="B130" i="11"/>
  <c r="N130" i="5" s="1"/>
  <c r="N46" i="5"/>
  <c r="D120" i="11"/>
  <c r="O120" i="5"/>
  <c r="D10" i="12"/>
  <c r="U6" i="5"/>
  <c r="D35" i="9"/>
  <c r="K36" i="5"/>
  <c r="V51" i="9"/>
  <c r="B22" i="10"/>
  <c r="L22" i="5" s="1"/>
  <c r="L24" i="5"/>
  <c r="D48" i="10"/>
  <c r="M48" i="5"/>
  <c r="D28" i="11"/>
  <c r="O28" i="5"/>
  <c r="D35" i="11"/>
  <c r="O35" i="5"/>
  <c r="D121" i="11"/>
  <c r="O121" i="5"/>
  <c r="U52" i="12"/>
  <c r="D7" i="9"/>
  <c r="K7" i="5"/>
  <c r="D14" i="9"/>
  <c r="K15" i="5"/>
  <c r="M51" i="9"/>
  <c r="D49" i="9"/>
  <c r="K50" i="5"/>
  <c r="D83" i="9"/>
  <c r="D91" i="9"/>
  <c r="F3" i="10"/>
  <c r="D10" i="10"/>
  <c r="D24" i="10"/>
  <c r="B130" i="10"/>
  <c r="L130" i="5" s="1"/>
  <c r="L46" i="5"/>
  <c r="D119" i="10"/>
  <c r="C13" i="11"/>
  <c r="O13" i="5" s="1"/>
  <c r="O15" i="5"/>
  <c r="D23" i="11"/>
  <c r="N23" i="5"/>
  <c r="E22" i="11"/>
  <c r="D38" i="11"/>
  <c r="D66" i="11"/>
  <c r="N66" i="5"/>
  <c r="D122" i="11"/>
  <c r="O122" i="5"/>
  <c r="D4" i="12"/>
  <c r="Q4" i="5"/>
  <c r="D7" i="12"/>
  <c r="Q7" i="5"/>
  <c r="C22" i="12"/>
  <c r="Q22" i="5" s="1"/>
  <c r="Q24" i="5"/>
  <c r="D34" i="12"/>
  <c r="B40" i="12"/>
  <c r="P40" i="5" s="1"/>
  <c r="N52" i="12"/>
  <c r="D41" i="12"/>
  <c r="Q41" i="5"/>
  <c r="D66" i="12"/>
  <c r="P66" i="5"/>
  <c r="D122" i="12"/>
  <c r="Q122" i="5"/>
  <c r="S39" i="5"/>
  <c r="B130" i="13"/>
  <c r="R130" i="5" s="1"/>
  <c r="R46" i="5"/>
  <c r="O52" i="13"/>
  <c r="B75" i="13"/>
  <c r="R80" i="5"/>
  <c r="D119" i="13"/>
  <c r="F13" i="14"/>
  <c r="C55" i="14"/>
  <c r="U55" i="5" s="1"/>
  <c r="D119" i="14"/>
  <c r="E31" i="15"/>
  <c r="W51" i="5"/>
  <c r="D51" i="15"/>
  <c r="B3" i="16"/>
  <c r="B124" i="16" s="1"/>
  <c r="Y8" i="5"/>
  <c r="D14" i="16"/>
  <c r="E22" i="16"/>
  <c r="D34" i="16"/>
  <c r="Y34" i="5"/>
  <c r="D15" i="17"/>
  <c r="AA15" i="5"/>
  <c r="D18" i="17"/>
  <c r="AA18" i="5"/>
  <c r="D25" i="17"/>
  <c r="F31" i="17"/>
  <c r="D35" i="17"/>
  <c r="AA35" i="5"/>
  <c r="D38" i="17"/>
  <c r="Z38" i="5"/>
  <c r="K56" i="5"/>
  <c r="D32" i="17"/>
  <c r="AA32" i="5"/>
  <c r="D44" i="17"/>
  <c r="AA44" i="5"/>
  <c r="C30" i="9"/>
  <c r="K31" i="5" s="1"/>
  <c r="K33" i="5"/>
  <c r="D37" i="12"/>
  <c r="Q37" i="5"/>
  <c r="S25" i="5"/>
  <c r="S48" i="5"/>
  <c r="B47" i="5"/>
  <c r="D43" i="6"/>
  <c r="D42" i="6" s="1"/>
  <c r="D4" i="9"/>
  <c r="D17" i="9"/>
  <c r="D12" i="9" s="1"/>
  <c r="D20" i="9"/>
  <c r="D22" i="9"/>
  <c r="K23" i="5"/>
  <c r="D25" i="9"/>
  <c r="N51" i="9"/>
  <c r="D40" i="9"/>
  <c r="D39" i="9" s="1"/>
  <c r="K41" i="5"/>
  <c r="B128" i="9"/>
  <c r="J130" i="5" s="1"/>
  <c r="J46" i="5"/>
  <c r="D47" i="9"/>
  <c r="K48" i="5"/>
  <c r="E48" i="9"/>
  <c r="D116" i="9"/>
  <c r="K118" i="5"/>
  <c r="D24" i="9"/>
  <c r="D5" i="10"/>
  <c r="M5" i="5"/>
  <c r="B3" i="10"/>
  <c r="B106" i="10" s="1"/>
  <c r="L106" i="5" s="1"/>
  <c r="L8" i="5"/>
  <c r="M52" i="10"/>
  <c r="B13" i="10"/>
  <c r="L13" i="5" s="1"/>
  <c r="L14" i="5"/>
  <c r="D27" i="10"/>
  <c r="M27" i="5"/>
  <c r="D41" i="10"/>
  <c r="M41" i="5"/>
  <c r="D120" i="10"/>
  <c r="M120" i="5"/>
  <c r="D9" i="11"/>
  <c r="O9" i="5"/>
  <c r="E13" i="11"/>
  <c r="D18" i="11"/>
  <c r="O18" i="5"/>
  <c r="C31" i="11"/>
  <c r="O31" i="5" s="1"/>
  <c r="O33" i="5"/>
  <c r="F31" i="11"/>
  <c r="D48" i="11"/>
  <c r="D50" i="11"/>
  <c r="O50" i="5"/>
  <c r="D56" i="11"/>
  <c r="C55" i="11"/>
  <c r="O55" i="5" s="1"/>
  <c r="O75" i="5"/>
  <c r="D84" i="11"/>
  <c r="O84" i="5"/>
  <c r="D99" i="11"/>
  <c r="E3" i="12"/>
  <c r="D19" i="12"/>
  <c r="D30" i="12"/>
  <c r="Q30" i="5"/>
  <c r="C40" i="12"/>
  <c r="C110" i="12" s="1"/>
  <c r="Q110" i="5" s="1"/>
  <c r="B130" i="12"/>
  <c r="P130" i="5" s="1"/>
  <c r="P46" i="5"/>
  <c r="D48" i="12"/>
  <c r="D56" i="12"/>
  <c r="Q56" i="5"/>
  <c r="C55" i="12"/>
  <c r="Q55" i="5" s="1"/>
  <c r="Q75" i="5"/>
  <c r="D84" i="12"/>
  <c r="Q84" i="5"/>
  <c r="S18" i="5"/>
  <c r="B127" i="13"/>
  <c r="R127" i="5" s="1"/>
  <c r="R31" i="5"/>
  <c r="S31" i="5"/>
  <c r="S33" i="5"/>
  <c r="F46" i="13"/>
  <c r="S51" i="5"/>
  <c r="R71" i="5"/>
  <c r="B109" i="13"/>
  <c r="D120" i="13"/>
  <c r="S120" i="5"/>
  <c r="D45" i="14"/>
  <c r="U45" i="5"/>
  <c r="D47" i="14"/>
  <c r="U47" i="5"/>
  <c r="K52" i="14"/>
  <c r="U102" i="5"/>
  <c r="V26" i="5"/>
  <c r="B26" i="5" s="1"/>
  <c r="D36" i="15"/>
  <c r="W36" i="5"/>
  <c r="D39" i="15"/>
  <c r="W39" i="5"/>
  <c r="D41" i="15"/>
  <c r="D40" i="15" s="1"/>
  <c r="W41" i="5"/>
  <c r="D20" i="16"/>
  <c r="Y20" i="5"/>
  <c r="Y27" i="5"/>
  <c r="D27" i="16"/>
  <c r="X75" i="5"/>
  <c r="X80" i="5"/>
  <c r="Y96" i="5"/>
  <c r="E13" i="17"/>
  <c r="D21" i="17"/>
  <c r="AA21" i="5"/>
  <c r="O52" i="17"/>
  <c r="D23" i="17"/>
  <c r="D121" i="17"/>
  <c r="AA121" i="5"/>
  <c r="K34" i="5"/>
  <c r="M24" i="5"/>
  <c r="W42" i="5"/>
  <c r="D118" i="14"/>
  <c r="U118" i="5"/>
  <c r="C114" i="14"/>
  <c r="U114" i="5" s="1"/>
  <c r="L51" i="9"/>
  <c r="D56" i="10"/>
  <c r="K52" i="11"/>
  <c r="K52" i="12"/>
  <c r="D121" i="12"/>
  <c r="Q121" i="5"/>
  <c r="F13" i="13"/>
  <c r="E22" i="14"/>
  <c r="D40" i="3"/>
  <c r="D39" i="3" s="1"/>
  <c r="E3" i="9"/>
  <c r="O51" i="9"/>
  <c r="D33" i="10"/>
  <c r="M33" i="5"/>
  <c r="D36" i="10"/>
  <c r="M36" i="5"/>
  <c r="D121" i="10"/>
  <c r="M121" i="5"/>
  <c r="D4" i="11"/>
  <c r="O4" i="5"/>
  <c r="D7" i="11"/>
  <c r="O7" i="5"/>
  <c r="F13" i="11"/>
  <c r="D44" i="11"/>
  <c r="O44" i="5"/>
  <c r="D93" i="11"/>
  <c r="F3" i="12"/>
  <c r="D11" i="12"/>
  <c r="F22" i="12"/>
  <c r="D32" i="12"/>
  <c r="Q32" i="5"/>
  <c r="P52" i="12"/>
  <c r="D93" i="12"/>
  <c r="D99" i="12"/>
  <c r="S21" i="5"/>
  <c r="E22" i="13"/>
  <c r="E46" i="14"/>
  <c r="D121" i="14"/>
  <c r="U121" i="5"/>
  <c r="P52" i="15"/>
  <c r="D44" i="15"/>
  <c r="V44" i="5"/>
  <c r="B43" i="15"/>
  <c r="B111" i="15" s="1"/>
  <c r="Y25" i="5"/>
  <c r="D25" i="16"/>
  <c r="X44" i="5"/>
  <c r="B43" i="16"/>
  <c r="B111" i="16" s="1"/>
  <c r="AA6" i="5"/>
  <c r="D122" i="17"/>
  <c r="AA122" i="5"/>
  <c r="O42" i="5"/>
  <c r="D17" i="11"/>
  <c r="O17" i="5"/>
  <c r="C128" i="11"/>
  <c r="O128" i="5" s="1"/>
  <c r="O40" i="5"/>
  <c r="N109" i="5"/>
  <c r="J52" i="12"/>
  <c r="S32" i="5"/>
  <c r="F23" i="5"/>
  <c r="D21" i="14"/>
  <c r="U21" i="5"/>
  <c r="B3" i="3"/>
  <c r="B122" i="3" s="1"/>
  <c r="F124" i="5" s="1"/>
  <c r="B51" i="5"/>
  <c r="B3" i="6"/>
  <c r="H3" i="5" s="1"/>
  <c r="B3" i="9"/>
  <c r="J3" i="5" s="1"/>
  <c r="F12" i="9"/>
  <c r="D36" i="9"/>
  <c r="C39" i="9"/>
  <c r="K40" i="5" s="1"/>
  <c r="P51" i="9"/>
  <c r="D100" i="9"/>
  <c r="D117" i="9"/>
  <c r="D12" i="10"/>
  <c r="F40" i="10"/>
  <c r="D96" i="10"/>
  <c r="M96" i="5"/>
  <c r="D122" i="10"/>
  <c r="M122" i="5"/>
  <c r="E3" i="11"/>
  <c r="D16" i="11"/>
  <c r="N16" i="5"/>
  <c r="B16" i="5" s="1"/>
  <c r="D26" i="11"/>
  <c r="O26" i="5"/>
  <c r="D29" i="11"/>
  <c r="C31" i="12"/>
  <c r="Q31" i="5" s="1"/>
  <c r="Q35" i="5"/>
  <c r="D38" i="12"/>
  <c r="D42" i="12"/>
  <c r="Q42" i="5"/>
  <c r="O52" i="12"/>
  <c r="P131" i="5"/>
  <c r="D52" i="13"/>
  <c r="S7" i="5"/>
  <c r="P52" i="13"/>
  <c r="S26" i="5"/>
  <c r="F31" i="13"/>
  <c r="B128" i="13"/>
  <c r="R128" i="5" s="1"/>
  <c r="S44" i="5"/>
  <c r="H52" i="13"/>
  <c r="R52" i="13"/>
  <c r="F49" i="13"/>
  <c r="D50" i="14"/>
  <c r="U50" i="5"/>
  <c r="D56" i="14"/>
  <c r="U56" i="5"/>
  <c r="D122" i="14"/>
  <c r="U122" i="5"/>
  <c r="D24" i="15"/>
  <c r="V24" i="5"/>
  <c r="W66" i="5"/>
  <c r="Y23" i="5"/>
  <c r="D23" i="16"/>
  <c r="D42" i="16"/>
  <c r="Y44" i="5"/>
  <c r="D44" i="16"/>
  <c r="AA9" i="5"/>
  <c r="M25" i="5"/>
  <c r="M35" i="5"/>
  <c r="C54" i="9"/>
  <c r="K55" i="5" s="1"/>
  <c r="K84" i="5"/>
  <c r="D38" i="10"/>
  <c r="M38" i="5"/>
  <c r="D97" i="9"/>
  <c r="D93" i="10"/>
  <c r="D6" i="11"/>
  <c r="B127" i="11"/>
  <c r="N127" i="5" s="1"/>
  <c r="N31" i="5"/>
  <c r="C78" i="5"/>
  <c r="B30" i="6"/>
  <c r="B125" i="6" s="1"/>
  <c r="H127" i="5" s="1"/>
  <c r="C3" i="9"/>
  <c r="K3" i="5" s="1"/>
  <c r="K5" i="5"/>
  <c r="D8" i="9"/>
  <c r="D15" i="9"/>
  <c r="B21" i="9"/>
  <c r="B124" i="9" s="1"/>
  <c r="D23" i="9"/>
  <c r="C21" i="9"/>
  <c r="K22" i="5" s="1"/>
  <c r="K27" i="5"/>
  <c r="D29" i="9"/>
  <c r="Q51" i="9"/>
  <c r="D41" i="9"/>
  <c r="K42" i="5"/>
  <c r="D50" i="9"/>
  <c r="D94" i="9"/>
  <c r="K96" i="5"/>
  <c r="D118" i="9"/>
  <c r="K120" i="5"/>
  <c r="D6" i="10"/>
  <c r="M6" i="5"/>
  <c r="D17" i="10"/>
  <c r="M17" i="5"/>
  <c r="D28" i="10"/>
  <c r="M28" i="5"/>
  <c r="F31" i="10"/>
  <c r="B40" i="10"/>
  <c r="Q52" i="10"/>
  <c r="B129" i="10"/>
  <c r="L129" i="5" s="1"/>
  <c r="F3" i="11"/>
  <c r="D10" i="11"/>
  <c r="D39" i="11"/>
  <c r="C43" i="11"/>
  <c r="C111" i="11" s="1"/>
  <c r="O111" i="5" s="1"/>
  <c r="P52" i="11"/>
  <c r="C49" i="11"/>
  <c r="O49" i="5" s="1"/>
  <c r="B3" i="12"/>
  <c r="D9" i="12"/>
  <c r="D17" i="12"/>
  <c r="Q17" i="5"/>
  <c r="D20" i="12"/>
  <c r="Q20" i="5"/>
  <c r="D25" i="12"/>
  <c r="D28" i="12"/>
  <c r="Q28" i="5"/>
  <c r="B31" i="12"/>
  <c r="B13" i="12"/>
  <c r="P13" i="5" s="1"/>
  <c r="P20" i="5"/>
  <c r="E3" i="13"/>
  <c r="S16" i="5"/>
  <c r="S19" i="5"/>
  <c r="Q52" i="13"/>
  <c r="R29" i="5"/>
  <c r="S34" i="5"/>
  <c r="S37" i="5"/>
  <c r="S40" i="5"/>
  <c r="S42" i="5"/>
  <c r="I52" i="13"/>
  <c r="S52" i="13"/>
  <c r="C114" i="13"/>
  <c r="S114" i="5" s="1"/>
  <c r="F3" i="14"/>
  <c r="B3" i="14"/>
  <c r="T3" i="5" s="1"/>
  <c r="T8" i="5"/>
  <c r="U17" i="5"/>
  <c r="U27" i="5"/>
  <c r="D30" i="14"/>
  <c r="U30" i="5"/>
  <c r="D36" i="14"/>
  <c r="U36" i="5"/>
  <c r="W16" i="5"/>
  <c r="D19" i="15"/>
  <c r="W19" i="5"/>
  <c r="E22" i="15"/>
  <c r="D37" i="15"/>
  <c r="W37" i="5"/>
  <c r="D56" i="15"/>
  <c r="W56" i="5"/>
  <c r="Y9" i="5"/>
  <c r="E13" i="16"/>
  <c r="D18" i="16"/>
  <c r="Y18" i="5"/>
  <c r="Y21" i="5"/>
  <c r="D21" i="16"/>
  <c r="I52" i="16"/>
  <c r="S52" i="16"/>
  <c r="B22" i="17"/>
  <c r="Z22" i="5" s="1"/>
  <c r="Z24" i="5"/>
  <c r="D26" i="17"/>
  <c r="AA26" i="5"/>
  <c r="Z71" i="5"/>
  <c r="Z66" i="5"/>
  <c r="Z80" i="5"/>
  <c r="J25" i="5"/>
  <c r="M4" i="5"/>
  <c r="M45" i="5"/>
  <c r="D26" i="12"/>
  <c r="D45" i="12"/>
  <c r="Q45" i="5"/>
  <c r="D120" i="12"/>
  <c r="Q120" i="5"/>
  <c r="D15" i="14"/>
  <c r="U15" i="5"/>
  <c r="U18" i="5"/>
  <c r="D23" i="14"/>
  <c r="U23" i="5"/>
  <c r="C40" i="14"/>
  <c r="U40" i="5" s="1"/>
  <c r="U42" i="5"/>
  <c r="D20" i="15"/>
  <c r="W20" i="5"/>
  <c r="V71" i="5"/>
  <c r="V66" i="5"/>
  <c r="C40" i="17"/>
  <c r="B21" i="3"/>
  <c r="B124" i="3" s="1"/>
  <c r="F126" i="5" s="1"/>
  <c r="B39" i="3"/>
  <c r="F40" i="5" s="1"/>
  <c r="B42" i="6"/>
  <c r="B127" i="6" s="1"/>
  <c r="H129" i="5" s="1"/>
  <c r="E21" i="9"/>
  <c r="E39" i="9"/>
  <c r="H51" i="9"/>
  <c r="R51" i="9"/>
  <c r="D119" i="9"/>
  <c r="K121" i="5"/>
  <c r="C31" i="10"/>
  <c r="D37" i="10"/>
  <c r="M37" i="5"/>
  <c r="E40" i="10"/>
  <c r="B31" i="10"/>
  <c r="L31" i="5" s="1"/>
  <c r="L32" i="5"/>
  <c r="D14" i="11"/>
  <c r="N14" i="5"/>
  <c r="D24" i="11"/>
  <c r="O24" i="5"/>
  <c r="D45" i="11"/>
  <c r="O45" i="5"/>
  <c r="Q52" i="11"/>
  <c r="D102" i="11"/>
  <c r="O102" i="5"/>
  <c r="D118" i="11"/>
  <c r="O118" i="5"/>
  <c r="D12" i="12"/>
  <c r="L52" i="12"/>
  <c r="V52" i="12"/>
  <c r="E22" i="12"/>
  <c r="F31" i="12"/>
  <c r="D44" i="12"/>
  <c r="D43" i="12" s="1"/>
  <c r="Q44" i="5"/>
  <c r="Q52" i="12"/>
  <c r="C49" i="12"/>
  <c r="Q49" i="5" s="1"/>
  <c r="Q51" i="5"/>
  <c r="D118" i="12"/>
  <c r="Q118" i="5"/>
  <c r="B22" i="12"/>
  <c r="P22" i="5" s="1"/>
  <c r="P23" i="5"/>
  <c r="S22" i="5"/>
  <c r="S24" i="5"/>
  <c r="F22" i="13"/>
  <c r="K52" i="13"/>
  <c r="U52" i="13"/>
  <c r="E31" i="13"/>
  <c r="J52" i="13"/>
  <c r="T52" i="13"/>
  <c r="C55" i="13"/>
  <c r="S55" i="5" s="1"/>
  <c r="U5" i="5"/>
  <c r="U8" i="5"/>
  <c r="C13" i="14"/>
  <c r="U13" i="5" s="1"/>
  <c r="U14" i="5"/>
  <c r="D33" i="14"/>
  <c r="U33" i="5"/>
  <c r="O52" i="14"/>
  <c r="C3" i="15"/>
  <c r="W3" i="5" s="1"/>
  <c r="W4" i="5"/>
  <c r="W7" i="5"/>
  <c r="W119" i="5"/>
  <c r="D119" i="15"/>
  <c r="B31" i="16"/>
  <c r="X31" i="5" s="1"/>
  <c r="X33" i="5"/>
  <c r="D47" i="16"/>
  <c r="Y47" i="5"/>
  <c r="J52" i="16"/>
  <c r="T52" i="16"/>
  <c r="X56" i="5"/>
  <c r="X84" i="5"/>
  <c r="Y118" i="5"/>
  <c r="C114" i="16"/>
  <c r="Y114" i="5" s="1"/>
  <c r="S23" i="5"/>
  <c r="D46" i="9"/>
  <c r="D45" i="9" s="1"/>
  <c r="K47" i="5"/>
  <c r="D34" i="14"/>
  <c r="U34" i="5"/>
  <c r="B12" i="9"/>
  <c r="B105" i="9" s="1"/>
  <c r="E3" i="10"/>
  <c r="D9" i="3"/>
  <c r="D11" i="9"/>
  <c r="F21" i="9"/>
  <c r="D31" i="9"/>
  <c r="D34" i="9"/>
  <c r="D37" i="9"/>
  <c r="K38" i="5"/>
  <c r="I51" i="9"/>
  <c r="S51" i="9"/>
  <c r="D15" i="10"/>
  <c r="D23" i="10"/>
  <c r="M23" i="5"/>
  <c r="D47" i="10"/>
  <c r="D46" i="10" s="1"/>
  <c r="M47" i="5"/>
  <c r="D27" i="11"/>
  <c r="O27" i="5"/>
  <c r="D30" i="11"/>
  <c r="O30" i="5"/>
  <c r="D34" i="11"/>
  <c r="D37" i="11"/>
  <c r="M52" i="11"/>
  <c r="H52" i="11"/>
  <c r="R52" i="11"/>
  <c r="D80" i="11"/>
  <c r="D96" i="11"/>
  <c r="O96" i="5"/>
  <c r="D33" i="12"/>
  <c r="D36" i="12"/>
  <c r="Q36" i="5"/>
  <c r="B129" i="12"/>
  <c r="P129" i="5" s="1"/>
  <c r="P43" i="5"/>
  <c r="H52" i="12"/>
  <c r="R52" i="12"/>
  <c r="D71" i="12"/>
  <c r="D102" i="12"/>
  <c r="Q102" i="5"/>
  <c r="D24" i="12"/>
  <c r="P24" i="5"/>
  <c r="B66" i="10"/>
  <c r="L66" i="5" s="1"/>
  <c r="L71" i="5"/>
  <c r="S5" i="5"/>
  <c r="S47" i="5"/>
  <c r="C3" i="14"/>
  <c r="C124" i="14" s="1"/>
  <c r="U124" i="5" s="1"/>
  <c r="E13" i="14"/>
  <c r="D25" i="14"/>
  <c r="U25" i="5"/>
  <c r="E31" i="14"/>
  <c r="D51" i="14"/>
  <c r="U51" i="5"/>
  <c r="D33" i="16"/>
  <c r="Y33" i="5"/>
  <c r="D38" i="16"/>
  <c r="C3" i="17"/>
  <c r="AA3" i="5" s="1"/>
  <c r="AA4" i="5"/>
  <c r="D51" i="17"/>
  <c r="AA51" i="5"/>
  <c r="Z99" i="5"/>
  <c r="K14" i="5"/>
  <c r="K102" i="5"/>
  <c r="M29" i="5"/>
  <c r="M118" i="5"/>
  <c r="U84" i="5"/>
  <c r="W48" i="5"/>
  <c r="D48" i="15"/>
  <c r="D8" i="3"/>
  <c r="B6" i="5"/>
  <c r="D6" i="9"/>
  <c r="K6" i="5"/>
  <c r="D16" i="9"/>
  <c r="K17" i="5"/>
  <c r="D19" i="9"/>
  <c r="K20" i="5"/>
  <c r="J51" i="9"/>
  <c r="T51" i="9"/>
  <c r="D27" i="9"/>
  <c r="K28" i="5"/>
  <c r="B125" i="9"/>
  <c r="J127" i="5" s="1"/>
  <c r="J31" i="5"/>
  <c r="B127" i="9"/>
  <c r="J129" i="5" s="1"/>
  <c r="J43" i="5"/>
  <c r="D73" i="9"/>
  <c r="J75" i="5"/>
  <c r="B82" i="9"/>
  <c r="J84" i="5" s="1"/>
  <c r="D21" i="10"/>
  <c r="M21" i="5"/>
  <c r="E22" i="10"/>
  <c r="C55" i="10"/>
  <c r="M55" i="5" s="1"/>
  <c r="D75" i="10"/>
  <c r="L75" i="5"/>
  <c r="D8" i="11"/>
  <c r="F22" i="11"/>
  <c r="N52" i="11"/>
  <c r="D41" i="11"/>
  <c r="D40" i="11" s="1"/>
  <c r="O41" i="5"/>
  <c r="D47" i="11"/>
  <c r="C13" i="12"/>
  <c r="Q13" i="5" s="1"/>
  <c r="Q15" i="5"/>
  <c r="D18" i="12"/>
  <c r="Q18" i="5"/>
  <c r="D23" i="12"/>
  <c r="C43" i="12"/>
  <c r="C111" i="12" s="1"/>
  <c r="Q111" i="5" s="1"/>
  <c r="D47" i="12"/>
  <c r="Q47" i="5"/>
  <c r="D96" i="12"/>
  <c r="S13" i="5"/>
  <c r="S14" i="5"/>
  <c r="S17" i="5"/>
  <c r="S27" i="5"/>
  <c r="S35" i="5"/>
  <c r="S38" i="5"/>
  <c r="L52" i="13"/>
  <c r="V52" i="13"/>
  <c r="D56" i="13"/>
  <c r="S56" i="5"/>
  <c r="R102" i="5"/>
  <c r="D28" i="14"/>
  <c r="U28" i="5"/>
  <c r="Q52" i="14"/>
  <c r="F3" i="15"/>
  <c r="M52" i="15"/>
  <c r="D50" i="15"/>
  <c r="W50" i="5"/>
  <c r="V75" i="5"/>
  <c r="V80" i="5"/>
  <c r="D26" i="16"/>
  <c r="E31" i="16"/>
  <c r="Y119" i="5"/>
  <c r="D119" i="16"/>
  <c r="B128" i="17"/>
  <c r="Z128" i="5" s="1"/>
  <c r="Z40" i="5"/>
  <c r="Z44" i="5"/>
  <c r="B111" i="17"/>
  <c r="Z111" i="5" s="1"/>
  <c r="B131" i="17"/>
  <c r="Z131" i="5" s="1"/>
  <c r="Z49" i="5"/>
  <c r="K29" i="5"/>
  <c r="K39" i="5"/>
  <c r="M19" i="5"/>
  <c r="O36" i="5"/>
  <c r="S121" i="5"/>
  <c r="F31" i="14"/>
  <c r="D37" i="14"/>
  <c r="U37" i="5"/>
  <c r="P52" i="14"/>
  <c r="T130" i="5"/>
  <c r="D48" i="14"/>
  <c r="U48" i="5"/>
  <c r="E49" i="14"/>
  <c r="D120" i="14"/>
  <c r="U120" i="5"/>
  <c r="C22" i="15"/>
  <c r="W22" i="5" s="1"/>
  <c r="W24" i="5"/>
  <c r="N52" i="15"/>
  <c r="F13" i="16"/>
  <c r="L52" i="16"/>
  <c r="V52" i="16"/>
  <c r="F22" i="16"/>
  <c r="B22" i="16"/>
  <c r="X22" i="5" s="1"/>
  <c r="X29" i="5"/>
  <c r="D36" i="16"/>
  <c r="Y36" i="5"/>
  <c r="H52" i="16"/>
  <c r="R52" i="16"/>
  <c r="AA16" i="5"/>
  <c r="P52" i="17"/>
  <c r="E22" i="17"/>
  <c r="D28" i="17"/>
  <c r="AA28" i="5"/>
  <c r="Q52" i="17"/>
  <c r="B31" i="17"/>
  <c r="Z31" i="5" s="1"/>
  <c r="Z33" i="5"/>
  <c r="I52" i="17"/>
  <c r="D14" i="15"/>
  <c r="D17" i="15"/>
  <c r="D29" i="15"/>
  <c r="W29" i="5"/>
  <c r="D34" i="15"/>
  <c r="W34" i="5"/>
  <c r="V84" i="5"/>
  <c r="V89" i="5"/>
  <c r="D118" i="15"/>
  <c r="Y6" i="5"/>
  <c r="C13" i="16"/>
  <c r="Y13" i="5" s="1"/>
  <c r="Y15" i="5"/>
  <c r="B13" i="16"/>
  <c r="X13" i="5" s="1"/>
  <c r="X18" i="5"/>
  <c r="D29" i="16"/>
  <c r="Y29" i="5"/>
  <c r="D39" i="16"/>
  <c r="Y39" i="5"/>
  <c r="F49" i="16"/>
  <c r="D120" i="16"/>
  <c r="Y120" i="5"/>
  <c r="AA7" i="5"/>
  <c r="H52" i="17"/>
  <c r="R52" i="17"/>
  <c r="C31" i="17"/>
  <c r="AA31" i="5" s="1"/>
  <c r="AA33" i="5"/>
  <c r="F40" i="17"/>
  <c r="S52" i="17"/>
  <c r="E31" i="17"/>
  <c r="C43" i="17"/>
  <c r="AA43" i="5" s="1"/>
  <c r="AA45" i="5"/>
  <c r="D47" i="17"/>
  <c r="AA47" i="5"/>
  <c r="J52" i="17"/>
  <c r="T52" i="17"/>
  <c r="C55" i="17"/>
  <c r="AA55" i="5" s="1"/>
  <c r="AA56" i="5"/>
  <c r="AA66" i="5"/>
  <c r="U39" i="5"/>
  <c r="U7" i="5"/>
  <c r="U16" i="5"/>
  <c r="D19" i="14"/>
  <c r="U19" i="5"/>
  <c r="U26" i="5"/>
  <c r="D38" i="14"/>
  <c r="U38" i="5"/>
  <c r="F22" i="15"/>
  <c r="D32" i="15"/>
  <c r="W32" i="5"/>
  <c r="B131" i="15"/>
  <c r="V131" i="5" s="1"/>
  <c r="V49" i="5"/>
  <c r="O52" i="16"/>
  <c r="D37" i="16"/>
  <c r="Y37" i="5"/>
  <c r="C43" i="16"/>
  <c r="Y43" i="5" s="1"/>
  <c r="Y45" i="5"/>
  <c r="K52" i="16"/>
  <c r="U52" i="16"/>
  <c r="D56" i="16"/>
  <c r="Y56" i="5"/>
  <c r="Y75" i="5"/>
  <c r="Y84" i="5"/>
  <c r="D122" i="16"/>
  <c r="Y122" i="5"/>
  <c r="E3" i="17"/>
  <c r="D24" i="17"/>
  <c r="AA24" i="5"/>
  <c r="D36" i="17"/>
  <c r="AA36" i="5"/>
  <c r="L52" i="17"/>
  <c r="V52" i="17"/>
  <c r="E46" i="17"/>
  <c r="K52" i="17"/>
  <c r="U52" i="17"/>
  <c r="D118" i="17"/>
  <c r="AA118" i="5"/>
  <c r="S84" i="5"/>
  <c r="D122" i="13"/>
  <c r="S122" i="5"/>
  <c r="N52" i="14"/>
  <c r="B22" i="14"/>
  <c r="T22" i="5" s="1"/>
  <c r="T24" i="5"/>
  <c r="D29" i="14"/>
  <c r="U29" i="5"/>
  <c r="D35" i="14"/>
  <c r="U35" i="5"/>
  <c r="D44" i="14"/>
  <c r="U44" i="5"/>
  <c r="T80" i="5"/>
  <c r="B31" i="14"/>
  <c r="T31" i="5" s="1"/>
  <c r="T32" i="5"/>
  <c r="W6" i="5"/>
  <c r="D15" i="15"/>
  <c r="W15" i="5"/>
  <c r="V18" i="5"/>
  <c r="D27" i="15"/>
  <c r="D30" i="15"/>
  <c r="W30" i="5"/>
  <c r="S52" i="15"/>
  <c r="E40" i="15"/>
  <c r="R52" i="15"/>
  <c r="D120" i="15"/>
  <c r="W120" i="5"/>
  <c r="Y4" i="5"/>
  <c r="Y7" i="5"/>
  <c r="D16" i="16"/>
  <c r="Y16" i="5"/>
  <c r="D30" i="16"/>
  <c r="Y30" i="5"/>
  <c r="D32" i="16"/>
  <c r="Y32" i="5"/>
  <c r="B40" i="16"/>
  <c r="X40" i="5" s="1"/>
  <c r="D41" i="16"/>
  <c r="Y41" i="5"/>
  <c r="F46" i="16"/>
  <c r="F3" i="17"/>
  <c r="D29" i="17"/>
  <c r="AA29" i="5"/>
  <c r="D39" i="17"/>
  <c r="AA39" i="5"/>
  <c r="D41" i="17"/>
  <c r="Z41" i="5"/>
  <c r="E3" i="14"/>
  <c r="D24" i="14"/>
  <c r="U24" i="5"/>
  <c r="B43" i="14"/>
  <c r="I52" i="14"/>
  <c r="S52" i="14"/>
  <c r="T71" i="5"/>
  <c r="U99" i="5"/>
  <c r="B131" i="14"/>
  <c r="T131" i="5" s="1"/>
  <c r="W9" i="5"/>
  <c r="D18" i="15"/>
  <c r="W18" i="5"/>
  <c r="D25" i="15"/>
  <c r="F31" i="15"/>
  <c r="D35" i="15"/>
  <c r="W35" i="5"/>
  <c r="D38" i="15"/>
  <c r="V38" i="5"/>
  <c r="T52" i="15"/>
  <c r="F40" i="15"/>
  <c r="D121" i="15"/>
  <c r="W121" i="5"/>
  <c r="E3" i="16"/>
  <c r="D19" i="16"/>
  <c r="Y19" i="5"/>
  <c r="C40" i="16"/>
  <c r="C110" i="16" s="1"/>
  <c r="Y110" i="5" s="1"/>
  <c r="M52" i="16"/>
  <c r="D50" i="16"/>
  <c r="Y50" i="5"/>
  <c r="AA5" i="5"/>
  <c r="AA8" i="5"/>
  <c r="D34" i="17"/>
  <c r="AA34" i="5"/>
  <c r="B130" i="17"/>
  <c r="Z130" i="5" s="1"/>
  <c r="Z46" i="5"/>
  <c r="M52" i="17"/>
  <c r="D50" i="17"/>
  <c r="AA50" i="5"/>
  <c r="AA102" i="5"/>
  <c r="D119" i="17"/>
  <c r="T46" i="5"/>
  <c r="F22" i="14"/>
  <c r="J52" i="14"/>
  <c r="T52" i="14"/>
  <c r="B111" i="13"/>
  <c r="R44" i="5"/>
  <c r="O52" i="15"/>
  <c r="D23" i="15"/>
  <c r="Q52" i="15"/>
  <c r="B31" i="15"/>
  <c r="V31" i="5" s="1"/>
  <c r="V33" i="5"/>
  <c r="C43" i="15"/>
  <c r="W43" i="5" s="1"/>
  <c r="W45" i="5"/>
  <c r="D47" i="15"/>
  <c r="W47" i="5"/>
  <c r="D122" i="15"/>
  <c r="W122" i="5"/>
  <c r="F3" i="16"/>
  <c r="D35" i="16"/>
  <c r="Y35" i="5"/>
  <c r="P52" i="16"/>
  <c r="B130" i="16"/>
  <c r="X130" i="5" s="1"/>
  <c r="X46" i="5"/>
  <c r="N52" i="16"/>
  <c r="E49" i="16"/>
  <c r="B3" i="17"/>
  <c r="Z3" i="5" s="1"/>
  <c r="F13" i="17"/>
  <c r="D20" i="17"/>
  <c r="AA20" i="5"/>
  <c r="F22" i="17"/>
  <c r="D37" i="17"/>
  <c r="AA37" i="5"/>
  <c r="N52" i="17"/>
  <c r="E49" i="17"/>
  <c r="Z84" i="5"/>
  <c r="Z89" i="5"/>
  <c r="AA96" i="5"/>
  <c r="D120" i="17"/>
  <c r="AA120" i="5"/>
  <c r="E48" i="6"/>
  <c r="C68" i="5"/>
  <c r="C70" i="5"/>
  <c r="C72" i="5"/>
  <c r="C74" i="5"/>
  <c r="B97" i="5"/>
  <c r="B37" i="5"/>
  <c r="C65" i="5"/>
  <c r="B117" i="5"/>
  <c r="B121" i="5"/>
  <c r="C58" i="5"/>
  <c r="D64" i="6"/>
  <c r="F30" i="6"/>
  <c r="D36" i="6"/>
  <c r="F42" i="6"/>
  <c r="I30" i="5"/>
  <c r="H49" i="5"/>
  <c r="B15" i="5"/>
  <c r="C61" i="5"/>
  <c r="C94" i="5"/>
  <c r="B11" i="5"/>
  <c r="B45" i="5"/>
  <c r="F39" i="6"/>
  <c r="E45" i="6"/>
  <c r="D55" i="6"/>
  <c r="C54" i="6"/>
  <c r="I55" i="5" s="1"/>
  <c r="H46" i="5"/>
  <c r="I18" i="5"/>
  <c r="E21" i="6"/>
  <c r="E39" i="6"/>
  <c r="I51" i="6"/>
  <c r="F48" i="6"/>
  <c r="C57" i="5"/>
  <c r="B27" i="5"/>
  <c r="B36" i="5"/>
  <c r="D19" i="6"/>
  <c r="E42" i="6"/>
  <c r="F45" i="6"/>
  <c r="S51" i="6"/>
  <c r="D48" i="6"/>
  <c r="D94" i="6"/>
  <c r="H13" i="5"/>
  <c r="H131" i="5"/>
  <c r="U51" i="6"/>
  <c r="B68" i="5"/>
  <c r="B70" i="5"/>
  <c r="B72" i="5"/>
  <c r="B74" i="5"/>
  <c r="B86" i="5"/>
  <c r="B88" i="5"/>
  <c r="B90" i="5"/>
  <c r="B92" i="5"/>
  <c r="B100" i="5"/>
  <c r="F21" i="6"/>
  <c r="E30" i="6"/>
  <c r="O51" i="6"/>
  <c r="D39" i="6"/>
  <c r="J51" i="6"/>
  <c r="R51" i="6"/>
  <c r="B82" i="6"/>
  <c r="D82" i="6" s="1"/>
  <c r="D91" i="6"/>
  <c r="D100" i="6"/>
  <c r="B111" i="6"/>
  <c r="H113" i="5" s="1"/>
  <c r="D117" i="6"/>
  <c r="I16" i="5"/>
  <c r="I28" i="5"/>
  <c r="I66" i="5"/>
  <c r="I118" i="5"/>
  <c r="I120" i="5"/>
  <c r="I122" i="5"/>
  <c r="E12" i="6"/>
  <c r="Q51" i="6"/>
  <c r="I36" i="5"/>
  <c r="I42" i="5"/>
  <c r="E3" i="6"/>
  <c r="D9" i="6"/>
  <c r="D16" i="6"/>
  <c r="C30" i="6"/>
  <c r="I31" i="5" s="1"/>
  <c r="L51" i="6"/>
  <c r="D47" i="6"/>
  <c r="D45" i="6" s="1"/>
  <c r="K51" i="6"/>
  <c r="D97" i="6"/>
  <c r="I4" i="5"/>
  <c r="H23" i="5"/>
  <c r="H41" i="5"/>
  <c r="I50" i="5"/>
  <c r="H85" i="5"/>
  <c r="B85" i="5" s="1"/>
  <c r="F12" i="6"/>
  <c r="V51" i="6"/>
  <c r="I5" i="5"/>
  <c r="H96" i="5"/>
  <c r="B61" i="5"/>
  <c r="B76" i="5"/>
  <c r="B78" i="5"/>
  <c r="B82" i="5"/>
  <c r="B94" i="5"/>
  <c r="F3" i="6"/>
  <c r="D14" i="6"/>
  <c r="D22" i="6"/>
  <c r="N51" i="6"/>
  <c r="D38" i="6"/>
  <c r="M51" i="6"/>
  <c r="H51" i="6"/>
  <c r="P51" i="6"/>
  <c r="T51" i="6"/>
  <c r="C112" i="6"/>
  <c r="I114" i="5" s="1"/>
  <c r="D31" i="6"/>
  <c r="I38" i="5"/>
  <c r="I56" i="5"/>
  <c r="I75" i="5"/>
  <c r="I121" i="5"/>
  <c r="C67" i="5"/>
  <c r="C69" i="5"/>
  <c r="C71" i="5"/>
  <c r="C73" i="5"/>
  <c r="C85" i="5"/>
  <c r="C87" i="5"/>
  <c r="C89" i="5"/>
  <c r="C91" i="5"/>
  <c r="C101" i="5"/>
  <c r="D6" i="6"/>
  <c r="D8" i="6"/>
  <c r="D10" i="6"/>
  <c r="D25" i="6"/>
  <c r="D33" i="6"/>
  <c r="I7" i="5"/>
  <c r="I34" i="5"/>
  <c r="I44" i="5"/>
  <c r="C95" i="5"/>
  <c r="C21" i="6"/>
  <c r="I22" i="5" s="1"/>
  <c r="I19" i="5"/>
  <c r="I21" i="5"/>
  <c r="I25" i="5"/>
  <c r="I27" i="5"/>
  <c r="I29" i="5"/>
  <c r="I33" i="5"/>
  <c r="I35" i="5"/>
  <c r="I41" i="5"/>
  <c r="I45" i="5"/>
  <c r="I47" i="5"/>
  <c r="I51" i="5"/>
  <c r="I12" i="5"/>
  <c r="C62" i="5"/>
  <c r="C97" i="5"/>
  <c r="C60" i="5"/>
  <c r="B120" i="5"/>
  <c r="C42" i="6"/>
  <c r="C109" i="6" s="1"/>
  <c r="B7" i="5"/>
  <c r="B12" i="5"/>
  <c r="B17" i="5"/>
  <c r="B21" i="5"/>
  <c r="B65" i="5"/>
  <c r="B116" i="5"/>
  <c r="B98" i="5"/>
  <c r="B104" i="5"/>
  <c r="B118" i="5"/>
  <c r="E48" i="3"/>
  <c r="B59" i="5"/>
  <c r="B122" i="5"/>
  <c r="B35" i="5"/>
  <c r="B39" i="5"/>
  <c r="B64" i="5"/>
  <c r="B115" i="5"/>
  <c r="F46" i="5"/>
  <c r="G119" i="5"/>
  <c r="B57" i="5"/>
  <c r="C77" i="5"/>
  <c r="C81" i="5"/>
  <c r="C83" i="5"/>
  <c r="C86" i="5"/>
  <c r="C88" i="5"/>
  <c r="C90" i="5"/>
  <c r="C92" i="5"/>
  <c r="C100" i="5"/>
  <c r="C103" i="5"/>
  <c r="G121" i="5"/>
  <c r="F45" i="3"/>
  <c r="D48" i="3"/>
  <c r="B28" i="5"/>
  <c r="B42" i="5"/>
  <c r="B48" i="5"/>
  <c r="B58" i="5"/>
  <c r="B69" i="5"/>
  <c r="B73" i="5"/>
  <c r="B87" i="5"/>
  <c r="B91" i="5"/>
  <c r="B101" i="5"/>
  <c r="G5" i="5"/>
  <c r="G7" i="5"/>
  <c r="G9" i="5"/>
  <c r="G12" i="5"/>
  <c r="G14" i="5"/>
  <c r="G16" i="5"/>
  <c r="G18" i="5"/>
  <c r="G20" i="5"/>
  <c r="G26" i="5"/>
  <c r="G28" i="5"/>
  <c r="G30" i="5"/>
  <c r="G34" i="5"/>
  <c r="G36" i="5"/>
  <c r="G38" i="5"/>
  <c r="G42" i="5"/>
  <c r="G48" i="5"/>
  <c r="G50" i="5"/>
  <c r="B5" i="5"/>
  <c r="B34" i="5"/>
  <c r="B50" i="5"/>
  <c r="B62" i="5"/>
  <c r="B67" i="5"/>
  <c r="B95" i="5"/>
  <c r="F13" i="5"/>
  <c r="F49" i="5"/>
  <c r="G118" i="5"/>
  <c r="G120" i="5"/>
  <c r="G122" i="5"/>
  <c r="B30" i="5"/>
  <c r="B60" i="5"/>
  <c r="B77" i="5"/>
  <c r="B79" i="5"/>
  <c r="B81" i="5"/>
  <c r="B83" i="5"/>
  <c r="B103" i="5"/>
  <c r="G4" i="5"/>
  <c r="G6" i="5"/>
  <c r="G8" i="5"/>
  <c r="G15" i="5"/>
  <c r="G17" i="5"/>
  <c r="G19" i="5"/>
  <c r="G21" i="5"/>
  <c r="G23" i="5"/>
  <c r="G25" i="5"/>
  <c r="G27" i="5"/>
  <c r="G29" i="5"/>
  <c r="G33" i="5"/>
  <c r="G35" i="5"/>
  <c r="G37" i="5"/>
  <c r="G39" i="5"/>
  <c r="G41" i="5"/>
  <c r="G45" i="5"/>
  <c r="G47" i="5"/>
  <c r="G51" i="5"/>
  <c r="C116" i="5"/>
  <c r="C115" i="5"/>
  <c r="C117" i="5"/>
  <c r="B125" i="17"/>
  <c r="Z125" i="5" s="1"/>
  <c r="B107" i="17"/>
  <c r="C49" i="17"/>
  <c r="AA49" i="5" s="1"/>
  <c r="D116" i="17"/>
  <c r="B113" i="17"/>
  <c r="D33" i="17"/>
  <c r="C46" i="17"/>
  <c r="AA46" i="5" s="1"/>
  <c r="D56" i="17"/>
  <c r="C22" i="17"/>
  <c r="AA22" i="5" s="1"/>
  <c r="D45" i="17"/>
  <c r="D43" i="17" s="1"/>
  <c r="B112" i="17"/>
  <c r="D115" i="17"/>
  <c r="C13" i="17"/>
  <c r="AA13" i="5" s="1"/>
  <c r="B127" i="16"/>
  <c r="X127" i="5" s="1"/>
  <c r="B109" i="16"/>
  <c r="B107" i="16"/>
  <c r="X107" i="5" s="1"/>
  <c r="B125" i="16"/>
  <c r="X125" i="5" s="1"/>
  <c r="D3" i="16"/>
  <c r="C31" i="16"/>
  <c r="Y31" i="5" s="1"/>
  <c r="B131" i="16"/>
  <c r="X131" i="5" s="1"/>
  <c r="D15" i="16"/>
  <c r="C22" i="16"/>
  <c r="Y22" i="5" s="1"/>
  <c r="D45" i="16"/>
  <c r="C55" i="16"/>
  <c r="B112" i="16"/>
  <c r="D115" i="16"/>
  <c r="C3" i="16"/>
  <c r="Y3" i="5" s="1"/>
  <c r="C49" i="16"/>
  <c r="Y49" i="5" s="1"/>
  <c r="C46" i="16"/>
  <c r="Y46" i="5" s="1"/>
  <c r="B113" i="16"/>
  <c r="X113" i="5" s="1"/>
  <c r="C108" i="15"/>
  <c r="W108" i="5" s="1"/>
  <c r="D3" i="15"/>
  <c r="B113" i="15"/>
  <c r="V113" i="5" s="1"/>
  <c r="C31" i="15"/>
  <c r="W31" i="5" s="1"/>
  <c r="B22" i="15"/>
  <c r="V22" i="5" s="1"/>
  <c r="C49" i="15"/>
  <c r="W49" i="5" s="1"/>
  <c r="B124" i="15"/>
  <c r="V124" i="5" s="1"/>
  <c r="D45" i="15"/>
  <c r="C55" i="15"/>
  <c r="B112" i="15"/>
  <c r="D115" i="15"/>
  <c r="C46" i="15"/>
  <c r="W46" i="5" s="1"/>
  <c r="C40" i="15"/>
  <c r="W40" i="5" s="1"/>
  <c r="D32" i="14"/>
  <c r="C31" i="14"/>
  <c r="U31" i="5" s="1"/>
  <c r="D14" i="14"/>
  <c r="C46" i="14"/>
  <c r="U46" i="5" s="1"/>
  <c r="D115" i="14"/>
  <c r="D42" i="14"/>
  <c r="C49" i="14"/>
  <c r="U49" i="5" s="1"/>
  <c r="C22" i="14"/>
  <c r="U22" i="5" s="1"/>
  <c r="C43" i="14"/>
  <c r="U43" i="5" s="1"/>
  <c r="B113" i="14"/>
  <c r="T113" i="5" s="1"/>
  <c r="C110" i="13"/>
  <c r="S110" i="5" s="1"/>
  <c r="C128" i="13"/>
  <c r="C107" i="13"/>
  <c r="B125" i="13"/>
  <c r="R125" i="5" s="1"/>
  <c r="B131" i="13"/>
  <c r="R131" i="5" s="1"/>
  <c r="B112" i="13"/>
  <c r="R112" i="5" s="1"/>
  <c r="D115" i="13"/>
  <c r="S46" i="5"/>
  <c r="B107" i="13"/>
  <c r="R107" i="5" s="1"/>
  <c r="S49" i="5"/>
  <c r="B113" i="13"/>
  <c r="R113" i="5" s="1"/>
  <c r="B55" i="12"/>
  <c r="B108" i="11"/>
  <c r="N13" i="5"/>
  <c r="B55" i="11"/>
  <c r="N55" i="5" s="1"/>
  <c r="D27" i="12"/>
  <c r="B107" i="12"/>
  <c r="P107" i="5" s="1"/>
  <c r="D114" i="12"/>
  <c r="D35" i="12"/>
  <c r="D51" i="12"/>
  <c r="D75" i="12"/>
  <c r="C3" i="12"/>
  <c r="Q3" i="5" s="1"/>
  <c r="D15" i="12"/>
  <c r="B112" i="12"/>
  <c r="D115" i="12"/>
  <c r="C46" i="12"/>
  <c r="Q46" i="5" s="1"/>
  <c r="B111" i="12"/>
  <c r="B107" i="11"/>
  <c r="N107" i="5" s="1"/>
  <c r="C127" i="11"/>
  <c r="C113" i="11"/>
  <c r="C131" i="11"/>
  <c r="O131" i="5" s="1"/>
  <c r="D114" i="11"/>
  <c r="C125" i="11"/>
  <c r="O125" i="5" s="1"/>
  <c r="C107" i="11"/>
  <c r="O107" i="5" s="1"/>
  <c r="D51" i="11"/>
  <c r="D75" i="11"/>
  <c r="C3" i="11"/>
  <c r="O3" i="5" s="1"/>
  <c r="D15" i="11"/>
  <c r="C22" i="11"/>
  <c r="B112" i="11"/>
  <c r="D115" i="11"/>
  <c r="B128" i="11"/>
  <c r="B110" i="11"/>
  <c r="N110" i="5" s="1"/>
  <c r="C110" i="11"/>
  <c r="O110" i="5" s="1"/>
  <c r="B111" i="11"/>
  <c r="D84" i="10"/>
  <c r="B127" i="10"/>
  <c r="L127" i="5" s="1"/>
  <c r="D32" i="10"/>
  <c r="B107" i="10"/>
  <c r="L107" i="5" s="1"/>
  <c r="R52" i="10"/>
  <c r="I52" i="10"/>
  <c r="C129" i="10"/>
  <c r="M129" i="5" s="1"/>
  <c r="C111" i="10"/>
  <c r="M111" i="5" s="1"/>
  <c r="U52" i="10"/>
  <c r="D45" i="10"/>
  <c r="D43" i="10" s="1"/>
  <c r="L52" i="10"/>
  <c r="V52" i="10"/>
  <c r="C40" i="10"/>
  <c r="M40" i="5" s="1"/>
  <c r="D42" i="10"/>
  <c r="F46" i="10"/>
  <c r="C113" i="10"/>
  <c r="C131" i="10"/>
  <c r="M131" i="5" s="1"/>
  <c r="D116" i="10"/>
  <c r="D16" i="10"/>
  <c r="P52" i="10"/>
  <c r="H52" i="10"/>
  <c r="D14" i="10"/>
  <c r="S52" i="10"/>
  <c r="J52" i="10"/>
  <c r="T52" i="10"/>
  <c r="K52" i="10"/>
  <c r="D18" i="10"/>
  <c r="C13" i="10"/>
  <c r="M13" i="5" s="1"/>
  <c r="E31" i="10"/>
  <c r="C114" i="10"/>
  <c r="M114" i="5" s="1"/>
  <c r="D50" i="10"/>
  <c r="D49" i="10" s="1"/>
  <c r="C3" i="10"/>
  <c r="M3" i="5" s="1"/>
  <c r="C22" i="10"/>
  <c r="M22" i="5" s="1"/>
  <c r="B131" i="10"/>
  <c r="B112" i="10"/>
  <c r="D115" i="10"/>
  <c r="B113" i="10"/>
  <c r="L113" i="5" s="1"/>
  <c r="D34" i="10"/>
  <c r="C46" i="10"/>
  <c r="M46" i="5" s="1"/>
  <c r="B111" i="10"/>
  <c r="D64" i="9"/>
  <c r="D112" i="9"/>
  <c r="C104" i="9"/>
  <c r="K106" i="5" s="1"/>
  <c r="C122" i="9"/>
  <c r="F51" i="9"/>
  <c r="C124" i="9"/>
  <c r="K126" i="5" s="1"/>
  <c r="C106" i="9"/>
  <c r="K108" i="5" s="1"/>
  <c r="C107" i="9"/>
  <c r="C125" i="9"/>
  <c r="C127" i="9"/>
  <c r="K129" i="5" s="1"/>
  <c r="C109" i="9"/>
  <c r="K111" i="5" s="1"/>
  <c r="D5" i="9"/>
  <c r="C12" i="9"/>
  <c r="K13" i="5" s="1"/>
  <c r="D26" i="9"/>
  <c r="B129" i="9"/>
  <c r="D32" i="9"/>
  <c r="B110" i="9"/>
  <c r="D113" i="9"/>
  <c r="B126" i="9"/>
  <c r="J128" i="5" s="1"/>
  <c r="B111" i="9"/>
  <c r="J113" i="5" s="1"/>
  <c r="C48" i="9"/>
  <c r="K49" i="5" s="1"/>
  <c r="B108" i="9"/>
  <c r="C126" i="9"/>
  <c r="D44" i="9"/>
  <c r="D42" i="9" s="1"/>
  <c r="C108" i="9"/>
  <c r="K110" i="5" s="1"/>
  <c r="C45" i="9"/>
  <c r="K46" i="5" s="1"/>
  <c r="B109" i="9"/>
  <c r="B107" i="6"/>
  <c r="H109" i="5" s="1"/>
  <c r="B106" i="6"/>
  <c r="H108" i="5" s="1"/>
  <c r="B124" i="6"/>
  <c r="H126" i="5" s="1"/>
  <c r="D13" i="6"/>
  <c r="D73" i="6"/>
  <c r="C3" i="6"/>
  <c r="I3" i="5" s="1"/>
  <c r="D23" i="6"/>
  <c r="C39" i="6"/>
  <c r="I40" i="5" s="1"/>
  <c r="B110" i="6"/>
  <c r="H112" i="5" s="1"/>
  <c r="D113" i="6"/>
  <c r="B126" i="6"/>
  <c r="C12" i="6"/>
  <c r="I13" i="5" s="1"/>
  <c r="B108" i="6"/>
  <c r="H110" i="5" s="1"/>
  <c r="C48" i="6"/>
  <c r="I49" i="5" s="1"/>
  <c r="B105" i="6"/>
  <c r="C45" i="6"/>
  <c r="I46" i="5" s="1"/>
  <c r="E42" i="3"/>
  <c r="L51" i="3"/>
  <c r="C45" i="3"/>
  <c r="F48" i="3"/>
  <c r="B110" i="3"/>
  <c r="F112" i="5" s="1"/>
  <c r="V51" i="3"/>
  <c r="E39" i="3"/>
  <c r="C42" i="3"/>
  <c r="D82" i="3"/>
  <c r="D100" i="3"/>
  <c r="F42" i="3"/>
  <c r="D45" i="3"/>
  <c r="B111" i="3"/>
  <c r="D73" i="3"/>
  <c r="I51" i="3"/>
  <c r="D91" i="3"/>
  <c r="D94" i="3"/>
  <c r="B54" i="3"/>
  <c r="F55" i="5" s="1"/>
  <c r="D64" i="3"/>
  <c r="B123" i="3"/>
  <c r="C30" i="3"/>
  <c r="C107" i="3" s="1"/>
  <c r="G109" i="5" s="1"/>
  <c r="K51" i="3"/>
  <c r="U51" i="3"/>
  <c r="E45" i="3"/>
  <c r="F39" i="3"/>
  <c r="J51" i="3"/>
  <c r="T51" i="3"/>
  <c r="H51" i="3"/>
  <c r="R51" i="3"/>
  <c r="S51" i="3"/>
  <c r="E21" i="3"/>
  <c r="F12" i="3"/>
  <c r="E12" i="3"/>
  <c r="O51" i="3"/>
  <c r="E3" i="3"/>
  <c r="Q51" i="3"/>
  <c r="F3" i="3"/>
  <c r="B109" i="3"/>
  <c r="F111" i="5" s="1"/>
  <c r="B127" i="3"/>
  <c r="F129" i="5" s="1"/>
  <c r="F21" i="3"/>
  <c r="C112" i="3"/>
  <c r="G114" i="5" s="1"/>
  <c r="D113" i="3"/>
  <c r="C21" i="3"/>
  <c r="G22" i="5" s="1"/>
  <c r="D43" i="3"/>
  <c r="D42" i="3" s="1"/>
  <c r="D12" i="3"/>
  <c r="D31" i="3"/>
  <c r="D30" i="3" s="1"/>
  <c r="E30" i="3"/>
  <c r="P51" i="3"/>
  <c r="B125" i="3"/>
  <c r="F127" i="5" s="1"/>
  <c r="B107" i="3"/>
  <c r="F109" i="5" s="1"/>
  <c r="F30" i="3"/>
  <c r="C55" i="3"/>
  <c r="G56" i="5" s="1"/>
  <c r="D56" i="3"/>
  <c r="M51" i="3"/>
  <c r="N51" i="3"/>
  <c r="D97" i="3"/>
  <c r="C3" i="3"/>
  <c r="G3" i="5" s="1"/>
  <c r="D23" i="3"/>
  <c r="D21" i="3" s="1"/>
  <c r="C39" i="3"/>
  <c r="G40" i="5" s="1"/>
  <c r="C48" i="3"/>
  <c r="G49" i="5" s="1"/>
  <c r="C12" i="3"/>
  <c r="G13" i="5" s="1"/>
  <c r="D120" i="2"/>
  <c r="D119" i="2"/>
  <c r="D118" i="2"/>
  <c r="D117" i="2"/>
  <c r="D116" i="2"/>
  <c r="D115" i="2"/>
  <c r="D114" i="2"/>
  <c r="D113" i="2"/>
  <c r="C112" i="2"/>
  <c r="E114" i="5" s="1"/>
  <c r="B112" i="2"/>
  <c r="D114" i="5" s="1"/>
  <c r="B114" i="5" s="1"/>
  <c r="D102" i="2"/>
  <c r="D101" i="2"/>
  <c r="C100" i="2"/>
  <c r="E102" i="5" s="1"/>
  <c r="B100" i="2"/>
  <c r="D102" i="5" s="1"/>
  <c r="D99" i="2"/>
  <c r="D98" i="2"/>
  <c r="C97" i="2"/>
  <c r="E99" i="5" s="1"/>
  <c r="B97" i="2"/>
  <c r="D99" i="5" s="1"/>
  <c r="D96" i="2"/>
  <c r="D95" i="2"/>
  <c r="C94" i="2"/>
  <c r="E96" i="5" s="1"/>
  <c r="B94" i="2"/>
  <c r="D96" i="5" s="1"/>
  <c r="D93" i="2"/>
  <c r="D92" i="2"/>
  <c r="C91" i="2"/>
  <c r="E93" i="5" s="1"/>
  <c r="B91" i="2"/>
  <c r="D93" i="5" s="1"/>
  <c r="B93" i="5" s="1"/>
  <c r="D90" i="2"/>
  <c r="D89" i="2"/>
  <c r="D88" i="2"/>
  <c r="D87" i="2"/>
  <c r="D86" i="2"/>
  <c r="D85" i="2"/>
  <c r="D84" i="2"/>
  <c r="D83" i="2"/>
  <c r="C82" i="2"/>
  <c r="E84" i="5" s="1"/>
  <c r="B82" i="2"/>
  <c r="D84" i="5" s="1"/>
  <c r="D81" i="2"/>
  <c r="D80" i="2"/>
  <c r="D79" i="2"/>
  <c r="D78" i="2"/>
  <c r="D77" i="2"/>
  <c r="D76" i="2"/>
  <c r="D75" i="2"/>
  <c r="D74" i="2"/>
  <c r="C73" i="2"/>
  <c r="E75" i="5" s="1"/>
  <c r="B73" i="2"/>
  <c r="D75" i="5" s="1"/>
  <c r="D72" i="2"/>
  <c r="D71" i="2"/>
  <c r="D70" i="2"/>
  <c r="D69" i="2"/>
  <c r="D68" i="2"/>
  <c r="D67" i="2"/>
  <c r="D66" i="2"/>
  <c r="D65" i="2"/>
  <c r="C64" i="2"/>
  <c r="E66" i="5" s="1"/>
  <c r="B64" i="2"/>
  <c r="D66" i="5" s="1"/>
  <c r="D63" i="2"/>
  <c r="D62" i="2"/>
  <c r="D61" i="2"/>
  <c r="D60" i="2"/>
  <c r="D59" i="2"/>
  <c r="D58" i="2"/>
  <c r="D57" i="2"/>
  <c r="D56" i="2"/>
  <c r="C55" i="2"/>
  <c r="E56" i="5" s="1"/>
  <c r="B55" i="2"/>
  <c r="D56" i="5" s="1"/>
  <c r="F50" i="2"/>
  <c r="E50" i="2"/>
  <c r="D50" i="2"/>
  <c r="F49" i="2"/>
  <c r="E49" i="2"/>
  <c r="D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B48" i="2"/>
  <c r="F47" i="2"/>
  <c r="E47" i="2"/>
  <c r="D47" i="2"/>
  <c r="F46" i="2"/>
  <c r="E46" i="2"/>
  <c r="D46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C45" i="2"/>
  <c r="E46" i="5" s="1"/>
  <c r="B45" i="2"/>
  <c r="F44" i="2"/>
  <c r="E44" i="2"/>
  <c r="C42" i="2"/>
  <c r="E43" i="5" s="1"/>
  <c r="F43" i="2"/>
  <c r="E43" i="2"/>
  <c r="D43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B42" i="2"/>
  <c r="D43" i="5" s="1"/>
  <c r="F41" i="2"/>
  <c r="E41" i="2"/>
  <c r="C41" i="2"/>
  <c r="F40" i="2"/>
  <c r="E40" i="2"/>
  <c r="C40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39" i="2"/>
  <c r="F38" i="2"/>
  <c r="E38" i="2"/>
  <c r="C38" i="2"/>
  <c r="F37" i="2"/>
  <c r="E37" i="2"/>
  <c r="C37" i="2"/>
  <c r="F36" i="2"/>
  <c r="E36" i="2"/>
  <c r="C36" i="2"/>
  <c r="F35" i="2"/>
  <c r="E35" i="2"/>
  <c r="C35" i="2"/>
  <c r="E36" i="5" s="1"/>
  <c r="B30" i="2"/>
  <c r="D31" i="5" s="1"/>
  <c r="F34" i="2"/>
  <c r="E34" i="2"/>
  <c r="C34" i="2"/>
  <c r="F33" i="2"/>
  <c r="E33" i="2"/>
  <c r="C33" i="2"/>
  <c r="F32" i="2"/>
  <c r="E32" i="2"/>
  <c r="C32" i="2"/>
  <c r="F31" i="2"/>
  <c r="E31" i="2"/>
  <c r="C31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F29" i="2"/>
  <c r="E29" i="2"/>
  <c r="C29" i="2"/>
  <c r="F28" i="2"/>
  <c r="E28" i="2"/>
  <c r="C28" i="2"/>
  <c r="F27" i="2"/>
  <c r="E27" i="2"/>
  <c r="C27" i="2"/>
  <c r="F26" i="2"/>
  <c r="E26" i="2"/>
  <c r="C26" i="2"/>
  <c r="F25" i="2"/>
  <c r="E25" i="2"/>
  <c r="C25" i="2"/>
  <c r="F24" i="2"/>
  <c r="E24" i="2"/>
  <c r="C24" i="2"/>
  <c r="F23" i="2"/>
  <c r="E23" i="2"/>
  <c r="C23" i="2"/>
  <c r="F22" i="2"/>
  <c r="E22" i="2"/>
  <c r="C22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B21" i="2"/>
  <c r="F20" i="2"/>
  <c r="E20" i="2"/>
  <c r="C20" i="2"/>
  <c r="E21" i="5" s="1"/>
  <c r="F19" i="2"/>
  <c r="E19" i="2"/>
  <c r="C19" i="2"/>
  <c r="F18" i="2"/>
  <c r="E18" i="2"/>
  <c r="C18" i="2"/>
  <c r="F17" i="2"/>
  <c r="E17" i="2"/>
  <c r="C17" i="2"/>
  <c r="F16" i="2"/>
  <c r="E16" i="2"/>
  <c r="C16" i="2"/>
  <c r="F15" i="2"/>
  <c r="E15" i="2"/>
  <c r="C15" i="2"/>
  <c r="F14" i="2"/>
  <c r="E14" i="2"/>
  <c r="C14" i="2"/>
  <c r="F13" i="2"/>
  <c r="E13" i="2"/>
  <c r="C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B12" i="2"/>
  <c r="D13" i="5" s="1"/>
  <c r="F11" i="2"/>
  <c r="E11" i="2"/>
  <c r="C11" i="2"/>
  <c r="F10" i="2"/>
  <c r="E10" i="2"/>
  <c r="C10" i="2"/>
  <c r="F9" i="2"/>
  <c r="E9" i="2"/>
  <c r="C9" i="2"/>
  <c r="B9" i="2"/>
  <c r="D9" i="5" s="1"/>
  <c r="B9" i="5" s="1"/>
  <c r="F8" i="2"/>
  <c r="E8" i="2"/>
  <c r="C8" i="2"/>
  <c r="E8" i="5" s="1"/>
  <c r="B8" i="2"/>
  <c r="F7" i="2"/>
  <c r="E7" i="2"/>
  <c r="C7" i="2"/>
  <c r="F6" i="2"/>
  <c r="E6" i="2"/>
  <c r="C6" i="2"/>
  <c r="F5" i="2"/>
  <c r="E5" i="2"/>
  <c r="C5" i="2"/>
  <c r="F4" i="2"/>
  <c r="E4" i="2"/>
  <c r="C4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D119" i="1"/>
  <c r="D118" i="1"/>
  <c r="D99" i="1"/>
  <c r="D98" i="1"/>
  <c r="C97" i="1"/>
  <c r="B97" i="1"/>
  <c r="D96" i="1"/>
  <c r="D95" i="1"/>
  <c r="C94" i="1"/>
  <c r="B94" i="1"/>
  <c r="D89" i="1"/>
  <c r="D87" i="1"/>
  <c r="D80" i="1"/>
  <c r="D78" i="1"/>
  <c r="D69" i="1"/>
  <c r="D71" i="1"/>
  <c r="D62" i="1"/>
  <c r="F47" i="1"/>
  <c r="E47" i="1"/>
  <c r="D47" i="1"/>
  <c r="F46" i="1"/>
  <c r="E46" i="1"/>
  <c r="B46" i="1"/>
  <c r="D46" i="1" s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F44" i="1"/>
  <c r="E44" i="1"/>
  <c r="D44" i="1"/>
  <c r="F43" i="1"/>
  <c r="E43" i="1"/>
  <c r="B43" i="1"/>
  <c r="D43" i="1" s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F38" i="1"/>
  <c r="E38" i="1"/>
  <c r="C38" i="1"/>
  <c r="D38" i="1" s="1"/>
  <c r="F37" i="1"/>
  <c r="E37" i="1"/>
  <c r="C37" i="1"/>
  <c r="D37" i="1" s="1"/>
  <c r="F36" i="1"/>
  <c r="E36" i="1"/>
  <c r="C36" i="1"/>
  <c r="D36" i="1" s="1"/>
  <c r="F35" i="1"/>
  <c r="E35" i="1"/>
  <c r="C35" i="1"/>
  <c r="B35" i="1"/>
  <c r="F28" i="1"/>
  <c r="E28" i="1"/>
  <c r="C28" i="1"/>
  <c r="D28" i="1" s="1"/>
  <c r="F26" i="1"/>
  <c r="E26" i="1"/>
  <c r="C26" i="1"/>
  <c r="B26" i="1"/>
  <c r="F19" i="1"/>
  <c r="F18" i="1"/>
  <c r="F17" i="1"/>
  <c r="E19" i="1"/>
  <c r="E18" i="1"/>
  <c r="E17" i="1"/>
  <c r="F10" i="1"/>
  <c r="E10" i="1"/>
  <c r="C19" i="1"/>
  <c r="D19" i="1" s="1"/>
  <c r="C18" i="1"/>
  <c r="D18" i="1" s="1"/>
  <c r="C17" i="1"/>
  <c r="B17" i="1"/>
  <c r="C10" i="1"/>
  <c r="D10" i="1" s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48" i="1"/>
  <c r="H39" i="1"/>
  <c r="H30" i="1"/>
  <c r="H21" i="1"/>
  <c r="H12" i="1"/>
  <c r="H3" i="1"/>
  <c r="C100" i="1"/>
  <c r="B49" i="1"/>
  <c r="B112" i="1"/>
  <c r="D113" i="1"/>
  <c r="D83" i="1"/>
  <c r="D81" i="1"/>
  <c r="D79" i="1"/>
  <c r="D77" i="1"/>
  <c r="D76" i="1"/>
  <c r="D75" i="1"/>
  <c r="D74" i="1"/>
  <c r="D66" i="1"/>
  <c r="D65" i="1"/>
  <c r="D72" i="1"/>
  <c r="D70" i="1"/>
  <c r="D68" i="1"/>
  <c r="D67" i="1"/>
  <c r="D59" i="1"/>
  <c r="D90" i="1"/>
  <c r="D88" i="1"/>
  <c r="D86" i="1"/>
  <c r="D85" i="1"/>
  <c r="D84" i="1"/>
  <c r="D46" i="17" l="1"/>
  <c r="D49" i="17"/>
  <c r="D114" i="16"/>
  <c r="AD10" i="5"/>
  <c r="B7" i="18" s="1"/>
  <c r="E52" i="16"/>
  <c r="D40" i="16"/>
  <c r="B125" i="12"/>
  <c r="B107" i="14"/>
  <c r="T107" i="5" s="1"/>
  <c r="B125" i="14"/>
  <c r="T125" i="5" s="1"/>
  <c r="B110" i="14"/>
  <c r="B18" i="5"/>
  <c r="B38" i="5"/>
  <c r="B128" i="14"/>
  <c r="T128" i="5" s="1"/>
  <c r="B109" i="17"/>
  <c r="B127" i="17"/>
  <c r="Z127" i="5" s="1"/>
  <c r="B41" i="5"/>
  <c r="F52" i="17"/>
  <c r="B33" i="5"/>
  <c r="C111" i="17"/>
  <c r="D111" i="17" s="1"/>
  <c r="B126" i="17"/>
  <c r="Z126" i="5" s="1"/>
  <c r="B99" i="5"/>
  <c r="B108" i="17"/>
  <c r="D22" i="16"/>
  <c r="C107" i="16"/>
  <c r="Y107" i="5" s="1"/>
  <c r="B110" i="16"/>
  <c r="X110" i="5" s="1"/>
  <c r="D43" i="16"/>
  <c r="C125" i="16"/>
  <c r="Y125" i="5" s="1"/>
  <c r="C111" i="16"/>
  <c r="Y111" i="5" s="1"/>
  <c r="C129" i="16"/>
  <c r="Y129" i="5" s="1"/>
  <c r="B127" i="15"/>
  <c r="V127" i="5" s="1"/>
  <c r="V13" i="5"/>
  <c r="D114" i="15"/>
  <c r="B125" i="15"/>
  <c r="V125" i="5" s="1"/>
  <c r="D40" i="14"/>
  <c r="B139" i="14"/>
  <c r="B149" i="14" s="1"/>
  <c r="T149" i="5" s="1"/>
  <c r="C99" i="5"/>
  <c r="C93" i="5"/>
  <c r="D31" i="14"/>
  <c r="C109" i="17"/>
  <c r="AA109" i="5" s="1"/>
  <c r="D13" i="17"/>
  <c r="C127" i="17"/>
  <c r="AA127" i="5" s="1"/>
  <c r="C106" i="17"/>
  <c r="C124" i="17"/>
  <c r="AA124" i="5" s="1"/>
  <c r="D40" i="17"/>
  <c r="D22" i="17"/>
  <c r="B89" i="5"/>
  <c r="E52" i="17"/>
  <c r="B137" i="17"/>
  <c r="Z137" i="5" s="1"/>
  <c r="D114" i="17"/>
  <c r="C129" i="17"/>
  <c r="AA129" i="5" s="1"/>
  <c r="B52" i="16"/>
  <c r="X52" i="5" s="1"/>
  <c r="D31" i="16"/>
  <c r="D46" i="16"/>
  <c r="B128" i="16"/>
  <c r="D49" i="16"/>
  <c r="D13" i="16"/>
  <c r="B56" i="5"/>
  <c r="B108" i="16"/>
  <c r="X108" i="5" s="1"/>
  <c r="B126" i="16"/>
  <c r="X126" i="5" s="1"/>
  <c r="F52" i="16"/>
  <c r="D13" i="15"/>
  <c r="V40" i="5"/>
  <c r="B110" i="15"/>
  <c r="V110" i="5" s="1"/>
  <c r="D22" i="15"/>
  <c r="B20" i="5"/>
  <c r="B44" i="5"/>
  <c r="E52" i="15"/>
  <c r="D46" i="15"/>
  <c r="D49" i="15"/>
  <c r="C126" i="15"/>
  <c r="W126" i="5" s="1"/>
  <c r="F13" i="15"/>
  <c r="F52" i="15" s="1"/>
  <c r="J13" i="15"/>
  <c r="J52" i="15" s="1"/>
  <c r="D31" i="15"/>
  <c r="W13" i="5"/>
  <c r="B55" i="15"/>
  <c r="V55" i="5" s="1"/>
  <c r="C111" i="15"/>
  <c r="W111" i="5" s="1"/>
  <c r="C119" i="5"/>
  <c r="C129" i="15"/>
  <c r="W129" i="5" s="1"/>
  <c r="B109" i="15"/>
  <c r="B136" i="15" s="1"/>
  <c r="D49" i="14"/>
  <c r="D55" i="11"/>
  <c r="F52" i="13"/>
  <c r="B71" i="5"/>
  <c r="B102" i="5"/>
  <c r="D114" i="13"/>
  <c r="B80" i="5"/>
  <c r="S3" i="5"/>
  <c r="C52" i="13"/>
  <c r="R3" i="5"/>
  <c r="B52" i="13"/>
  <c r="R52" i="5" s="1"/>
  <c r="B29" i="5"/>
  <c r="C125" i="13"/>
  <c r="S125" i="5" s="1"/>
  <c r="B124" i="13"/>
  <c r="R124" i="5" s="1"/>
  <c r="B106" i="13"/>
  <c r="R106" i="5" s="1"/>
  <c r="C108" i="13"/>
  <c r="S108" i="5" s="1"/>
  <c r="E52" i="13"/>
  <c r="C126" i="13"/>
  <c r="S126" i="5" s="1"/>
  <c r="F52" i="10"/>
  <c r="B110" i="12"/>
  <c r="P110" i="5" s="1"/>
  <c r="C107" i="12"/>
  <c r="Q107" i="5" s="1"/>
  <c r="B140" i="12"/>
  <c r="B150" i="12" s="1"/>
  <c r="P150" i="5" s="1"/>
  <c r="B128" i="12"/>
  <c r="D128" i="12" s="1"/>
  <c r="E52" i="12"/>
  <c r="B24" i="5"/>
  <c r="C125" i="12"/>
  <c r="Q125" i="5" s="1"/>
  <c r="D31" i="12"/>
  <c r="F52" i="12"/>
  <c r="D3" i="12"/>
  <c r="D22" i="12"/>
  <c r="C131" i="12"/>
  <c r="Q131" i="5" s="1"/>
  <c r="C113" i="12"/>
  <c r="C140" i="12" s="1"/>
  <c r="D49" i="12"/>
  <c r="C127" i="12"/>
  <c r="D46" i="12"/>
  <c r="E52" i="11"/>
  <c r="D3" i="10"/>
  <c r="O46" i="5"/>
  <c r="C130" i="11"/>
  <c r="C109" i="11"/>
  <c r="C134" i="11"/>
  <c r="C144" i="11" s="1"/>
  <c r="O144" i="5" s="1"/>
  <c r="C102" i="5"/>
  <c r="C96" i="5"/>
  <c r="B125" i="10"/>
  <c r="B134" i="10" s="1"/>
  <c r="B32" i="5"/>
  <c r="D40" i="10"/>
  <c r="D22" i="10"/>
  <c r="E52" i="10"/>
  <c r="B109" i="10"/>
  <c r="B136" i="10" s="1"/>
  <c r="B14" i="5"/>
  <c r="D49" i="11"/>
  <c r="D130" i="11"/>
  <c r="D22" i="11"/>
  <c r="B140" i="11"/>
  <c r="B150" i="11" s="1"/>
  <c r="N150" i="5" s="1"/>
  <c r="B108" i="10"/>
  <c r="L108" i="5" s="1"/>
  <c r="B126" i="10"/>
  <c r="L126" i="5" s="1"/>
  <c r="D13" i="11"/>
  <c r="N131" i="5"/>
  <c r="D43" i="11"/>
  <c r="D46" i="11"/>
  <c r="D31" i="11"/>
  <c r="D3" i="11"/>
  <c r="F52" i="11"/>
  <c r="B52" i="10"/>
  <c r="L52" i="5" s="1"/>
  <c r="D66" i="10"/>
  <c r="B55" i="10"/>
  <c r="L55" i="5" s="1"/>
  <c r="D55" i="10"/>
  <c r="H43" i="5"/>
  <c r="H31" i="5"/>
  <c r="B122" i="9"/>
  <c r="J124" i="5" s="1"/>
  <c r="B51" i="9"/>
  <c r="J52" i="5" s="1"/>
  <c r="B104" i="9"/>
  <c r="J106" i="5" s="1"/>
  <c r="B109" i="6"/>
  <c r="H111" i="5" s="1"/>
  <c r="B104" i="3"/>
  <c r="F106" i="5" s="1"/>
  <c r="C106" i="6"/>
  <c r="I108" i="5" s="1"/>
  <c r="B106" i="3"/>
  <c r="F108" i="5" s="1"/>
  <c r="B104" i="6"/>
  <c r="H106" i="5" s="1"/>
  <c r="B51" i="6"/>
  <c r="H52" i="5" s="1"/>
  <c r="B122" i="6"/>
  <c r="H124" i="5" s="1"/>
  <c r="C44" i="5"/>
  <c r="AD44" i="5" s="1"/>
  <c r="B20" i="18" s="1"/>
  <c r="F3" i="5"/>
  <c r="D3" i="3"/>
  <c r="D51" i="3" s="1"/>
  <c r="D46" i="14"/>
  <c r="B52" i="14"/>
  <c r="T52" i="5" s="1"/>
  <c r="D114" i="14"/>
  <c r="C107" i="14"/>
  <c r="U107" i="5" s="1"/>
  <c r="C125" i="14"/>
  <c r="D125" i="14" s="1"/>
  <c r="B126" i="14"/>
  <c r="T126" i="5" s="1"/>
  <c r="B109" i="14"/>
  <c r="T109" i="5" s="1"/>
  <c r="B140" i="14"/>
  <c r="T140" i="5" s="1"/>
  <c r="B108" i="14"/>
  <c r="B127" i="14"/>
  <c r="T127" i="5" s="1"/>
  <c r="C128" i="14"/>
  <c r="U128" i="5" s="1"/>
  <c r="D43" i="14"/>
  <c r="D22" i="14"/>
  <c r="D13" i="14"/>
  <c r="C84" i="5"/>
  <c r="C110" i="14"/>
  <c r="U110" i="5" s="1"/>
  <c r="E52" i="14"/>
  <c r="F52" i="14"/>
  <c r="C56" i="5"/>
  <c r="B23" i="5"/>
  <c r="C121" i="5"/>
  <c r="F22" i="5"/>
  <c r="B51" i="3"/>
  <c r="F52" i="5" s="1"/>
  <c r="B126" i="3"/>
  <c r="F128" i="5" s="1"/>
  <c r="C36" i="5"/>
  <c r="B108" i="3"/>
  <c r="F110" i="5" s="1"/>
  <c r="Q127" i="5"/>
  <c r="N3" i="5"/>
  <c r="B124" i="11"/>
  <c r="N124" i="5" s="1"/>
  <c r="C109" i="10"/>
  <c r="M31" i="5"/>
  <c r="AA40" i="5"/>
  <c r="C110" i="17"/>
  <c r="C128" i="17"/>
  <c r="J107" i="5"/>
  <c r="D30" i="9"/>
  <c r="D107" i="9"/>
  <c r="K109" i="5"/>
  <c r="B106" i="11"/>
  <c r="N106" i="5" s="1"/>
  <c r="D13" i="12"/>
  <c r="B55" i="14"/>
  <c r="T66" i="5"/>
  <c r="B129" i="13"/>
  <c r="R129" i="5" s="1"/>
  <c r="R43" i="5"/>
  <c r="Z43" i="5"/>
  <c r="B129" i="17"/>
  <c r="B138" i="9"/>
  <c r="J131" i="5"/>
  <c r="C127" i="10"/>
  <c r="L125" i="5"/>
  <c r="B138" i="12"/>
  <c r="P111" i="5"/>
  <c r="B52" i="11"/>
  <c r="N52" i="5" s="1"/>
  <c r="B52" i="17"/>
  <c r="Z52" i="5" s="1"/>
  <c r="D30" i="6"/>
  <c r="F51" i="6"/>
  <c r="T43" i="5"/>
  <c r="B129" i="14"/>
  <c r="T129" i="5" s="1"/>
  <c r="C129" i="12"/>
  <c r="C138" i="12" s="1"/>
  <c r="Q43" i="5"/>
  <c r="B136" i="13"/>
  <c r="R109" i="5"/>
  <c r="B106" i="16"/>
  <c r="X106" i="5" s="1"/>
  <c r="X3" i="5"/>
  <c r="B3" i="5" s="1"/>
  <c r="B127" i="12"/>
  <c r="P127" i="5" s="1"/>
  <c r="P31" i="5"/>
  <c r="B31" i="5" s="1"/>
  <c r="B109" i="12"/>
  <c r="B106" i="12"/>
  <c r="B105" i="12" s="1"/>
  <c r="P3" i="5"/>
  <c r="B124" i="12"/>
  <c r="P124" i="5" s="1"/>
  <c r="B136" i="11"/>
  <c r="D75" i="13"/>
  <c r="R75" i="5"/>
  <c r="B139" i="12"/>
  <c r="P112" i="5"/>
  <c r="D82" i="9"/>
  <c r="J126" i="5"/>
  <c r="D21" i="9"/>
  <c r="B138" i="10"/>
  <c r="L111" i="5"/>
  <c r="D31" i="10"/>
  <c r="D128" i="11"/>
  <c r="N128" i="5"/>
  <c r="C52" i="12"/>
  <c r="Q52" i="5" s="1"/>
  <c r="R22" i="5"/>
  <c r="D107" i="13"/>
  <c r="S107" i="5"/>
  <c r="B139" i="13"/>
  <c r="W55" i="5"/>
  <c r="X124" i="5"/>
  <c r="B128" i="10"/>
  <c r="L128" i="5" s="1"/>
  <c r="B110" i="10"/>
  <c r="L40" i="5"/>
  <c r="B106" i="9"/>
  <c r="J108" i="5" s="1"/>
  <c r="J22" i="5"/>
  <c r="X43" i="5"/>
  <c r="B129" i="16"/>
  <c r="X129" i="5" s="1"/>
  <c r="E51" i="9"/>
  <c r="D113" i="10"/>
  <c r="M113" i="5"/>
  <c r="D127" i="11"/>
  <c r="O127" i="5"/>
  <c r="B108" i="12"/>
  <c r="N108" i="5"/>
  <c r="B134" i="14"/>
  <c r="B106" i="14"/>
  <c r="T106" i="5" s="1"/>
  <c r="D43" i="15"/>
  <c r="B106" i="17"/>
  <c r="Z106" i="5" s="1"/>
  <c r="C50" i="5"/>
  <c r="AD50" i="5" s="1"/>
  <c r="B21" i="18" s="1"/>
  <c r="Y40" i="5"/>
  <c r="C128" i="16"/>
  <c r="Y128" i="5" s="1"/>
  <c r="R40" i="5"/>
  <c r="B110" i="13"/>
  <c r="D110" i="13" s="1"/>
  <c r="D40" i="12"/>
  <c r="D48" i="9"/>
  <c r="D128" i="13"/>
  <c r="S128" i="5"/>
  <c r="D126" i="9"/>
  <c r="K128" i="5"/>
  <c r="B124" i="17"/>
  <c r="Z124" i="5" s="1"/>
  <c r="B135" i="9"/>
  <c r="J110" i="5"/>
  <c r="D3" i="9"/>
  <c r="D51" i="9" s="1"/>
  <c r="B139" i="11"/>
  <c r="N112" i="5"/>
  <c r="D109" i="11"/>
  <c r="O109" i="5"/>
  <c r="B52" i="12"/>
  <c r="P52" i="5" s="1"/>
  <c r="B126" i="12"/>
  <c r="P126" i="5" s="1"/>
  <c r="D55" i="12"/>
  <c r="P55" i="5"/>
  <c r="R66" i="5"/>
  <c r="B111" i="14"/>
  <c r="B124" i="14"/>
  <c r="T124" i="5" s="1"/>
  <c r="C124" i="15"/>
  <c r="W124" i="5" s="1"/>
  <c r="X111" i="5"/>
  <c r="B139" i="16"/>
  <c r="X112" i="5"/>
  <c r="D31" i="17"/>
  <c r="S43" i="5"/>
  <c r="C111" i="13"/>
  <c r="S111" i="5" s="1"/>
  <c r="C129" i="13"/>
  <c r="B123" i="9"/>
  <c r="J125" i="5" s="1"/>
  <c r="J13" i="5"/>
  <c r="X66" i="5"/>
  <c r="C129" i="11"/>
  <c r="C138" i="11" s="1"/>
  <c r="O43" i="5"/>
  <c r="Q40" i="5"/>
  <c r="C128" i="12"/>
  <c r="Q128" i="5" s="1"/>
  <c r="T75" i="5"/>
  <c r="C106" i="14"/>
  <c r="U3" i="5"/>
  <c r="B137" i="9"/>
  <c r="J112" i="5"/>
  <c r="D125" i="9"/>
  <c r="K127" i="5"/>
  <c r="B140" i="10"/>
  <c r="L131" i="5"/>
  <c r="B54" i="9"/>
  <c r="D113" i="12"/>
  <c r="Q113" i="5"/>
  <c r="B139" i="15"/>
  <c r="V112" i="5"/>
  <c r="J51" i="1"/>
  <c r="D3" i="14"/>
  <c r="B55" i="16"/>
  <c r="X55" i="5" s="1"/>
  <c r="B126" i="11"/>
  <c r="N126" i="5" s="1"/>
  <c r="N22" i="5"/>
  <c r="V43" i="5"/>
  <c r="B129" i="15"/>
  <c r="V129" i="5" s="1"/>
  <c r="B124" i="10"/>
  <c r="L124" i="5" s="1"/>
  <c r="L3" i="5"/>
  <c r="Z109" i="5"/>
  <c r="P125" i="5"/>
  <c r="C48" i="5"/>
  <c r="T51" i="1"/>
  <c r="C52" i="11"/>
  <c r="O52" i="5" s="1"/>
  <c r="O22" i="5"/>
  <c r="C108" i="12"/>
  <c r="Q108" i="5" s="1"/>
  <c r="R111" i="5"/>
  <c r="C127" i="13"/>
  <c r="C106" i="15"/>
  <c r="W106" i="5" s="1"/>
  <c r="B134" i="15"/>
  <c r="V107" i="5"/>
  <c r="Y55" i="5"/>
  <c r="Z75" i="5"/>
  <c r="B140" i="17"/>
  <c r="Z113" i="5"/>
  <c r="B134" i="17"/>
  <c r="Z107" i="5"/>
  <c r="B136" i="9"/>
  <c r="J111" i="5"/>
  <c r="P128" i="5"/>
  <c r="C126" i="12"/>
  <c r="Q126" i="5" s="1"/>
  <c r="C109" i="13"/>
  <c r="V111" i="5"/>
  <c r="B140" i="15"/>
  <c r="D3" i="17"/>
  <c r="C120" i="5"/>
  <c r="B3" i="2"/>
  <c r="B104" i="2" s="1"/>
  <c r="D106" i="5" s="1"/>
  <c r="D8" i="5"/>
  <c r="B8" i="5" s="1"/>
  <c r="C131" i="9"/>
  <c r="C141" i="9" s="1"/>
  <c r="K143" i="5" s="1"/>
  <c r="K124" i="5"/>
  <c r="B139" i="10"/>
  <c r="L112" i="5"/>
  <c r="B138" i="11"/>
  <c r="N111" i="5"/>
  <c r="D113" i="11"/>
  <c r="O113" i="5"/>
  <c r="B125" i="11"/>
  <c r="D125" i="11" s="1"/>
  <c r="C109" i="12"/>
  <c r="B55" i="13"/>
  <c r="T110" i="5"/>
  <c r="B136" i="16"/>
  <c r="X109" i="5"/>
  <c r="B139" i="17"/>
  <c r="Z112" i="5"/>
  <c r="C45" i="5"/>
  <c r="C118" i="5"/>
  <c r="B134" i="9"/>
  <c r="C75" i="5"/>
  <c r="D112" i="6"/>
  <c r="C66" i="5"/>
  <c r="D21" i="6"/>
  <c r="D12" i="6"/>
  <c r="C107" i="6"/>
  <c r="I109" i="5" s="1"/>
  <c r="C125" i="6"/>
  <c r="D125" i="6" s="1"/>
  <c r="C124" i="6"/>
  <c r="D124" i="6" s="1"/>
  <c r="B137" i="6"/>
  <c r="H139" i="5" s="1"/>
  <c r="D3" i="6"/>
  <c r="B138" i="6"/>
  <c r="H140" i="5" s="1"/>
  <c r="E51" i="6"/>
  <c r="B132" i="6"/>
  <c r="H107" i="5"/>
  <c r="B54" i="6"/>
  <c r="H84" i="5"/>
  <c r="B84" i="5" s="1"/>
  <c r="B96" i="5"/>
  <c r="B134" i="6"/>
  <c r="C122" i="5"/>
  <c r="H128" i="5"/>
  <c r="I111" i="5"/>
  <c r="C51" i="5"/>
  <c r="C127" i="6"/>
  <c r="C136" i="6" s="1"/>
  <c r="I43" i="5"/>
  <c r="C47" i="5"/>
  <c r="C114" i="5"/>
  <c r="C8" i="5"/>
  <c r="AD8" i="5" s="1"/>
  <c r="B5" i="18" s="1"/>
  <c r="C125" i="3"/>
  <c r="G127" i="5" s="1"/>
  <c r="G31" i="5"/>
  <c r="C110" i="3"/>
  <c r="G46" i="5"/>
  <c r="C21" i="5"/>
  <c r="B137" i="3"/>
  <c r="B133" i="3"/>
  <c r="B138" i="3"/>
  <c r="F113" i="5"/>
  <c r="B132" i="3"/>
  <c r="F125" i="5"/>
  <c r="C128" i="3"/>
  <c r="G130" i="5" s="1"/>
  <c r="C127" i="3"/>
  <c r="G129" i="5" s="1"/>
  <c r="G43" i="5"/>
  <c r="D4" i="2"/>
  <c r="E4" i="5"/>
  <c r="C4" i="5" s="1"/>
  <c r="AD4" i="5" s="1"/>
  <c r="B2" i="18" s="1"/>
  <c r="D10" i="2"/>
  <c r="C11" i="5"/>
  <c r="AD11" i="5" s="1"/>
  <c r="B8" i="18" s="1"/>
  <c r="D34" i="2"/>
  <c r="E35" i="5"/>
  <c r="C35" i="5" s="1"/>
  <c r="B128" i="2"/>
  <c r="D130" i="5" s="1"/>
  <c r="B130" i="5" s="1"/>
  <c r="D46" i="5"/>
  <c r="B46" i="5" s="1"/>
  <c r="D13" i="2"/>
  <c r="E14" i="5"/>
  <c r="C14" i="5" s="1"/>
  <c r="AD14" i="5" s="1"/>
  <c r="B10" i="18" s="1"/>
  <c r="D40" i="2"/>
  <c r="E41" i="5"/>
  <c r="C41" i="5" s="1"/>
  <c r="AD41" i="5" s="1"/>
  <c r="B19" i="18" s="1"/>
  <c r="D15" i="2"/>
  <c r="E16" i="5"/>
  <c r="C16" i="5" s="1"/>
  <c r="D24" i="2"/>
  <c r="E25" i="5"/>
  <c r="C25" i="5" s="1"/>
  <c r="AD25" i="5" s="1"/>
  <c r="B15" i="18" s="1"/>
  <c r="D7" i="2"/>
  <c r="E7" i="5"/>
  <c r="C7" i="5" s="1"/>
  <c r="D11" i="2"/>
  <c r="E12" i="5"/>
  <c r="C12" i="5" s="1"/>
  <c r="AD12" i="5" s="1"/>
  <c r="D29" i="2"/>
  <c r="E30" i="5"/>
  <c r="C30" i="5" s="1"/>
  <c r="D38" i="2"/>
  <c r="E39" i="5"/>
  <c r="C39" i="5" s="1"/>
  <c r="B111" i="2"/>
  <c r="D113" i="5" s="1"/>
  <c r="D49" i="5"/>
  <c r="B49" i="5" s="1"/>
  <c r="D31" i="2"/>
  <c r="E32" i="5"/>
  <c r="C32" i="5" s="1"/>
  <c r="AD32" i="5" s="1"/>
  <c r="B18" i="18" s="1"/>
  <c r="D22" i="2"/>
  <c r="E23" i="5"/>
  <c r="C23" i="5" s="1"/>
  <c r="AD23" i="5" s="1"/>
  <c r="B13" i="18" s="1"/>
  <c r="D26" i="2"/>
  <c r="E27" i="5"/>
  <c r="C27" i="5" s="1"/>
  <c r="D32" i="2"/>
  <c r="E33" i="5"/>
  <c r="C33" i="5" s="1"/>
  <c r="D19" i="2"/>
  <c r="E20" i="5"/>
  <c r="C20" i="5" s="1"/>
  <c r="AD20" i="5" s="1"/>
  <c r="B12" i="18" s="1"/>
  <c r="D17" i="2"/>
  <c r="E18" i="5"/>
  <c r="C18" i="5" s="1"/>
  <c r="D14" i="2"/>
  <c r="E15" i="5"/>
  <c r="C15" i="5" s="1"/>
  <c r="AD15" i="5" s="1"/>
  <c r="B11" i="18" s="1"/>
  <c r="D23" i="2"/>
  <c r="E24" i="5"/>
  <c r="C24" i="5" s="1"/>
  <c r="AD24" i="5" s="1"/>
  <c r="B14" i="18" s="1"/>
  <c r="D41" i="2"/>
  <c r="E42" i="5"/>
  <c r="C42" i="5" s="1"/>
  <c r="D28" i="2"/>
  <c r="E29" i="5"/>
  <c r="C29" i="5" s="1"/>
  <c r="AD29" i="5" s="1"/>
  <c r="D37" i="2"/>
  <c r="E38" i="5"/>
  <c r="C38" i="5" s="1"/>
  <c r="D16" i="2"/>
  <c r="E17" i="5"/>
  <c r="C17" i="5" s="1"/>
  <c r="D25" i="2"/>
  <c r="E26" i="5"/>
  <c r="C26" i="5" s="1"/>
  <c r="AD26" i="5" s="1"/>
  <c r="B16" i="18" s="1"/>
  <c r="D5" i="2"/>
  <c r="E5" i="5"/>
  <c r="C5" i="5" s="1"/>
  <c r="AD5" i="5" s="1"/>
  <c r="B3" i="18" s="1"/>
  <c r="D6" i="2"/>
  <c r="E6" i="5"/>
  <c r="C6" i="5" s="1"/>
  <c r="AD6" i="5" s="1"/>
  <c r="B4" i="18" s="1"/>
  <c r="D9" i="2"/>
  <c r="E9" i="5"/>
  <c r="C9" i="5" s="1"/>
  <c r="AD9" i="5" s="1"/>
  <c r="D18" i="2"/>
  <c r="E19" i="5"/>
  <c r="C19" i="5" s="1"/>
  <c r="D27" i="2"/>
  <c r="E28" i="5"/>
  <c r="C28" i="5" s="1"/>
  <c r="D33" i="2"/>
  <c r="E34" i="5"/>
  <c r="C34" i="5" s="1"/>
  <c r="D36" i="2"/>
  <c r="E37" i="5"/>
  <c r="C37" i="5" s="1"/>
  <c r="C136" i="17"/>
  <c r="C107" i="17"/>
  <c r="AA107" i="5" s="1"/>
  <c r="C125" i="17"/>
  <c r="C130" i="17"/>
  <c r="AA130" i="5" s="1"/>
  <c r="C112" i="17"/>
  <c r="C126" i="17"/>
  <c r="C108" i="17"/>
  <c r="AA108" i="5" s="1"/>
  <c r="C131" i="17"/>
  <c r="AA131" i="5" s="1"/>
  <c r="C52" i="17"/>
  <c r="AA52" i="5" s="1"/>
  <c r="C113" i="17"/>
  <c r="B55" i="17"/>
  <c r="C106" i="16"/>
  <c r="Y106" i="5" s="1"/>
  <c r="C124" i="16"/>
  <c r="Y124" i="5" s="1"/>
  <c r="B140" i="16"/>
  <c r="C113" i="16"/>
  <c r="C131" i="16"/>
  <c r="Y131" i="5" s="1"/>
  <c r="C52" i="16"/>
  <c r="Y52" i="5" s="1"/>
  <c r="B134" i="16"/>
  <c r="C109" i="16"/>
  <c r="Y109" i="5" s="1"/>
  <c r="C127" i="16"/>
  <c r="C130" i="16"/>
  <c r="Y130" i="5" s="1"/>
  <c r="C112" i="16"/>
  <c r="C126" i="16"/>
  <c r="C108" i="16"/>
  <c r="Y108" i="5" s="1"/>
  <c r="B126" i="15"/>
  <c r="B108" i="15"/>
  <c r="C109" i="15"/>
  <c r="W109" i="5" s="1"/>
  <c r="C127" i="15"/>
  <c r="C110" i="15"/>
  <c r="W110" i="5" s="1"/>
  <c r="C128" i="15"/>
  <c r="C130" i="15"/>
  <c r="W130" i="5" s="1"/>
  <c r="C112" i="15"/>
  <c r="C113" i="15"/>
  <c r="C131" i="15"/>
  <c r="W131" i="5" s="1"/>
  <c r="C52" i="15"/>
  <c r="W52" i="5" s="1"/>
  <c r="B133" i="15"/>
  <c r="C107" i="15"/>
  <c r="C125" i="15"/>
  <c r="B52" i="15"/>
  <c r="V52" i="5" s="1"/>
  <c r="D109" i="9"/>
  <c r="D111" i="10"/>
  <c r="C108" i="14"/>
  <c r="U108" i="5" s="1"/>
  <c r="C126" i="14"/>
  <c r="C131" i="14"/>
  <c r="U131" i="5" s="1"/>
  <c r="C52" i="14"/>
  <c r="U52" i="5" s="1"/>
  <c r="C113" i="14"/>
  <c r="C111" i="14"/>
  <c r="C129" i="14"/>
  <c r="U129" i="5" s="1"/>
  <c r="C130" i="14"/>
  <c r="U130" i="5" s="1"/>
  <c r="C112" i="14"/>
  <c r="C109" i="14"/>
  <c r="U109" i="5" s="1"/>
  <c r="C127" i="14"/>
  <c r="B134" i="13"/>
  <c r="C134" i="13"/>
  <c r="C130" i="13"/>
  <c r="S130" i="5" s="1"/>
  <c r="C112" i="13"/>
  <c r="B140" i="13"/>
  <c r="C137" i="13"/>
  <c r="C113" i="13"/>
  <c r="S52" i="5"/>
  <c r="C131" i="13"/>
  <c r="S131" i="5" s="1"/>
  <c r="C106" i="13"/>
  <c r="S106" i="5" s="1"/>
  <c r="C124" i="13"/>
  <c r="S124" i="5" s="1"/>
  <c r="B126" i="13"/>
  <c r="D126" i="13" s="1"/>
  <c r="B108" i="13"/>
  <c r="D13" i="10"/>
  <c r="D107" i="12"/>
  <c r="D111" i="12"/>
  <c r="D125" i="12"/>
  <c r="D134" i="12" s="1"/>
  <c r="C130" i="12"/>
  <c r="Q130" i="5" s="1"/>
  <c r="C112" i="12"/>
  <c r="B134" i="12"/>
  <c r="D110" i="12"/>
  <c r="C137" i="12"/>
  <c r="C106" i="12"/>
  <c r="Q106" i="5" s="1"/>
  <c r="C124" i="12"/>
  <c r="Q124" i="5" s="1"/>
  <c r="D131" i="12"/>
  <c r="C134" i="12"/>
  <c r="B137" i="11"/>
  <c r="D111" i="11"/>
  <c r="D112" i="11"/>
  <c r="C140" i="11"/>
  <c r="D131" i="11"/>
  <c r="D110" i="11"/>
  <c r="C137" i="11"/>
  <c r="C136" i="11"/>
  <c r="C126" i="11"/>
  <c r="C108" i="11"/>
  <c r="O108" i="5" s="1"/>
  <c r="C106" i="11"/>
  <c r="O106" i="5" s="1"/>
  <c r="C124" i="11"/>
  <c r="O124" i="5" s="1"/>
  <c r="D107" i="11"/>
  <c r="C110" i="10"/>
  <c r="M110" i="5" s="1"/>
  <c r="C128" i="10"/>
  <c r="C52" i="10"/>
  <c r="M52" i="5" s="1"/>
  <c r="D129" i="10"/>
  <c r="C138" i="10"/>
  <c r="C107" i="10"/>
  <c r="M107" i="5" s="1"/>
  <c r="C125" i="10"/>
  <c r="C140" i="10"/>
  <c r="D131" i="10"/>
  <c r="C126" i="10"/>
  <c r="C108" i="10"/>
  <c r="M108" i="5" s="1"/>
  <c r="C130" i="10"/>
  <c r="M130" i="5" s="1"/>
  <c r="C112" i="10"/>
  <c r="C124" i="10"/>
  <c r="M124" i="5" s="1"/>
  <c r="C106" i="10"/>
  <c r="M106" i="5" s="1"/>
  <c r="D114" i="10"/>
  <c r="B131" i="9"/>
  <c r="B103" i="9"/>
  <c r="J105" i="5" s="1"/>
  <c r="C136" i="9"/>
  <c r="D127" i="9"/>
  <c r="C128" i="9"/>
  <c r="K130" i="5" s="1"/>
  <c r="C110" i="9"/>
  <c r="C105" i="9"/>
  <c r="K107" i="5" s="1"/>
  <c r="C123" i="9"/>
  <c r="C133" i="9"/>
  <c r="D106" i="9"/>
  <c r="D104" i="9"/>
  <c r="C134" i="9"/>
  <c r="D124" i="9"/>
  <c r="D122" i="9"/>
  <c r="C51" i="9"/>
  <c r="K52" i="5" s="1"/>
  <c r="C111" i="9"/>
  <c r="C129" i="9"/>
  <c r="K131" i="5" s="1"/>
  <c r="D108" i="9"/>
  <c r="C135" i="9"/>
  <c r="B133" i="6"/>
  <c r="B106" i="2"/>
  <c r="D108" i="5" s="1"/>
  <c r="D22" i="5"/>
  <c r="B108" i="2"/>
  <c r="D110" i="5" s="1"/>
  <c r="D40" i="5"/>
  <c r="K51" i="1"/>
  <c r="U51" i="1"/>
  <c r="V51" i="1"/>
  <c r="N51" i="1"/>
  <c r="O51" i="1"/>
  <c r="M51" i="1"/>
  <c r="P51" i="1"/>
  <c r="Q51" i="1"/>
  <c r="R51" i="1"/>
  <c r="L51" i="1"/>
  <c r="H51" i="1"/>
  <c r="I51" i="1"/>
  <c r="S51" i="1"/>
  <c r="C104" i="6"/>
  <c r="I106" i="5" s="1"/>
  <c r="C122" i="6"/>
  <c r="I124" i="5" s="1"/>
  <c r="C51" i="6"/>
  <c r="I52" i="5" s="1"/>
  <c r="C111" i="6"/>
  <c r="C129" i="6"/>
  <c r="I131" i="5" s="1"/>
  <c r="C128" i="6"/>
  <c r="I130" i="5" s="1"/>
  <c r="C110" i="6"/>
  <c r="B135" i="6"/>
  <c r="C108" i="6"/>
  <c r="I110" i="5" s="1"/>
  <c r="C126" i="6"/>
  <c r="C105" i="6"/>
  <c r="I107" i="5" s="1"/>
  <c r="C123" i="6"/>
  <c r="B134" i="3"/>
  <c r="E51" i="3"/>
  <c r="C109" i="3"/>
  <c r="G111" i="5" s="1"/>
  <c r="B136" i="3"/>
  <c r="D73" i="2"/>
  <c r="D91" i="2"/>
  <c r="F51" i="3"/>
  <c r="D112" i="3"/>
  <c r="C126" i="3"/>
  <c r="C108" i="3"/>
  <c r="G110" i="5" s="1"/>
  <c r="C54" i="3"/>
  <c r="D55" i="3"/>
  <c r="C123" i="3"/>
  <c r="C105" i="3"/>
  <c r="G107" i="5" s="1"/>
  <c r="C104" i="3"/>
  <c r="G106" i="5" s="1"/>
  <c r="C122" i="3"/>
  <c r="G124" i="5" s="1"/>
  <c r="C124" i="3"/>
  <c r="C106" i="3"/>
  <c r="G108" i="5" s="1"/>
  <c r="D107" i="3"/>
  <c r="C111" i="3"/>
  <c r="C51" i="3"/>
  <c r="G52" i="5" s="1"/>
  <c r="C129" i="3"/>
  <c r="G131" i="5" s="1"/>
  <c r="B131" i="3"/>
  <c r="E42" i="2"/>
  <c r="F42" i="2"/>
  <c r="B127" i="2"/>
  <c r="D129" i="5" s="1"/>
  <c r="S51" i="2"/>
  <c r="U51" i="2"/>
  <c r="L51" i="2"/>
  <c r="V51" i="2"/>
  <c r="R51" i="2"/>
  <c r="M51" i="2"/>
  <c r="J51" i="2"/>
  <c r="C127" i="2"/>
  <c r="E129" i="5" s="1"/>
  <c r="C109" i="2"/>
  <c r="E111" i="5" s="1"/>
  <c r="N51" i="2"/>
  <c r="H51" i="2"/>
  <c r="T51" i="2"/>
  <c r="K51" i="2"/>
  <c r="C128" i="2"/>
  <c r="C110" i="2"/>
  <c r="E112" i="5" s="1"/>
  <c r="O51" i="2"/>
  <c r="P51" i="2"/>
  <c r="I51" i="2"/>
  <c r="Q51" i="2"/>
  <c r="C39" i="2"/>
  <c r="D100" i="2"/>
  <c r="C12" i="2"/>
  <c r="F30" i="2"/>
  <c r="E45" i="2"/>
  <c r="F48" i="2"/>
  <c r="E12" i="2"/>
  <c r="D45" i="2"/>
  <c r="B109" i="2"/>
  <c r="D111" i="5" s="1"/>
  <c r="D97" i="2"/>
  <c r="C48" i="2"/>
  <c r="C54" i="2"/>
  <c r="E55" i="5" s="1"/>
  <c r="F21" i="2"/>
  <c r="B129" i="2"/>
  <c r="D20" i="2"/>
  <c r="F3" i="2"/>
  <c r="E39" i="2"/>
  <c r="D48" i="2"/>
  <c r="F12" i="2"/>
  <c r="F39" i="2"/>
  <c r="E48" i="2"/>
  <c r="D112" i="2"/>
  <c r="D94" i="2"/>
  <c r="D82" i="2"/>
  <c r="B54" i="2"/>
  <c r="D55" i="5" s="1"/>
  <c r="D64" i="2"/>
  <c r="B110" i="2"/>
  <c r="D112" i="5" s="1"/>
  <c r="B126" i="2"/>
  <c r="B107" i="2"/>
  <c r="D109" i="5" s="1"/>
  <c r="B125" i="2"/>
  <c r="D127" i="5" s="1"/>
  <c r="E21" i="2"/>
  <c r="D44" i="2"/>
  <c r="D42" i="2" s="1"/>
  <c r="E3" i="2"/>
  <c r="D8" i="2"/>
  <c r="B123" i="2"/>
  <c r="D125" i="5" s="1"/>
  <c r="B105" i="2"/>
  <c r="D107" i="5" s="1"/>
  <c r="D35" i="2"/>
  <c r="F45" i="2"/>
  <c r="E30" i="2"/>
  <c r="C21" i="2"/>
  <c r="D55" i="2"/>
  <c r="C3" i="2"/>
  <c r="C30" i="2"/>
  <c r="B124" i="2"/>
  <c r="D97" i="1"/>
  <c r="D94" i="1"/>
  <c r="D45" i="1"/>
  <c r="E45" i="1"/>
  <c r="F45" i="1"/>
  <c r="C42" i="1"/>
  <c r="C109" i="1" s="1"/>
  <c r="B45" i="1"/>
  <c r="C45" i="1"/>
  <c r="C110" i="1" s="1"/>
  <c r="D42" i="1"/>
  <c r="E42" i="1"/>
  <c r="F42" i="1"/>
  <c r="D35" i="1"/>
  <c r="B42" i="1"/>
  <c r="D26" i="1"/>
  <c r="D17" i="1"/>
  <c r="D92" i="1"/>
  <c r="D93" i="1"/>
  <c r="D101" i="1"/>
  <c r="D102" i="1"/>
  <c r="D129" i="17" l="1"/>
  <c r="D127" i="17"/>
  <c r="D109" i="17"/>
  <c r="D136" i="17" s="1"/>
  <c r="D146" i="17" s="1"/>
  <c r="AA111" i="5"/>
  <c r="B135" i="17"/>
  <c r="B136" i="17"/>
  <c r="B146" i="17" s="1"/>
  <c r="Z146" i="5" s="1"/>
  <c r="C138" i="17"/>
  <c r="C134" i="16"/>
  <c r="Y134" i="5" s="1"/>
  <c r="D125" i="16"/>
  <c r="B9" i="18"/>
  <c r="B22" i="18" s="1"/>
  <c r="D111" i="16"/>
  <c r="B137" i="16"/>
  <c r="B147" i="16" s="1"/>
  <c r="X147" i="5" s="1"/>
  <c r="D107" i="16"/>
  <c r="D128" i="16"/>
  <c r="X128" i="5"/>
  <c r="D110" i="16"/>
  <c r="C46" i="5"/>
  <c r="B13" i="5"/>
  <c r="B137" i="14"/>
  <c r="B147" i="14" s="1"/>
  <c r="T147" i="5" s="1"/>
  <c r="T139" i="5"/>
  <c r="D128" i="14"/>
  <c r="B51" i="2"/>
  <c r="D52" i="5" s="1"/>
  <c r="B52" i="5" s="1"/>
  <c r="B121" i="3"/>
  <c r="F123" i="5" s="1"/>
  <c r="B137" i="12"/>
  <c r="B147" i="17"/>
  <c r="Z147" i="5" s="1"/>
  <c r="B137" i="15"/>
  <c r="B147" i="15" s="1"/>
  <c r="V147" i="5" s="1"/>
  <c r="C123" i="17"/>
  <c r="Z108" i="5"/>
  <c r="D52" i="17"/>
  <c r="B105" i="16"/>
  <c r="X105" i="5" s="1"/>
  <c r="D52" i="16"/>
  <c r="C138" i="16"/>
  <c r="Y138" i="5" s="1"/>
  <c r="B150" i="14"/>
  <c r="T150" i="5" s="1"/>
  <c r="C134" i="14"/>
  <c r="U134" i="5" s="1"/>
  <c r="D107" i="14"/>
  <c r="D134" i="14" s="1"/>
  <c r="D144" i="14" s="1"/>
  <c r="D124" i="17"/>
  <c r="AA106" i="5"/>
  <c r="C133" i="17"/>
  <c r="B123" i="17"/>
  <c r="Z123" i="5" s="1"/>
  <c r="B135" i="16"/>
  <c r="B145" i="16" s="1"/>
  <c r="X145" i="5" s="1"/>
  <c r="C137" i="16"/>
  <c r="C147" i="16" s="1"/>
  <c r="Y147" i="5" s="1"/>
  <c r="AC31" i="18" s="1"/>
  <c r="C138" i="15"/>
  <c r="C148" i="15" s="1"/>
  <c r="W148" i="5" s="1"/>
  <c r="C135" i="15"/>
  <c r="W135" i="5" s="1"/>
  <c r="D52" i="15"/>
  <c r="V109" i="5"/>
  <c r="V137" i="5"/>
  <c r="D129" i="15"/>
  <c r="D111" i="15"/>
  <c r="B138" i="15"/>
  <c r="V138" i="5" s="1"/>
  <c r="D55" i="15"/>
  <c r="D106" i="15"/>
  <c r="D52" i="14"/>
  <c r="O134" i="5"/>
  <c r="B105" i="11"/>
  <c r="N105" i="5" s="1"/>
  <c r="B133" i="13"/>
  <c r="B143" i="13" s="1"/>
  <c r="R143" i="5" s="1"/>
  <c r="D125" i="13"/>
  <c r="B138" i="13"/>
  <c r="R138" i="5" s="1"/>
  <c r="B105" i="13"/>
  <c r="R105" i="5" s="1"/>
  <c r="D108" i="13"/>
  <c r="D135" i="13" s="1"/>
  <c r="D145" i="13" s="1"/>
  <c r="C136" i="13"/>
  <c r="C146" i="13" s="1"/>
  <c r="S146" i="5" s="1"/>
  <c r="C135" i="13"/>
  <c r="S135" i="5" s="1"/>
  <c r="D134" i="13"/>
  <c r="D144" i="13" s="1"/>
  <c r="C136" i="12"/>
  <c r="Q136" i="5" s="1"/>
  <c r="D126" i="12"/>
  <c r="D140" i="12"/>
  <c r="D150" i="12" s="1"/>
  <c r="P140" i="5"/>
  <c r="C135" i="12"/>
  <c r="Q135" i="5" s="1"/>
  <c r="B123" i="12"/>
  <c r="P123" i="5" s="1"/>
  <c r="D52" i="12"/>
  <c r="D108" i="12"/>
  <c r="D135" i="12" s="1"/>
  <c r="D145" i="12" s="1"/>
  <c r="D52" i="11"/>
  <c r="N140" i="5"/>
  <c r="B133" i="11"/>
  <c r="N133" i="5" s="1"/>
  <c r="O130" i="5"/>
  <c r="C139" i="11"/>
  <c r="L109" i="5"/>
  <c r="D52" i="10"/>
  <c r="D140" i="10"/>
  <c r="D150" i="10" s="1"/>
  <c r="B135" i="10"/>
  <c r="B145" i="10" s="1"/>
  <c r="L145" i="5" s="1"/>
  <c r="B40" i="5"/>
  <c r="B133" i="10"/>
  <c r="B143" i="10" s="1"/>
  <c r="L143" i="5" s="1"/>
  <c r="B105" i="10"/>
  <c r="L105" i="5" s="1"/>
  <c r="B134" i="11"/>
  <c r="B144" i="11" s="1"/>
  <c r="N144" i="5" s="1"/>
  <c r="B112" i="5"/>
  <c r="D137" i="11"/>
  <c r="D147" i="11" s="1"/>
  <c r="D140" i="11"/>
  <c r="D150" i="11" s="1"/>
  <c r="B133" i="9"/>
  <c r="J135" i="5" s="1"/>
  <c r="D106" i="6"/>
  <c r="B136" i="6"/>
  <c r="D109" i="6"/>
  <c r="B135" i="3"/>
  <c r="D127" i="3"/>
  <c r="D107" i="6"/>
  <c r="D134" i="6" s="1"/>
  <c r="D144" i="6" s="1"/>
  <c r="B121" i="6"/>
  <c r="H123" i="5" s="1"/>
  <c r="B148" i="6"/>
  <c r="H150" i="5" s="1"/>
  <c r="C133" i="6"/>
  <c r="C143" i="6" s="1"/>
  <c r="I145" i="5" s="1"/>
  <c r="B147" i="6"/>
  <c r="H149" i="5" s="1"/>
  <c r="I126" i="5"/>
  <c r="D21" i="2"/>
  <c r="B103" i="6"/>
  <c r="H105" i="5" s="1"/>
  <c r="D109" i="3"/>
  <c r="B131" i="6"/>
  <c r="B141" i="6" s="1"/>
  <c r="H143" i="5" s="1"/>
  <c r="B22" i="5"/>
  <c r="B103" i="3"/>
  <c r="F105" i="5" s="1"/>
  <c r="U125" i="5"/>
  <c r="B135" i="14"/>
  <c r="T135" i="5" s="1"/>
  <c r="B127" i="5"/>
  <c r="T108" i="5"/>
  <c r="B66" i="5"/>
  <c r="C137" i="14"/>
  <c r="C147" i="14" s="1"/>
  <c r="U147" i="5" s="1"/>
  <c r="B136" i="14"/>
  <c r="B146" i="14" s="1"/>
  <c r="T146" i="5" s="1"/>
  <c r="B75" i="5"/>
  <c r="D110" i="14"/>
  <c r="D137" i="14" s="1"/>
  <c r="D147" i="14" s="1"/>
  <c r="B43" i="5"/>
  <c r="AA123" i="5"/>
  <c r="C150" i="12"/>
  <c r="Q150" i="5" s="1"/>
  <c r="Q140" i="5"/>
  <c r="C148" i="12"/>
  <c r="Q148" i="5" s="1"/>
  <c r="Q138" i="5"/>
  <c r="B150" i="13"/>
  <c r="R150" i="5" s="1"/>
  <c r="R140" i="5"/>
  <c r="B123" i="14"/>
  <c r="T123" i="5" s="1"/>
  <c r="D125" i="15"/>
  <c r="W125" i="5"/>
  <c r="B135" i="15"/>
  <c r="V108" i="5"/>
  <c r="B144" i="16"/>
  <c r="X144" i="5" s="1"/>
  <c r="X134" i="5"/>
  <c r="B113" i="5"/>
  <c r="T137" i="5"/>
  <c r="B144" i="17"/>
  <c r="Z144" i="5" s="1"/>
  <c r="Z134" i="5"/>
  <c r="B144" i="14"/>
  <c r="T144" i="5" s="1"/>
  <c r="T134" i="5"/>
  <c r="B145" i="17"/>
  <c r="Z145" i="5" s="1"/>
  <c r="Z135" i="5"/>
  <c r="L110" i="5"/>
  <c r="B137" i="10"/>
  <c r="D127" i="10"/>
  <c r="M127" i="5"/>
  <c r="D55" i="14"/>
  <c r="T55" i="5"/>
  <c r="C150" i="11"/>
  <c r="O150" i="5" s="1"/>
  <c r="O140" i="5"/>
  <c r="C146" i="12"/>
  <c r="Q146" i="5" s="1"/>
  <c r="B123" i="15"/>
  <c r="V123" i="5" s="1"/>
  <c r="V126" i="5"/>
  <c r="U106" i="5"/>
  <c r="D106" i="14"/>
  <c r="C146" i="9"/>
  <c r="K148" i="5" s="1"/>
  <c r="K138" i="5"/>
  <c r="D126" i="10"/>
  <c r="M126" i="5"/>
  <c r="P105" i="5"/>
  <c r="B143" i="15"/>
  <c r="V143" i="5" s="1"/>
  <c r="V133" i="5"/>
  <c r="B150" i="16"/>
  <c r="X150" i="5" s="1"/>
  <c r="X140" i="5"/>
  <c r="B105" i="17"/>
  <c r="Z105" i="5" s="1"/>
  <c r="D39" i="2"/>
  <c r="D109" i="12"/>
  <c r="Q109" i="5"/>
  <c r="B150" i="17"/>
  <c r="Z150" i="5" s="1"/>
  <c r="Z140" i="5"/>
  <c r="D127" i="13"/>
  <c r="S127" i="5"/>
  <c r="S129" i="5"/>
  <c r="C138" i="13"/>
  <c r="D129" i="13"/>
  <c r="B138" i="14"/>
  <c r="T111" i="5"/>
  <c r="B111" i="5" s="1"/>
  <c r="B149" i="11"/>
  <c r="N149" i="5" s="1"/>
  <c r="N139" i="5"/>
  <c r="B135" i="11"/>
  <c r="R139" i="5"/>
  <c r="B149" i="13"/>
  <c r="R149" i="5" s="1"/>
  <c r="B148" i="10"/>
  <c r="L148" i="5" s="1"/>
  <c r="L138" i="5"/>
  <c r="B146" i="11"/>
  <c r="N146" i="5" s="1"/>
  <c r="N136" i="5"/>
  <c r="B146" i="13"/>
  <c r="R146" i="5" s="1"/>
  <c r="R136" i="5"/>
  <c r="B148" i="9"/>
  <c r="J150" i="5" s="1"/>
  <c r="J140" i="5"/>
  <c r="C144" i="9"/>
  <c r="K146" i="5" s="1"/>
  <c r="K136" i="5"/>
  <c r="C148" i="10"/>
  <c r="M148" i="5" s="1"/>
  <c r="M138" i="5"/>
  <c r="D144" i="12"/>
  <c r="B148" i="13"/>
  <c r="R148" i="5" s="1"/>
  <c r="D126" i="15"/>
  <c r="B133" i="17"/>
  <c r="C146" i="17"/>
  <c r="AA146" i="5" s="1"/>
  <c r="AD30" i="18" s="1"/>
  <c r="AA136" i="5"/>
  <c r="B123" i="11"/>
  <c r="N123" i="5" s="1"/>
  <c r="N125" i="5"/>
  <c r="B125" i="5" s="1"/>
  <c r="D54" i="9"/>
  <c r="J55" i="5"/>
  <c r="B135" i="12"/>
  <c r="P108" i="5"/>
  <c r="B133" i="16"/>
  <c r="M109" i="5"/>
  <c r="D109" i="10"/>
  <c r="D126" i="16"/>
  <c r="Y126" i="5"/>
  <c r="B149" i="17"/>
  <c r="Z149" i="5" s="1"/>
  <c r="Z139" i="5"/>
  <c r="D111" i="13"/>
  <c r="B146" i="10"/>
  <c r="L146" i="5" s="1"/>
  <c r="L136" i="5"/>
  <c r="Z129" i="5"/>
  <c r="B129" i="5" s="1"/>
  <c r="B138" i="17"/>
  <c r="D134" i="9"/>
  <c r="D144" i="9" s="1"/>
  <c r="D112" i="13"/>
  <c r="S112" i="5"/>
  <c r="D113" i="14"/>
  <c r="U113" i="5"/>
  <c r="D125" i="17"/>
  <c r="AA125" i="5"/>
  <c r="D55" i="13"/>
  <c r="R55" i="5"/>
  <c r="D109" i="13"/>
  <c r="S109" i="5"/>
  <c r="D112" i="14"/>
  <c r="U112" i="5"/>
  <c r="D126" i="11"/>
  <c r="O126" i="5"/>
  <c r="C147" i="12"/>
  <c r="Q147" i="5" s="1"/>
  <c r="Q137" i="5"/>
  <c r="B133" i="14"/>
  <c r="P106" i="5"/>
  <c r="B106" i="5" s="1"/>
  <c r="B133" i="12"/>
  <c r="B121" i="9"/>
  <c r="J123" i="5" s="1"/>
  <c r="B141" i="9"/>
  <c r="J143" i="5" s="1"/>
  <c r="J133" i="5"/>
  <c r="D108" i="15"/>
  <c r="D113" i="15"/>
  <c r="W113" i="5"/>
  <c r="D112" i="16"/>
  <c r="Y112" i="5"/>
  <c r="D126" i="17"/>
  <c r="AA126" i="5"/>
  <c r="L140" i="5"/>
  <c r="B150" i="10"/>
  <c r="L150" i="5" s="1"/>
  <c r="D136" i="11"/>
  <c r="D146" i="11" s="1"/>
  <c r="B122" i="2"/>
  <c r="D124" i="5" s="1"/>
  <c r="B124" i="5" s="1"/>
  <c r="C145" i="9"/>
  <c r="K147" i="5" s="1"/>
  <c r="K137" i="5"/>
  <c r="D128" i="10"/>
  <c r="M128" i="5"/>
  <c r="C146" i="11"/>
  <c r="O146" i="5" s="1"/>
  <c r="O136" i="5"/>
  <c r="B147" i="11"/>
  <c r="N147" i="5" s="1"/>
  <c r="N137" i="5"/>
  <c r="D137" i="12"/>
  <c r="D147" i="12" s="1"/>
  <c r="D113" i="13"/>
  <c r="S113" i="5"/>
  <c r="B144" i="13"/>
  <c r="R144" i="5" s="1"/>
  <c r="R134" i="5"/>
  <c r="C133" i="14"/>
  <c r="C143" i="14" s="1"/>
  <c r="U143" i="5" s="1"/>
  <c r="B105" i="14"/>
  <c r="T105" i="5" s="1"/>
  <c r="D124" i="15"/>
  <c r="D112" i="15"/>
  <c r="W112" i="5"/>
  <c r="D113" i="16"/>
  <c r="Y113" i="5"/>
  <c r="D55" i="17"/>
  <c r="Z55" i="5"/>
  <c r="D106" i="17"/>
  <c r="C148" i="17"/>
  <c r="AA148" i="5" s="1"/>
  <c r="AD32" i="18" s="1"/>
  <c r="AA138" i="5"/>
  <c r="C134" i="6"/>
  <c r="C144" i="6" s="1"/>
  <c r="I146" i="5" s="1"/>
  <c r="B146" i="16"/>
  <c r="X146" i="5" s="1"/>
  <c r="X136" i="5"/>
  <c r="D55" i="16"/>
  <c r="R110" i="5"/>
  <c r="B137" i="13"/>
  <c r="B136" i="12"/>
  <c r="P109" i="5"/>
  <c r="Q129" i="5"/>
  <c r="D129" i="12"/>
  <c r="D113" i="17"/>
  <c r="AA113" i="5"/>
  <c r="C105" i="17"/>
  <c r="AA105" i="5" s="1"/>
  <c r="D3" i="5"/>
  <c r="K133" i="5"/>
  <c r="I127" i="5"/>
  <c r="B148" i="11"/>
  <c r="N148" i="5" s="1"/>
  <c r="N138" i="5"/>
  <c r="O129" i="5"/>
  <c r="D129" i="11"/>
  <c r="B149" i="16"/>
  <c r="X149" i="5" s="1"/>
  <c r="X139" i="5"/>
  <c r="V136" i="5"/>
  <c r="B146" i="15"/>
  <c r="V146" i="5" s="1"/>
  <c r="B148" i="12"/>
  <c r="P148" i="5" s="1"/>
  <c r="P138" i="5"/>
  <c r="B132" i="9"/>
  <c r="C105" i="15"/>
  <c r="W105" i="5" s="1"/>
  <c r="W107" i="5"/>
  <c r="D131" i="9"/>
  <c r="D141" i="9" s="1"/>
  <c r="D125" i="10"/>
  <c r="M125" i="5"/>
  <c r="D135" i="9"/>
  <c r="D145" i="9" s="1"/>
  <c r="D123" i="9"/>
  <c r="K125" i="5"/>
  <c r="B144" i="10"/>
  <c r="L144" i="5" s="1"/>
  <c r="L134" i="5"/>
  <c r="C147" i="11"/>
  <c r="O147" i="5" s="1"/>
  <c r="O137" i="5"/>
  <c r="B144" i="12"/>
  <c r="P144" i="5" s="1"/>
  <c r="P134" i="5"/>
  <c r="B135" i="13"/>
  <c r="R108" i="5"/>
  <c r="C147" i="13"/>
  <c r="S147" i="5" s="1"/>
  <c r="S137" i="5"/>
  <c r="D126" i="14"/>
  <c r="U126" i="5"/>
  <c r="C123" i="15"/>
  <c r="W123" i="5" s="1"/>
  <c r="C136" i="10"/>
  <c r="B147" i="12"/>
  <c r="P147" i="5" s="1"/>
  <c r="P137" i="5"/>
  <c r="D112" i="12"/>
  <c r="Q112" i="5"/>
  <c r="B123" i="13"/>
  <c r="R123" i="5" s="1"/>
  <c r="R126" i="5"/>
  <c r="D137" i="13"/>
  <c r="D147" i="13" s="1"/>
  <c r="D111" i="14"/>
  <c r="U111" i="5"/>
  <c r="B105" i="15"/>
  <c r="V105" i="5" s="1"/>
  <c r="C133" i="15"/>
  <c r="C143" i="15" s="1"/>
  <c r="W143" i="5" s="1"/>
  <c r="D127" i="16"/>
  <c r="Y127" i="5"/>
  <c r="B123" i="16"/>
  <c r="D112" i="17"/>
  <c r="AA112" i="5"/>
  <c r="B144" i="9"/>
  <c r="J146" i="5" s="1"/>
  <c r="J136" i="5"/>
  <c r="B150" i="15"/>
  <c r="V150" i="5" s="1"/>
  <c r="V140" i="5"/>
  <c r="B146" i="9"/>
  <c r="J148" i="5" s="1"/>
  <c r="J138" i="5"/>
  <c r="B144" i="15"/>
  <c r="V144" i="5" s="1"/>
  <c r="V134" i="5"/>
  <c r="B149" i="15"/>
  <c r="V149" i="5" s="1"/>
  <c r="V139" i="5"/>
  <c r="B145" i="9"/>
  <c r="J147" i="5" s="1"/>
  <c r="J137" i="5"/>
  <c r="C137" i="17"/>
  <c r="AA128" i="5"/>
  <c r="D128" i="17"/>
  <c r="D127" i="12"/>
  <c r="C150" i="10"/>
  <c r="M150" i="5" s="1"/>
  <c r="M140" i="5"/>
  <c r="D127" i="15"/>
  <c r="W127" i="5"/>
  <c r="D111" i="9"/>
  <c r="K113" i="5"/>
  <c r="D110" i="9"/>
  <c r="K112" i="5"/>
  <c r="D112" i="10"/>
  <c r="M112" i="5"/>
  <c r="C148" i="11"/>
  <c r="O148" i="5" s="1"/>
  <c r="O138" i="5"/>
  <c r="D127" i="14"/>
  <c r="U127" i="5"/>
  <c r="D124" i="14"/>
  <c r="D128" i="15"/>
  <c r="W128" i="5"/>
  <c r="D129" i="16"/>
  <c r="B149" i="10"/>
  <c r="L149" i="5" s="1"/>
  <c r="L139" i="5"/>
  <c r="B147" i="9"/>
  <c r="J149" i="5" s="1"/>
  <c r="J139" i="5"/>
  <c r="B138" i="16"/>
  <c r="B149" i="12"/>
  <c r="P149" i="5" s="1"/>
  <c r="P139" i="5"/>
  <c r="B123" i="10"/>
  <c r="L123" i="5" s="1"/>
  <c r="D110" i="17"/>
  <c r="AA110" i="5"/>
  <c r="D133" i="6"/>
  <c r="D143" i="6" s="1"/>
  <c r="D51" i="6"/>
  <c r="B107" i="5"/>
  <c r="B144" i="6"/>
  <c r="H146" i="5" s="1"/>
  <c r="H136" i="5"/>
  <c r="H55" i="5"/>
  <c r="D54" i="6"/>
  <c r="B143" i="6"/>
  <c r="H145" i="5" s="1"/>
  <c r="H135" i="5"/>
  <c r="B145" i="6"/>
  <c r="H147" i="5" s="1"/>
  <c r="H137" i="5"/>
  <c r="B146" i="6"/>
  <c r="H148" i="5" s="1"/>
  <c r="H138" i="5"/>
  <c r="C43" i="5"/>
  <c r="B142" i="6"/>
  <c r="H144" i="5" s="1"/>
  <c r="H134" i="5"/>
  <c r="D123" i="6"/>
  <c r="I125" i="5"/>
  <c r="D126" i="6"/>
  <c r="I128" i="5"/>
  <c r="D110" i="6"/>
  <c r="I112" i="5"/>
  <c r="C146" i="6"/>
  <c r="I148" i="5" s="1"/>
  <c r="I138" i="5"/>
  <c r="D111" i="6"/>
  <c r="I113" i="5"/>
  <c r="I129" i="5"/>
  <c r="D127" i="6"/>
  <c r="C136" i="3"/>
  <c r="C146" i="3" s="1"/>
  <c r="G148" i="5" s="1"/>
  <c r="D125" i="3"/>
  <c r="D134" i="3" s="1"/>
  <c r="D144" i="3" s="1"/>
  <c r="C134" i="3"/>
  <c r="C144" i="3" s="1"/>
  <c r="G146" i="5" s="1"/>
  <c r="D124" i="3"/>
  <c r="G126" i="5"/>
  <c r="D123" i="3"/>
  <c r="G125" i="5"/>
  <c r="B144" i="3"/>
  <c r="F146" i="5" s="1"/>
  <c r="F136" i="5"/>
  <c r="D111" i="3"/>
  <c r="G113" i="5"/>
  <c r="D128" i="3"/>
  <c r="B142" i="3"/>
  <c r="F144" i="5" s="1"/>
  <c r="F134" i="5"/>
  <c r="B147" i="3"/>
  <c r="F149" i="5" s="1"/>
  <c r="F139" i="5"/>
  <c r="B141" i="3"/>
  <c r="F143" i="5" s="1"/>
  <c r="F133" i="5"/>
  <c r="D54" i="3"/>
  <c r="G55" i="5"/>
  <c r="C55" i="5" s="1"/>
  <c r="C137" i="3"/>
  <c r="D110" i="3"/>
  <c r="G112" i="5"/>
  <c r="B145" i="3"/>
  <c r="F147" i="5" s="1"/>
  <c r="F137" i="5"/>
  <c r="B146" i="3"/>
  <c r="F148" i="5" s="1"/>
  <c r="F138" i="5"/>
  <c r="B148" i="3"/>
  <c r="F150" i="5" s="1"/>
  <c r="F140" i="5"/>
  <c r="D126" i="3"/>
  <c r="G128" i="5"/>
  <c r="B143" i="3"/>
  <c r="F145" i="5" s="1"/>
  <c r="F135" i="5"/>
  <c r="D30" i="2"/>
  <c r="C144" i="13"/>
  <c r="S144" i="5" s="1"/>
  <c r="S134" i="5"/>
  <c r="C144" i="12"/>
  <c r="Q144" i="5" s="1"/>
  <c r="Q134" i="5"/>
  <c r="C143" i="9"/>
  <c r="K145" i="5" s="1"/>
  <c r="K135" i="5"/>
  <c r="D128" i="2"/>
  <c r="E130" i="5"/>
  <c r="C111" i="2"/>
  <c r="E49" i="5"/>
  <c r="C49" i="5" s="1"/>
  <c r="C108" i="2"/>
  <c r="E110" i="5" s="1"/>
  <c r="E40" i="5"/>
  <c r="C40" i="5" s="1"/>
  <c r="D3" i="2"/>
  <c r="D12" i="2"/>
  <c r="B138" i="2"/>
  <c r="D131" i="5"/>
  <c r="B131" i="5" s="1"/>
  <c r="C106" i="2"/>
  <c r="E22" i="5"/>
  <c r="C22" i="5" s="1"/>
  <c r="C104" i="2"/>
  <c r="E3" i="5"/>
  <c r="C3" i="5" s="1"/>
  <c r="C105" i="2"/>
  <c r="E107" i="5" s="1"/>
  <c r="C107" i="5" s="1"/>
  <c r="E13" i="5"/>
  <c r="C13" i="5" s="1"/>
  <c r="C135" i="17"/>
  <c r="D108" i="17"/>
  <c r="C140" i="17"/>
  <c r="D131" i="17"/>
  <c r="D107" i="17"/>
  <c r="C134" i="17"/>
  <c r="C139" i="17"/>
  <c r="D130" i="17"/>
  <c r="C139" i="16"/>
  <c r="D130" i="16"/>
  <c r="C140" i="16"/>
  <c r="D131" i="16"/>
  <c r="D106" i="16"/>
  <c r="C105" i="16"/>
  <c r="Y105" i="5" s="1"/>
  <c r="C133" i="16"/>
  <c r="D109" i="16"/>
  <c r="C136" i="16"/>
  <c r="C123" i="16"/>
  <c r="D124" i="16"/>
  <c r="C135" i="16"/>
  <c r="D108" i="16"/>
  <c r="D107" i="15"/>
  <c r="C134" i="15"/>
  <c r="D109" i="15"/>
  <c r="C136" i="15"/>
  <c r="D110" i="15"/>
  <c r="C137" i="15"/>
  <c r="C140" i="15"/>
  <c r="D131" i="15"/>
  <c r="D140" i="15" s="1"/>
  <c r="D150" i="15" s="1"/>
  <c r="C139" i="15"/>
  <c r="D130" i="15"/>
  <c r="C140" i="14"/>
  <c r="D131" i="14"/>
  <c r="C123" i="14"/>
  <c r="D130" i="14"/>
  <c r="C139" i="14"/>
  <c r="C135" i="14"/>
  <c r="D108" i="14"/>
  <c r="C105" i="14"/>
  <c r="U105" i="5" s="1"/>
  <c r="D109" i="14"/>
  <c r="C136" i="14"/>
  <c r="C138" i="14"/>
  <c r="D129" i="14"/>
  <c r="C139" i="13"/>
  <c r="D130" i="13"/>
  <c r="C123" i="13"/>
  <c r="D124" i="13"/>
  <c r="D106" i="13"/>
  <c r="C105" i="13"/>
  <c r="S105" i="5" s="1"/>
  <c r="C133" i="13"/>
  <c r="C140" i="13"/>
  <c r="D131" i="13"/>
  <c r="D134" i="11"/>
  <c r="D144" i="11" s="1"/>
  <c r="D106" i="12"/>
  <c r="C105" i="12"/>
  <c r="Q105" i="5" s="1"/>
  <c r="C133" i="12"/>
  <c r="C139" i="12"/>
  <c r="D130" i="12"/>
  <c r="C123" i="12"/>
  <c r="D124" i="12"/>
  <c r="C123" i="11"/>
  <c r="D124" i="11"/>
  <c r="D106" i="11"/>
  <c r="C105" i="11"/>
  <c r="O105" i="5" s="1"/>
  <c r="C133" i="11"/>
  <c r="D138" i="11"/>
  <c r="D139" i="11"/>
  <c r="C135" i="11"/>
  <c r="D108" i="11"/>
  <c r="D107" i="10"/>
  <c r="C134" i="10"/>
  <c r="C139" i="10"/>
  <c r="D130" i="10"/>
  <c r="D138" i="10" s="1"/>
  <c r="D108" i="10"/>
  <c r="C135" i="10"/>
  <c r="D106" i="10"/>
  <c r="C105" i="10"/>
  <c r="M105" i="5" s="1"/>
  <c r="C133" i="10"/>
  <c r="D110" i="10"/>
  <c r="D137" i="10" s="1"/>
  <c r="D147" i="10" s="1"/>
  <c r="C137" i="10"/>
  <c r="C123" i="10"/>
  <c r="D124" i="10"/>
  <c r="D133" i="9"/>
  <c r="D143" i="9" s="1"/>
  <c r="C138" i="9"/>
  <c r="D129" i="9"/>
  <c r="D138" i="9" s="1"/>
  <c r="D148" i="9" s="1"/>
  <c r="C137" i="9"/>
  <c r="D128" i="9"/>
  <c r="D137" i="9" s="1"/>
  <c r="C121" i="9"/>
  <c r="C103" i="9"/>
  <c r="K105" i="5" s="1"/>
  <c r="D105" i="9"/>
  <c r="C132" i="9"/>
  <c r="B133" i="2"/>
  <c r="D126" i="5"/>
  <c r="B135" i="2"/>
  <c r="D128" i="5"/>
  <c r="C107" i="2"/>
  <c r="E109" i="5" s="1"/>
  <c r="E31" i="5"/>
  <c r="C31" i="5" s="1"/>
  <c r="D104" i="6"/>
  <c r="C103" i="6"/>
  <c r="I105" i="5" s="1"/>
  <c r="C131" i="6"/>
  <c r="C137" i="6"/>
  <c r="D128" i="6"/>
  <c r="D105" i="6"/>
  <c r="C132" i="6"/>
  <c r="D108" i="6"/>
  <c r="C135" i="6"/>
  <c r="C138" i="6"/>
  <c r="D129" i="6"/>
  <c r="C121" i="6"/>
  <c r="D122" i="6"/>
  <c r="C133" i="3"/>
  <c r="D106" i="3"/>
  <c r="D108" i="3"/>
  <c r="C135" i="3"/>
  <c r="C138" i="3"/>
  <c r="D129" i="3"/>
  <c r="D122" i="3"/>
  <c r="C121" i="3"/>
  <c r="C103" i="3"/>
  <c r="G105" i="5" s="1"/>
  <c r="D104" i="3"/>
  <c r="C131" i="3"/>
  <c r="D105" i="3"/>
  <c r="C132" i="3"/>
  <c r="B136" i="2"/>
  <c r="C137" i="2"/>
  <c r="D127" i="2"/>
  <c r="D110" i="2"/>
  <c r="D109" i="2"/>
  <c r="C123" i="2"/>
  <c r="D123" i="2" s="1"/>
  <c r="C136" i="2"/>
  <c r="D54" i="2"/>
  <c r="E51" i="2"/>
  <c r="F51" i="2"/>
  <c r="B103" i="2"/>
  <c r="D105" i="5" s="1"/>
  <c r="C126" i="2"/>
  <c r="C129" i="2"/>
  <c r="E131" i="5" s="1"/>
  <c r="C131" i="5" s="1"/>
  <c r="B137" i="2"/>
  <c r="D139" i="5" s="1"/>
  <c r="C122" i="2"/>
  <c r="E124" i="5" s="1"/>
  <c r="C124" i="5" s="1"/>
  <c r="C124" i="2"/>
  <c r="E126" i="5" s="1"/>
  <c r="B134" i="2"/>
  <c r="B132" i="2"/>
  <c r="C51" i="2"/>
  <c r="E52" i="5" s="1"/>
  <c r="C125" i="2"/>
  <c r="E127" i="5" s="1"/>
  <c r="C128" i="1"/>
  <c r="C137" i="1" s="1"/>
  <c r="C147" i="1" s="1"/>
  <c r="C127" i="1"/>
  <c r="C136" i="1" s="1"/>
  <c r="B109" i="1"/>
  <c r="D109" i="1" s="1"/>
  <c r="B127" i="1"/>
  <c r="B110" i="1"/>
  <c r="D110" i="1" s="1"/>
  <c r="B128" i="1"/>
  <c r="C91" i="1"/>
  <c r="C82" i="1"/>
  <c r="C73" i="1"/>
  <c r="C64" i="1"/>
  <c r="B8" i="1"/>
  <c r="B9" i="1"/>
  <c r="F50" i="1"/>
  <c r="E50" i="1"/>
  <c r="F49" i="1"/>
  <c r="E49" i="1"/>
  <c r="F41" i="1"/>
  <c r="E41" i="1"/>
  <c r="F40" i="1"/>
  <c r="E40" i="1"/>
  <c r="F34" i="1"/>
  <c r="E34" i="1"/>
  <c r="F33" i="1"/>
  <c r="E33" i="1"/>
  <c r="F32" i="1"/>
  <c r="E32" i="1"/>
  <c r="F31" i="1"/>
  <c r="E31" i="1"/>
  <c r="F29" i="1"/>
  <c r="E29" i="1"/>
  <c r="F27" i="1"/>
  <c r="E27" i="1"/>
  <c r="F25" i="1"/>
  <c r="E25" i="1"/>
  <c r="F24" i="1"/>
  <c r="E24" i="1"/>
  <c r="F23" i="1"/>
  <c r="E23" i="1"/>
  <c r="F22" i="1"/>
  <c r="E22" i="1"/>
  <c r="F20" i="1"/>
  <c r="E20" i="1"/>
  <c r="F16" i="1"/>
  <c r="E16" i="1"/>
  <c r="F15" i="1"/>
  <c r="E15" i="1"/>
  <c r="F14" i="1"/>
  <c r="E14" i="1"/>
  <c r="F13" i="1"/>
  <c r="E13" i="1"/>
  <c r="F11" i="1"/>
  <c r="E11" i="1"/>
  <c r="F9" i="1"/>
  <c r="E9" i="1"/>
  <c r="F8" i="1"/>
  <c r="E8" i="1"/>
  <c r="F7" i="1"/>
  <c r="E7" i="1"/>
  <c r="F6" i="1"/>
  <c r="E6" i="1"/>
  <c r="F5" i="1"/>
  <c r="E5" i="1"/>
  <c r="F4" i="1"/>
  <c r="E4" i="1"/>
  <c r="D50" i="1"/>
  <c r="D49" i="1"/>
  <c r="C41" i="1"/>
  <c r="D41" i="1" s="1"/>
  <c r="C40" i="1"/>
  <c r="D40" i="1" s="1"/>
  <c r="C34" i="1"/>
  <c r="D34" i="1" s="1"/>
  <c r="C33" i="1"/>
  <c r="D33" i="1" s="1"/>
  <c r="C32" i="1"/>
  <c r="D32" i="1" s="1"/>
  <c r="C31" i="1"/>
  <c r="D31" i="1" s="1"/>
  <c r="C29" i="1"/>
  <c r="D29" i="1" s="1"/>
  <c r="C27" i="1"/>
  <c r="D27" i="1" s="1"/>
  <c r="C25" i="1"/>
  <c r="D25" i="1" s="1"/>
  <c r="C24" i="1"/>
  <c r="D24" i="1" s="1"/>
  <c r="C23" i="1"/>
  <c r="D23" i="1" s="1"/>
  <c r="C22" i="1"/>
  <c r="C20" i="1"/>
  <c r="D20" i="1" s="1"/>
  <c r="C16" i="1"/>
  <c r="D16" i="1" s="1"/>
  <c r="C15" i="1"/>
  <c r="D15" i="1" s="1"/>
  <c r="C14" i="1"/>
  <c r="D14" i="1" s="1"/>
  <c r="C13" i="1"/>
  <c r="C11" i="1"/>
  <c r="D11" i="1" s="1"/>
  <c r="C9" i="1"/>
  <c r="C8" i="1"/>
  <c r="C7" i="1"/>
  <c r="D7" i="1" s="1"/>
  <c r="C6" i="1"/>
  <c r="C5" i="1"/>
  <c r="C4" i="1"/>
  <c r="D4" i="1" s="1"/>
  <c r="B48" i="1"/>
  <c r="B39" i="1"/>
  <c r="B126" i="1" s="1"/>
  <c r="B30" i="1"/>
  <c r="B125" i="1" s="1"/>
  <c r="B21" i="1"/>
  <c r="B124" i="1" s="1"/>
  <c r="B12" i="1"/>
  <c r="B123" i="1" s="1"/>
  <c r="B100" i="1"/>
  <c r="B91" i="1"/>
  <c r="B82" i="1"/>
  <c r="B73" i="1"/>
  <c r="B64" i="1"/>
  <c r="B55" i="1"/>
  <c r="Z136" i="5" l="1"/>
  <c r="C111" i="5"/>
  <c r="D134" i="16"/>
  <c r="D144" i="16" s="1"/>
  <c r="D137" i="16"/>
  <c r="D147" i="16" s="1"/>
  <c r="C144" i="16"/>
  <c r="Y144" i="5" s="1"/>
  <c r="AC28" i="18" s="1"/>
  <c r="B128" i="5"/>
  <c r="X137" i="5"/>
  <c r="D138" i="16"/>
  <c r="D140" i="16"/>
  <c r="D150" i="16" s="1"/>
  <c r="Y137" i="5"/>
  <c r="C148" i="16"/>
  <c r="Y148" i="5" s="1"/>
  <c r="AC32" i="18" s="1"/>
  <c r="AE32" i="18" s="1"/>
  <c r="C145" i="15"/>
  <c r="W145" i="5" s="1"/>
  <c r="L135" i="5"/>
  <c r="C130" i="5"/>
  <c r="W138" i="5"/>
  <c r="C145" i="12"/>
  <c r="Q145" i="5" s="1"/>
  <c r="B145" i="14"/>
  <c r="T145" i="5" s="1"/>
  <c r="D105" i="2"/>
  <c r="C144" i="14"/>
  <c r="U144" i="5" s="1"/>
  <c r="C52" i="5"/>
  <c r="X123" i="5"/>
  <c r="B132" i="16"/>
  <c r="B142" i="16" s="1"/>
  <c r="X142" i="5" s="1"/>
  <c r="X135" i="5"/>
  <c r="D133" i="17"/>
  <c r="D143" i="17" s="1"/>
  <c r="D137" i="17"/>
  <c r="D147" i="17" s="1"/>
  <c r="D138" i="17"/>
  <c r="B109" i="5"/>
  <c r="D137" i="15"/>
  <c r="D147" i="15" s="1"/>
  <c r="D133" i="15"/>
  <c r="D143" i="15" s="1"/>
  <c r="D140" i="17"/>
  <c r="D150" i="17" s="1"/>
  <c r="D123" i="17"/>
  <c r="C143" i="17"/>
  <c r="AA143" i="5" s="1"/>
  <c r="AD27" i="18" s="1"/>
  <c r="AA133" i="5"/>
  <c r="D136" i="16"/>
  <c r="D146" i="16" s="1"/>
  <c r="B148" i="15"/>
  <c r="V148" i="5" s="1"/>
  <c r="D135" i="15"/>
  <c r="D145" i="15" s="1"/>
  <c r="D139" i="15"/>
  <c r="D134" i="15"/>
  <c r="D144" i="15" s="1"/>
  <c r="C132" i="15"/>
  <c r="C142" i="15" s="1"/>
  <c r="W142" i="5" s="1"/>
  <c r="W133" i="5"/>
  <c r="R133" i="5"/>
  <c r="N134" i="5"/>
  <c r="B143" i="11"/>
  <c r="N143" i="5" s="1"/>
  <c r="D140" i="13"/>
  <c r="D150" i="13" s="1"/>
  <c r="B132" i="13"/>
  <c r="R132" i="5" s="1"/>
  <c r="R152" i="5" s="1"/>
  <c r="D136" i="13"/>
  <c r="D146" i="13" s="1"/>
  <c r="C145" i="13"/>
  <c r="S145" i="5" s="1"/>
  <c r="S136" i="5"/>
  <c r="B110" i="5"/>
  <c r="D138" i="13"/>
  <c r="D136" i="12"/>
  <c r="D146" i="12" s="1"/>
  <c r="D138" i="12"/>
  <c r="B132" i="12"/>
  <c r="B142" i="12" s="1"/>
  <c r="P142" i="5" s="1"/>
  <c r="C129" i="5"/>
  <c r="C149" i="11"/>
  <c r="O149" i="5" s="1"/>
  <c r="O139" i="5"/>
  <c r="D135" i="10"/>
  <c r="D145" i="10" s="1"/>
  <c r="L133" i="5"/>
  <c r="D134" i="10"/>
  <c r="D144" i="10" s="1"/>
  <c r="B143" i="9"/>
  <c r="J145" i="5" s="1"/>
  <c r="B132" i="10"/>
  <c r="B142" i="10" s="1"/>
  <c r="L142" i="5" s="1"/>
  <c r="D132" i="9"/>
  <c r="D142" i="9" s="1"/>
  <c r="B130" i="9"/>
  <c r="J132" i="5" s="1"/>
  <c r="J152" i="5" s="1"/>
  <c r="I135" i="5"/>
  <c r="B130" i="6"/>
  <c r="B150" i="6" s="1"/>
  <c r="I136" i="5"/>
  <c r="H133" i="5"/>
  <c r="B139" i="5"/>
  <c r="B130" i="3"/>
  <c r="F132" i="5" s="1"/>
  <c r="F152" i="5" s="1"/>
  <c r="B121" i="2"/>
  <c r="D123" i="5" s="1"/>
  <c r="B131" i="2"/>
  <c r="B141" i="2" s="1"/>
  <c r="D143" i="5" s="1"/>
  <c r="C103" i="2"/>
  <c r="E105" i="5" s="1"/>
  <c r="C105" i="5" s="1"/>
  <c r="U137" i="5"/>
  <c r="D135" i="14"/>
  <c r="D145" i="14" s="1"/>
  <c r="T136" i="5"/>
  <c r="B108" i="5"/>
  <c r="D140" i="14"/>
  <c r="D150" i="14" s="1"/>
  <c r="D133" i="14"/>
  <c r="D143" i="14" s="1"/>
  <c r="C147" i="10"/>
  <c r="M147" i="5" s="1"/>
  <c r="M137" i="5"/>
  <c r="D123" i="11"/>
  <c r="O123" i="5"/>
  <c r="C146" i="10"/>
  <c r="M146" i="5" s="1"/>
  <c r="M136" i="5"/>
  <c r="B148" i="14"/>
  <c r="T148" i="5" s="1"/>
  <c r="T138" i="5"/>
  <c r="D135" i="11"/>
  <c r="D145" i="11" s="1"/>
  <c r="B147" i="10"/>
  <c r="L147" i="5" s="1"/>
  <c r="L137" i="5"/>
  <c r="C109" i="5"/>
  <c r="D123" i="14"/>
  <c r="U123" i="5"/>
  <c r="C147" i="15"/>
  <c r="W147" i="5" s="1"/>
  <c r="W137" i="5"/>
  <c r="B132" i="15"/>
  <c r="D139" i="16"/>
  <c r="D149" i="16" s="1"/>
  <c r="B147" i="13"/>
  <c r="R147" i="5" s="1"/>
  <c r="R137" i="5"/>
  <c r="B143" i="16"/>
  <c r="X143" i="5" s="1"/>
  <c r="X133" i="5"/>
  <c r="C148" i="13"/>
  <c r="S148" i="5" s="1"/>
  <c r="S138" i="5"/>
  <c r="B132" i="11"/>
  <c r="D123" i="10"/>
  <c r="M123" i="5"/>
  <c r="C149" i="15"/>
  <c r="W149" i="5" s="1"/>
  <c r="W139" i="5"/>
  <c r="D123" i="16"/>
  <c r="Y123" i="5"/>
  <c r="D136" i="10"/>
  <c r="D146" i="10" s="1"/>
  <c r="C150" i="13"/>
  <c r="S150" i="5" s="1"/>
  <c r="S140" i="5"/>
  <c r="C148" i="14"/>
  <c r="U148" i="5" s="1"/>
  <c r="U138" i="5"/>
  <c r="B143" i="17"/>
  <c r="Z143" i="5" s="1"/>
  <c r="Z133" i="5"/>
  <c r="B143" i="12"/>
  <c r="P143" i="5" s="1"/>
  <c r="P133" i="5"/>
  <c r="C146" i="16"/>
  <c r="Y146" i="5" s="1"/>
  <c r="AC30" i="18" s="1"/>
  <c r="AE30" i="18" s="1"/>
  <c r="Y136" i="5"/>
  <c r="C150" i="16"/>
  <c r="Y150" i="5" s="1"/>
  <c r="AC34" i="18" s="1"/>
  <c r="Y140" i="5"/>
  <c r="C150" i="17"/>
  <c r="AA150" i="5" s="1"/>
  <c r="AD34" i="18" s="1"/>
  <c r="AA140" i="5"/>
  <c r="C149" i="13"/>
  <c r="S149" i="5" s="1"/>
  <c r="S139" i="5"/>
  <c r="C149" i="14"/>
  <c r="U149" i="5" s="1"/>
  <c r="U139" i="5"/>
  <c r="C127" i="5"/>
  <c r="C150" i="15"/>
  <c r="W150" i="5" s="1"/>
  <c r="W140" i="5"/>
  <c r="C149" i="16"/>
  <c r="Y149" i="5" s="1"/>
  <c r="AC33" i="18" s="1"/>
  <c r="Y139" i="5"/>
  <c r="C147" i="9"/>
  <c r="K149" i="5" s="1"/>
  <c r="K139" i="5"/>
  <c r="D123" i="12"/>
  <c r="Q123" i="5"/>
  <c r="C149" i="17"/>
  <c r="AA149" i="5" s="1"/>
  <c r="AD33" i="18" s="1"/>
  <c r="AA139" i="5"/>
  <c r="C112" i="5"/>
  <c r="C146" i="14"/>
  <c r="U146" i="5" s="1"/>
  <c r="U136" i="5"/>
  <c r="C150" i="14"/>
  <c r="U150" i="5" s="1"/>
  <c r="U140" i="5"/>
  <c r="D105" i="15"/>
  <c r="B132" i="17"/>
  <c r="Z132" i="5" s="1"/>
  <c r="Z152" i="5" s="1"/>
  <c r="D105" i="17"/>
  <c r="D51" i="2"/>
  <c r="B143" i="14"/>
  <c r="T143" i="5" s="1"/>
  <c r="T133" i="5"/>
  <c r="B145" i="12"/>
  <c r="P145" i="5" s="1"/>
  <c r="P135" i="5"/>
  <c r="D135" i="17"/>
  <c r="D145" i="17" s="1"/>
  <c r="B146" i="12"/>
  <c r="P146" i="5" s="1"/>
  <c r="P136" i="5"/>
  <c r="C132" i="17"/>
  <c r="AA132" i="5" s="1"/>
  <c r="D132" i="3"/>
  <c r="D142" i="3" s="1"/>
  <c r="B126" i="5"/>
  <c r="C148" i="9"/>
  <c r="K150" i="5" s="1"/>
  <c r="K140" i="5"/>
  <c r="C149" i="12"/>
  <c r="Q149" i="5" s="1"/>
  <c r="Q139" i="5"/>
  <c r="D136" i="14"/>
  <c r="D146" i="14" s="1"/>
  <c r="D123" i="15"/>
  <c r="D135" i="16"/>
  <c r="D145" i="16" s="1"/>
  <c r="B55" i="5"/>
  <c r="B142" i="9"/>
  <c r="J144" i="5" s="1"/>
  <c r="J134" i="5"/>
  <c r="V135" i="5"/>
  <c r="B145" i="15"/>
  <c r="V145" i="5" s="1"/>
  <c r="B132" i="14"/>
  <c r="C146" i="15"/>
  <c r="W146" i="5" s="1"/>
  <c r="W136" i="5"/>
  <c r="D133" i="16"/>
  <c r="D143" i="16" s="1"/>
  <c r="U133" i="5"/>
  <c r="B148" i="16"/>
  <c r="X148" i="5" s="1"/>
  <c r="X138" i="5"/>
  <c r="AA137" i="5"/>
  <c r="C147" i="17"/>
  <c r="AA147" i="5" s="1"/>
  <c r="AD31" i="18" s="1"/>
  <c r="AE31" i="18" s="1"/>
  <c r="B145" i="11"/>
  <c r="N145" i="5" s="1"/>
  <c r="N135" i="5"/>
  <c r="D123" i="13"/>
  <c r="S123" i="5"/>
  <c r="B145" i="13"/>
  <c r="R145" i="5" s="1"/>
  <c r="R135" i="5"/>
  <c r="D121" i="9"/>
  <c r="K123" i="5"/>
  <c r="D138" i="14"/>
  <c r="C149" i="10"/>
  <c r="M149" i="5" s="1"/>
  <c r="M139" i="5"/>
  <c r="D133" i="11"/>
  <c r="D143" i="11" s="1"/>
  <c r="D136" i="15"/>
  <c r="D146" i="15" s="1"/>
  <c r="D134" i="17"/>
  <c r="D144" i="17" s="1"/>
  <c r="C110" i="5"/>
  <c r="Z138" i="5"/>
  <c r="B148" i="17"/>
  <c r="Z148" i="5" s="1"/>
  <c r="D132" i="6"/>
  <c r="D142" i="6" s="1"/>
  <c r="D136" i="6"/>
  <c r="D137" i="6"/>
  <c r="D147" i="6" s="1"/>
  <c r="B105" i="5"/>
  <c r="C145" i="6"/>
  <c r="I147" i="5" s="1"/>
  <c r="I137" i="5"/>
  <c r="D121" i="6"/>
  <c r="I123" i="5"/>
  <c r="D135" i="6"/>
  <c r="D145" i="6" s="1"/>
  <c r="C147" i="6"/>
  <c r="I149" i="5" s="1"/>
  <c r="I139" i="5"/>
  <c r="C148" i="6"/>
  <c r="I150" i="5" s="1"/>
  <c r="I140" i="5"/>
  <c r="D138" i="6"/>
  <c r="D148" i="6" s="1"/>
  <c r="D131" i="6"/>
  <c r="D141" i="6" s="1"/>
  <c r="G138" i="5"/>
  <c r="D135" i="3"/>
  <c r="D145" i="3" s="1"/>
  <c r="G136" i="5"/>
  <c r="D138" i="3"/>
  <c r="D148" i="3" s="1"/>
  <c r="D133" i="3"/>
  <c r="D143" i="3" s="1"/>
  <c r="D137" i="3"/>
  <c r="D147" i="3" s="1"/>
  <c r="C126" i="5"/>
  <c r="D136" i="3"/>
  <c r="C148" i="3"/>
  <c r="G150" i="5" s="1"/>
  <c r="G140" i="5"/>
  <c r="D121" i="3"/>
  <c r="G123" i="5"/>
  <c r="C145" i="3"/>
  <c r="G147" i="5" s="1"/>
  <c r="G137" i="5"/>
  <c r="C147" i="3"/>
  <c r="G149" i="5" s="1"/>
  <c r="G139" i="5"/>
  <c r="D137" i="2"/>
  <c r="D146" i="2" s="1"/>
  <c r="D107" i="2"/>
  <c r="C144" i="17"/>
  <c r="AA144" i="5" s="1"/>
  <c r="AD28" i="18" s="1"/>
  <c r="AA134" i="5"/>
  <c r="C145" i="17"/>
  <c r="AA145" i="5" s="1"/>
  <c r="AD29" i="18" s="1"/>
  <c r="AA135" i="5"/>
  <c r="C143" i="16"/>
  <c r="Y143" i="5" s="1"/>
  <c r="AC27" i="18" s="1"/>
  <c r="Y133" i="5"/>
  <c r="C145" i="16"/>
  <c r="Y145" i="5" s="1"/>
  <c r="AC29" i="18" s="1"/>
  <c r="AE29" i="18" s="1"/>
  <c r="Y135" i="5"/>
  <c r="C144" i="15"/>
  <c r="W144" i="5" s="1"/>
  <c r="W134" i="5"/>
  <c r="C145" i="14"/>
  <c r="U145" i="5" s="1"/>
  <c r="U135" i="5"/>
  <c r="C143" i="13"/>
  <c r="S143" i="5" s="1"/>
  <c r="S133" i="5"/>
  <c r="C143" i="12"/>
  <c r="Q143" i="5" s="1"/>
  <c r="Q133" i="5"/>
  <c r="C145" i="11"/>
  <c r="O145" i="5" s="1"/>
  <c r="O135" i="5"/>
  <c r="C143" i="11"/>
  <c r="O143" i="5" s="1"/>
  <c r="O133" i="5"/>
  <c r="C143" i="10"/>
  <c r="M143" i="5" s="1"/>
  <c r="M133" i="5"/>
  <c r="C144" i="10"/>
  <c r="M144" i="5" s="1"/>
  <c r="M134" i="5"/>
  <c r="C145" i="10"/>
  <c r="M145" i="5" s="1"/>
  <c r="M135" i="5"/>
  <c r="C142" i="9"/>
  <c r="K144" i="5" s="1"/>
  <c r="K134" i="5"/>
  <c r="C141" i="6"/>
  <c r="I143" i="5" s="1"/>
  <c r="I133" i="5"/>
  <c r="C142" i="6"/>
  <c r="I144" i="5" s="1"/>
  <c r="I134" i="5"/>
  <c r="C141" i="3"/>
  <c r="G143" i="5" s="1"/>
  <c r="G133" i="5"/>
  <c r="C142" i="3"/>
  <c r="G144" i="5" s="1"/>
  <c r="G134" i="5"/>
  <c r="C143" i="3"/>
  <c r="G145" i="5" s="1"/>
  <c r="G135" i="5"/>
  <c r="C147" i="2"/>
  <c r="E149" i="5" s="1"/>
  <c r="E139" i="5"/>
  <c r="D108" i="2"/>
  <c r="B144" i="2"/>
  <c r="D146" i="5" s="1"/>
  <c r="D136" i="5"/>
  <c r="B148" i="2"/>
  <c r="D150" i="5" s="1"/>
  <c r="B150" i="5" s="1"/>
  <c r="D140" i="5"/>
  <c r="B140" i="5" s="1"/>
  <c r="C146" i="2"/>
  <c r="E148" i="5" s="1"/>
  <c r="E138" i="5"/>
  <c r="C132" i="2"/>
  <c r="E125" i="5"/>
  <c r="C125" i="5" s="1"/>
  <c r="D104" i="2"/>
  <c r="E106" i="5"/>
  <c r="C106" i="5" s="1"/>
  <c r="D111" i="2"/>
  <c r="E113" i="5"/>
  <c r="C113" i="5" s="1"/>
  <c r="D126" i="2"/>
  <c r="E128" i="5"/>
  <c r="C128" i="5" s="1"/>
  <c r="D106" i="2"/>
  <c r="E108" i="5"/>
  <c r="C108" i="5" s="1"/>
  <c r="D139" i="17"/>
  <c r="D105" i="16"/>
  <c r="C132" i="16"/>
  <c r="Y132" i="5" s="1"/>
  <c r="D149" i="15"/>
  <c r="D148" i="15"/>
  <c r="D138" i="15"/>
  <c r="D139" i="14"/>
  <c r="D105" i="14"/>
  <c r="C132" i="14"/>
  <c r="U132" i="5" s="1"/>
  <c r="U152" i="5" s="1"/>
  <c r="D139" i="13"/>
  <c r="D105" i="13"/>
  <c r="C132" i="13"/>
  <c r="S132" i="5" s="1"/>
  <c r="S152" i="5" s="1"/>
  <c r="D133" i="13"/>
  <c r="D143" i="13" s="1"/>
  <c r="D139" i="12"/>
  <c r="D105" i="12"/>
  <c r="C132" i="12"/>
  <c r="Q132" i="5" s="1"/>
  <c r="Q152" i="5" s="1"/>
  <c r="D133" i="12"/>
  <c r="D143" i="12" s="1"/>
  <c r="D148" i="11"/>
  <c r="D149" i="11"/>
  <c r="D105" i="11"/>
  <c r="C132" i="11"/>
  <c r="O132" i="5" s="1"/>
  <c r="O152" i="5" s="1"/>
  <c r="D105" i="10"/>
  <c r="C132" i="10"/>
  <c r="M132" i="5" s="1"/>
  <c r="M152" i="5" s="1"/>
  <c r="D133" i="10"/>
  <c r="D143" i="10" s="1"/>
  <c r="D139" i="10"/>
  <c r="D147" i="9"/>
  <c r="D146" i="9"/>
  <c r="D136" i="9"/>
  <c r="D103" i="9"/>
  <c r="C130" i="9"/>
  <c r="K132" i="5" s="1"/>
  <c r="K152" i="5" s="1"/>
  <c r="B142" i="2"/>
  <c r="D144" i="5" s="1"/>
  <c r="D134" i="5"/>
  <c r="B143" i="2"/>
  <c r="D145" i="5" s="1"/>
  <c r="D135" i="5"/>
  <c r="B146" i="2"/>
  <c r="D148" i="5" s="1"/>
  <c r="D138" i="5"/>
  <c r="B145" i="2"/>
  <c r="D147" i="5" s="1"/>
  <c r="D137" i="5"/>
  <c r="B137" i="1"/>
  <c r="B147" i="1" s="1"/>
  <c r="C146" i="1"/>
  <c r="B111" i="1"/>
  <c r="D103" i="6"/>
  <c r="C130" i="6"/>
  <c r="I132" i="5" s="1"/>
  <c r="I152" i="5" s="1"/>
  <c r="D131" i="3"/>
  <c r="D141" i="3" s="1"/>
  <c r="D103" i="3"/>
  <c r="C130" i="3"/>
  <c r="G132" i="5" s="1"/>
  <c r="G152" i="5" s="1"/>
  <c r="D136" i="2"/>
  <c r="C135" i="2"/>
  <c r="B130" i="2"/>
  <c r="C138" i="2"/>
  <c r="D129" i="2"/>
  <c r="B147" i="2"/>
  <c r="D149" i="5" s="1"/>
  <c r="B149" i="5" s="1"/>
  <c r="D132" i="2"/>
  <c r="D142" i="2" s="1"/>
  <c r="D124" i="2"/>
  <c r="C133" i="2"/>
  <c r="D125" i="2"/>
  <c r="C134" i="2"/>
  <c r="C121" i="2"/>
  <c r="E123" i="5" s="1"/>
  <c r="D122" i="2"/>
  <c r="C131" i="2"/>
  <c r="D127" i="1"/>
  <c r="D128" i="1"/>
  <c r="D136" i="1" s="1"/>
  <c r="B136" i="1"/>
  <c r="B54" i="1"/>
  <c r="B129" i="1"/>
  <c r="B3" i="1"/>
  <c r="B51" i="1" s="1"/>
  <c r="D9" i="1"/>
  <c r="D8" i="1"/>
  <c r="F48" i="1"/>
  <c r="D64" i="1"/>
  <c r="D73" i="1"/>
  <c r="B106" i="1"/>
  <c r="B133" i="1" s="1"/>
  <c r="B107" i="1"/>
  <c r="B134" i="1" s="1"/>
  <c r="B108" i="1"/>
  <c r="B135" i="1" s="1"/>
  <c r="D82" i="1"/>
  <c r="B105" i="1"/>
  <c r="E39" i="1"/>
  <c r="F39" i="1"/>
  <c r="D30" i="1"/>
  <c r="C21" i="1"/>
  <c r="C106" i="1" s="1"/>
  <c r="E48" i="1"/>
  <c r="C39" i="1"/>
  <c r="C108" i="1" s="1"/>
  <c r="C48" i="1"/>
  <c r="C30" i="1"/>
  <c r="C107" i="1" s="1"/>
  <c r="F21" i="1"/>
  <c r="E30" i="1"/>
  <c r="E21" i="1"/>
  <c r="C12" i="1"/>
  <c r="C105" i="1" s="1"/>
  <c r="F30" i="1"/>
  <c r="E12" i="1"/>
  <c r="F12" i="1"/>
  <c r="D48" i="1"/>
  <c r="D39" i="1"/>
  <c r="D13" i="1"/>
  <c r="D12" i="1" s="1"/>
  <c r="D22" i="1"/>
  <c r="D21" i="1" s="1"/>
  <c r="D63" i="1"/>
  <c r="AE33" i="18" l="1"/>
  <c r="AE34" i="18"/>
  <c r="AD35" i="18"/>
  <c r="AE28" i="18"/>
  <c r="AE27" i="18"/>
  <c r="AE35" i="18" s="1"/>
  <c r="AC35" i="18"/>
  <c r="X132" i="5"/>
  <c r="X152" i="5" s="1"/>
  <c r="B152" i="16"/>
  <c r="B123" i="5"/>
  <c r="D132" i="17"/>
  <c r="D142" i="17" s="1"/>
  <c r="C152" i="15"/>
  <c r="B152" i="17"/>
  <c r="C152" i="17"/>
  <c r="B142" i="17"/>
  <c r="Z142" i="5" s="1"/>
  <c r="C142" i="17"/>
  <c r="AA142" i="5" s="1"/>
  <c r="D132" i="16"/>
  <c r="D142" i="16" s="1"/>
  <c r="W132" i="5"/>
  <c r="D132" i="15"/>
  <c r="D142" i="15" s="1"/>
  <c r="B142" i="13"/>
  <c r="R142" i="5" s="1"/>
  <c r="B152" i="13"/>
  <c r="D132" i="13"/>
  <c r="D142" i="13" s="1"/>
  <c r="D132" i="12"/>
  <c r="D142" i="12" s="1"/>
  <c r="P132" i="5"/>
  <c r="P152" i="5" s="1"/>
  <c r="B152" i="12"/>
  <c r="D132" i="11"/>
  <c r="D142" i="11" s="1"/>
  <c r="B145" i="5"/>
  <c r="B137" i="5"/>
  <c r="B152" i="10"/>
  <c r="L132" i="5"/>
  <c r="L152" i="5" s="1"/>
  <c r="D132" i="10"/>
  <c r="D142" i="10" s="1"/>
  <c r="B140" i="9"/>
  <c r="J142" i="5" s="1"/>
  <c r="B150" i="9"/>
  <c r="B134" i="5"/>
  <c r="B144" i="5"/>
  <c r="D130" i="9"/>
  <c r="D140" i="9" s="1"/>
  <c r="D146" i="6"/>
  <c r="H132" i="5"/>
  <c r="H152" i="5" s="1"/>
  <c r="B150" i="3"/>
  <c r="B140" i="3"/>
  <c r="F142" i="5" s="1"/>
  <c r="B140" i="6"/>
  <c r="H142" i="5" s="1"/>
  <c r="D133" i="5"/>
  <c r="B133" i="5" s="1"/>
  <c r="D103" i="2"/>
  <c r="B143" i="5"/>
  <c r="B138" i="5"/>
  <c r="C138" i="5"/>
  <c r="D148" i="16"/>
  <c r="V132" i="5"/>
  <c r="V152" i="5" s="1"/>
  <c r="B152" i="15"/>
  <c r="B142" i="15"/>
  <c r="V142" i="5" s="1"/>
  <c r="B136" i="5"/>
  <c r="B147" i="5"/>
  <c r="D147" i="2"/>
  <c r="B148" i="5"/>
  <c r="B146" i="5"/>
  <c r="N132" i="5"/>
  <c r="N152" i="5" s="1"/>
  <c r="B142" i="11"/>
  <c r="N142" i="5" s="1"/>
  <c r="B152" i="11"/>
  <c r="B135" i="5"/>
  <c r="D132" i="14"/>
  <c r="D142" i="14" s="1"/>
  <c r="B146" i="1"/>
  <c r="C148" i="5"/>
  <c r="B152" i="14"/>
  <c r="T132" i="5"/>
  <c r="T152" i="5" s="1"/>
  <c r="B142" i="14"/>
  <c r="T142" i="5" s="1"/>
  <c r="D130" i="6"/>
  <c r="D140" i="6" s="1"/>
  <c r="D146" i="3"/>
  <c r="C123" i="5"/>
  <c r="D130" i="3"/>
  <c r="D140" i="3" s="1"/>
  <c r="C139" i="5"/>
  <c r="C149" i="5"/>
  <c r="D135" i="2"/>
  <c r="D145" i="2" s="1"/>
  <c r="D134" i="2"/>
  <c r="D144" i="2" s="1"/>
  <c r="D133" i="2"/>
  <c r="D143" i="2" s="1"/>
  <c r="C141" i="2"/>
  <c r="E143" i="5" s="1"/>
  <c r="C143" i="5" s="1"/>
  <c r="E133" i="5"/>
  <c r="C133" i="5" s="1"/>
  <c r="C148" i="2"/>
  <c r="E150" i="5" s="1"/>
  <c r="C150" i="5" s="1"/>
  <c r="E140" i="5"/>
  <c r="C140" i="5" s="1"/>
  <c r="C143" i="2"/>
  <c r="E145" i="5" s="1"/>
  <c r="C145" i="5" s="1"/>
  <c r="E135" i="5"/>
  <c r="C135" i="5" s="1"/>
  <c r="C142" i="2"/>
  <c r="E144" i="5" s="1"/>
  <c r="C144" i="5" s="1"/>
  <c r="E134" i="5"/>
  <c r="C134" i="5" s="1"/>
  <c r="D138" i="2"/>
  <c r="D148" i="2" s="1"/>
  <c r="D131" i="2"/>
  <c r="D141" i="2" s="1"/>
  <c r="C145" i="2"/>
  <c r="E147" i="5" s="1"/>
  <c r="C147" i="5" s="1"/>
  <c r="E137" i="5"/>
  <c r="C137" i="5" s="1"/>
  <c r="D149" i="17"/>
  <c r="D148" i="17"/>
  <c r="C142" i="16"/>
  <c r="Y142" i="5" s="1"/>
  <c r="C152" i="16"/>
  <c r="C142" i="14"/>
  <c r="U142" i="5" s="1"/>
  <c r="C152" i="14"/>
  <c r="D148" i="14"/>
  <c r="D149" i="14"/>
  <c r="C152" i="13"/>
  <c r="C142" i="13"/>
  <c r="S142" i="5" s="1"/>
  <c r="D148" i="13"/>
  <c r="D149" i="13"/>
  <c r="D148" i="12"/>
  <c r="D149" i="12"/>
  <c r="C142" i="12"/>
  <c r="Q142" i="5" s="1"/>
  <c r="C152" i="12"/>
  <c r="C152" i="11"/>
  <c r="C142" i="11"/>
  <c r="O142" i="5" s="1"/>
  <c r="C142" i="10"/>
  <c r="M142" i="5" s="1"/>
  <c r="C152" i="10"/>
  <c r="D148" i="10"/>
  <c r="D149" i="10"/>
  <c r="C140" i="9"/>
  <c r="K142" i="5" s="1"/>
  <c r="C150" i="9"/>
  <c r="B140" i="2"/>
  <c r="D142" i="5" s="1"/>
  <c r="D132" i="5"/>
  <c r="C144" i="2"/>
  <c r="E146" i="5" s="1"/>
  <c r="C146" i="5" s="1"/>
  <c r="E136" i="5"/>
  <c r="C136" i="5" s="1"/>
  <c r="B138" i="1"/>
  <c r="B148" i="1" s="1"/>
  <c r="C111" i="1"/>
  <c r="D111" i="1" s="1"/>
  <c r="C140" i="6"/>
  <c r="I142" i="5" s="1"/>
  <c r="C150" i="6"/>
  <c r="C150" i="3"/>
  <c r="C140" i="3"/>
  <c r="G142" i="5" s="1"/>
  <c r="B150" i="2"/>
  <c r="D121" i="2"/>
  <c r="C130" i="2"/>
  <c r="E132" i="5" s="1"/>
  <c r="E152" i="5" s="1"/>
  <c r="D137" i="1"/>
  <c r="D146" i="1" s="1"/>
  <c r="C129" i="1"/>
  <c r="D147" i="1"/>
  <c r="C124" i="1"/>
  <c r="C133" i="1" s="1"/>
  <c r="C143" i="1" s="1"/>
  <c r="C125" i="1"/>
  <c r="C134" i="1" s="1"/>
  <c r="C144" i="1" s="1"/>
  <c r="C126" i="1"/>
  <c r="C135" i="1" s="1"/>
  <c r="C145" i="1" s="1"/>
  <c r="C123" i="1"/>
  <c r="C132" i="1" s="1"/>
  <c r="C142" i="1" s="1"/>
  <c r="D105" i="1"/>
  <c r="B132" i="1"/>
  <c r="B142" i="1" s="1"/>
  <c r="B104" i="1"/>
  <c r="B122" i="1"/>
  <c r="B121" i="1" s="1"/>
  <c r="D107" i="1"/>
  <c r="B144" i="1"/>
  <c r="D106" i="1"/>
  <c r="B143" i="1"/>
  <c r="D108" i="1"/>
  <c r="B145" i="1"/>
  <c r="D130" i="2" l="1"/>
  <c r="D140" i="2" s="1"/>
  <c r="C132" i="5"/>
  <c r="B142" i="5"/>
  <c r="B132" i="5"/>
  <c r="B152" i="5" s="1"/>
  <c r="D152" i="5"/>
  <c r="C138" i="1"/>
  <c r="C148" i="1" s="1"/>
  <c r="C140" i="2"/>
  <c r="E142" i="5" s="1"/>
  <c r="C142" i="5" s="1"/>
  <c r="C150" i="2"/>
  <c r="D129" i="1"/>
  <c r="D123" i="1"/>
  <c r="D126" i="1"/>
  <c r="D125" i="1"/>
  <c r="D124" i="1"/>
  <c r="B131" i="1"/>
  <c r="B141" i="1" s="1"/>
  <c r="C112" i="1"/>
  <c r="C3" i="1"/>
  <c r="E3" i="1"/>
  <c r="E51" i="1" s="1"/>
  <c r="F3" i="1"/>
  <c r="F51" i="1" s="1"/>
  <c r="C55" i="1"/>
  <c r="C104" i="1" l="1"/>
  <c r="C51" i="1"/>
  <c r="C122" i="1"/>
  <c r="C131" i="1" s="1"/>
  <c r="C141" i="1" s="1"/>
  <c r="C54" i="1"/>
  <c r="D55" i="1"/>
  <c r="D122" i="1" l="1"/>
  <c r="C121" i="1"/>
  <c r="D121" i="1" s="1"/>
  <c r="D120" i="1"/>
  <c r="D117" i="1"/>
  <c r="D116" i="1"/>
  <c r="D115" i="1"/>
  <c r="D114" i="1"/>
  <c r="D104" i="1"/>
  <c r="C103" i="1"/>
  <c r="B103" i="1"/>
  <c r="B130" i="1" s="1"/>
  <c r="D100" i="1"/>
  <c r="D91" i="1"/>
  <c r="D61" i="1"/>
  <c r="D60" i="1"/>
  <c r="D58" i="1"/>
  <c r="D57" i="1"/>
  <c r="D56" i="1"/>
  <c r="D131" i="1" l="1"/>
  <c r="C130" i="1"/>
  <c r="D135" i="1"/>
  <c r="D145" i="1" s="1"/>
  <c r="D138" i="1"/>
  <c r="D148" i="1" s="1"/>
  <c r="D134" i="1"/>
  <c r="D144" i="1" s="1"/>
  <c r="D133" i="1"/>
  <c r="D143" i="1" s="1"/>
  <c r="D132" i="1"/>
  <c r="D142" i="1" s="1"/>
  <c r="B140" i="1"/>
  <c r="B150" i="1"/>
  <c r="D103" i="1"/>
  <c r="D54" i="1"/>
  <c r="D112" i="1"/>
  <c r="D130" i="1" l="1"/>
  <c r="C140" i="1"/>
  <c r="C150" i="1"/>
  <c r="D5" i="1"/>
  <c r="D6" i="1"/>
  <c r="D3" i="1" l="1"/>
  <c r="D51" i="1" s="1"/>
  <c r="D140" i="1" l="1"/>
  <c r="D141" i="1"/>
  <c r="E9" i="19"/>
  <c r="J3" i="19"/>
  <c r="J70" i="19" s="1"/>
  <c r="F9" i="19" l="1"/>
  <c r="F3" i="19" s="1"/>
  <c r="E3" i="19"/>
  <c r="E70" i="19" l="1"/>
  <c r="E141" i="19"/>
  <c r="E159" i="19"/>
  <c r="F70" i="19"/>
  <c r="E158" i="19" l="1"/>
  <c r="F158" i="19" s="1"/>
  <c r="F159" i="19"/>
  <c r="E140" i="19"/>
  <c r="F141" i="19"/>
  <c r="E168" i="19"/>
  <c r="E178" i="19" s="1"/>
  <c r="F168" i="19" l="1"/>
  <c r="F178" i="19" s="1"/>
  <c r="E167" i="19"/>
  <c r="F140" i="19"/>
  <c r="F167" i="19" s="1"/>
  <c r="F177" i="19" s="1"/>
  <c r="E177" i="19" l="1"/>
  <c r="E18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7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9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A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B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C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D00-000001000000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40" authorId="0" shapeId="0" xr:uid="{127601AF-307B-412F-A3D9-41BCFBAABD5F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40" authorId="0" shapeId="0" xr:uid="{F0A08AFD-FCD8-490A-AFE3-7471323FAD59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40" authorId="0" shapeId="0" xr:uid="{3BEF854C-1904-40D6-947D-98DC76542954}">
      <text>
        <r>
          <rPr>
            <b/>
            <sz val="9"/>
            <color indexed="81"/>
            <rFont val="Tahoma"/>
            <charset val="1"/>
          </rPr>
          <t xml:space="preserve">15%
</t>
        </r>
      </text>
    </comment>
  </commentList>
</comments>
</file>

<file path=xl/sharedStrings.xml><?xml version="1.0" encoding="utf-8"?>
<sst xmlns="http://schemas.openxmlformats.org/spreadsheetml/2006/main" count="2804" uniqueCount="240">
  <si>
    <t>VÝNOSY</t>
  </si>
  <si>
    <r>
      <t xml:space="preserve">týden 1 
</t>
    </r>
    <r>
      <rPr>
        <sz val="6"/>
        <color theme="1"/>
        <rFont val="Aptos Narrow"/>
        <family val="2"/>
        <scheme val="minor"/>
      </rPr>
      <t>(zpravidla dělený s předchozím měsícem)</t>
    </r>
  </si>
  <si>
    <t>týden 2</t>
  </si>
  <si>
    <t>týden 3</t>
  </si>
  <si>
    <t>týden 4</t>
  </si>
  <si>
    <r>
      <t xml:space="preserve">týden 5 
</t>
    </r>
    <r>
      <rPr>
        <sz val="6"/>
        <color theme="1"/>
        <rFont val="Aptos Narrow"/>
        <family val="2"/>
        <scheme val="minor"/>
      </rPr>
      <t>(zpravidla dělený s následujícím  měsícem)</t>
    </r>
  </si>
  <si>
    <t>Středisko/pracovník</t>
  </si>
  <si>
    <t>plán měsíce</t>
  </si>
  <si>
    <t>skutečnost měsíce</t>
  </si>
  <si>
    <t>rozdíl</t>
  </si>
  <si>
    <t>počet intervencí</t>
  </si>
  <si>
    <t>odpracováno hod.</t>
  </si>
  <si>
    <t>výkony /týden</t>
  </si>
  <si>
    <t>výnosy CDZ Ústí</t>
  </si>
  <si>
    <t>psych. s. 1 - NÁGLOVÁ</t>
  </si>
  <si>
    <t>psych. s. 2 - HAJASOVÁ</t>
  </si>
  <si>
    <t>psych. s. 3 -  KAŠPÁRKOVÁ/Pekárová</t>
  </si>
  <si>
    <t>psych. s. 4 - Milfajtová</t>
  </si>
  <si>
    <t>psychiatr - GÁBEL 0,2</t>
  </si>
  <si>
    <t>psychiatr - PFEIFFER 0,5 na březen + doktorka</t>
  </si>
  <si>
    <t>psycholog 1 - 0,5</t>
  </si>
  <si>
    <t>psycholog 2</t>
  </si>
  <si>
    <t>výnosy CDZ Chomutov</t>
  </si>
  <si>
    <t>psych. s 1 - Blažková</t>
  </si>
  <si>
    <t>psych. s 2 - Pátková od 1.3</t>
  </si>
  <si>
    <t>psych. s 3</t>
  </si>
  <si>
    <t>psych. s 4</t>
  </si>
  <si>
    <t>psychiatr 1 - 0,5 od 1.4</t>
  </si>
  <si>
    <t>psychiatr 2</t>
  </si>
  <si>
    <t>výnosy CDZ Žatec</t>
  </si>
  <si>
    <t>psych. s 1 - ZELENKOVÁ</t>
  </si>
  <si>
    <t>psych. s 2 - Štěpánka …</t>
  </si>
  <si>
    <t>psych. s 3 - Bečvářová</t>
  </si>
  <si>
    <t>všeob. s 4 - Dušková</t>
  </si>
  <si>
    <t>výnosy CDZ Litoměřice</t>
  </si>
  <si>
    <t>psych. s 1 - Štréblová 0,2 od 1.3 od 5 celý</t>
  </si>
  <si>
    <t>psych. s 2</t>
  </si>
  <si>
    <t xml:space="preserve">psychiatr 1 - 0,5 </t>
  </si>
  <si>
    <t>výnosy TDZ Děčín</t>
  </si>
  <si>
    <t>psych. s 1 - Jirásková</t>
  </si>
  <si>
    <t>výnosy TDZ Most</t>
  </si>
  <si>
    <t>psych. s 1 Prajzová 0,5</t>
  </si>
  <si>
    <t>výnosy TDZ Teplice</t>
  </si>
  <si>
    <t xml:space="preserve">psych. s 1 </t>
  </si>
  <si>
    <t>výnosy TDZ pro děti</t>
  </si>
  <si>
    <t>VÝNOSY CELKEM</t>
  </si>
  <si>
    <t>NÁKLADY</t>
  </si>
  <si>
    <t>Mzdy a odvody pracovníků</t>
  </si>
  <si>
    <t>1. CDZ Ústí</t>
  </si>
  <si>
    <t>psychiatr - PFEIFFER 0,5</t>
  </si>
  <si>
    <t>LT  0,2 sestry</t>
  </si>
  <si>
    <t>CV a žatec od 4 do 6 jako ambulance 570 sestry</t>
  </si>
  <si>
    <t>2. CDZ Chomutov</t>
  </si>
  <si>
    <t>LT  1 amb sestra</t>
  </si>
  <si>
    <t>psych. s 2 - Pátková</t>
  </si>
  <si>
    <t>CV a žatec klasicky</t>
  </si>
  <si>
    <t>LT od 1.9 cdz</t>
  </si>
  <si>
    <t>Most 1 sestra na celý</t>
  </si>
  <si>
    <t>3. CDZ Žatec</t>
  </si>
  <si>
    <t>psych. s 1 - Zelenková</t>
  </si>
  <si>
    <t>4. CDZ Litoměřice</t>
  </si>
  <si>
    <t>psych. s 1 - Štréblová 0,2</t>
  </si>
  <si>
    <t>5. TDZ Děčín</t>
  </si>
  <si>
    <t>6. TDZ Most</t>
  </si>
  <si>
    <t>7. TDZ Teplice</t>
  </si>
  <si>
    <t>8. TDZ pro děti</t>
  </si>
  <si>
    <t>Provozní výdaje - paušál</t>
  </si>
  <si>
    <t>provozní výdaje CDZ Ústí</t>
  </si>
  <si>
    <t>provozní výdaje CDZ Chomutov</t>
  </si>
  <si>
    <t>provozní výdaje CDZ Žatec</t>
  </si>
  <si>
    <t>provozní výdaje CDZ Litoměřice</t>
  </si>
  <si>
    <t>provozní výdaje TDZ Děčín</t>
  </si>
  <si>
    <t>provozní výdaje TDZ Most</t>
  </si>
  <si>
    <t>provozní výdaje TDZ Teplice</t>
  </si>
  <si>
    <t>provozní výdaje TDZ pro děti</t>
  </si>
  <si>
    <t>Investice / splátka investic</t>
  </si>
  <si>
    <t>investice CDZ Ústí</t>
  </si>
  <si>
    <t>investice CDZ Chomutov</t>
  </si>
  <si>
    <t>investice CDZ Žatec</t>
  </si>
  <si>
    <t>investice CDZ Litoměřice</t>
  </si>
  <si>
    <t>investice TDZ Děčín</t>
  </si>
  <si>
    <t>investice TDZ Most</t>
  </si>
  <si>
    <t>investice TDZ Teplice</t>
  </si>
  <si>
    <t>investice TDZ pro děti</t>
  </si>
  <si>
    <t>Rezervní fond</t>
  </si>
  <si>
    <t>rezerva CDZ Ústí</t>
  </si>
  <si>
    <t>rezerva  CDZ Chomutov</t>
  </si>
  <si>
    <t>rezerva  CDZ Žatec</t>
  </si>
  <si>
    <t>rezerva CDZ Litoměřice</t>
  </si>
  <si>
    <t>rezerva  TDZ Děčín</t>
  </si>
  <si>
    <t>rezerva TDZ Most</t>
  </si>
  <si>
    <t>rezerva TDZ Teplice</t>
  </si>
  <si>
    <t>rezerva TDZ pro děti</t>
  </si>
  <si>
    <t>NÁKLADY CELKEM</t>
  </si>
  <si>
    <t>náklady CDZ Ústí</t>
  </si>
  <si>
    <t>náklady CDZ Chomutov</t>
  </si>
  <si>
    <t>náklady CDZ Žatec</t>
  </si>
  <si>
    <t>náklady CDZ Litoměřice</t>
  </si>
  <si>
    <t>náklady TDZ Děčín</t>
  </si>
  <si>
    <t>náklady TDZ Most</t>
  </si>
  <si>
    <t>náklady TDZ Teplice</t>
  </si>
  <si>
    <t>náklady TDZ pro děti</t>
  </si>
  <si>
    <t>Výsledek (+zisk/-ztráta)</t>
  </si>
  <si>
    <t>výsledek CDZ Ústí</t>
  </si>
  <si>
    <t>výsledek CDZ Chomutov</t>
  </si>
  <si>
    <t>výsledek CDZ Žatec</t>
  </si>
  <si>
    <t>výsledek CDZ Litoměřice</t>
  </si>
  <si>
    <t>výsledek TDZ Děčín</t>
  </si>
  <si>
    <t>výsledek TDZ Most</t>
  </si>
  <si>
    <t>výsledek TDZ Teplice</t>
  </si>
  <si>
    <t>výsledek TDZ pro děti</t>
  </si>
  <si>
    <t>(+zisk/-ztráta) v procentech</t>
  </si>
  <si>
    <t xml:space="preserve">psych. s. 4 - </t>
  </si>
  <si>
    <t>psych. s. 4 - Pátková</t>
  </si>
  <si>
    <t>psychiatr - Dr. Suchánková 1,0</t>
  </si>
  <si>
    <t>psycholog 2 - Lichtenbergová</t>
  </si>
  <si>
    <t xml:space="preserve">psych. s 2 </t>
  </si>
  <si>
    <t>psych. s 2 - Vondráčková</t>
  </si>
  <si>
    <t>psych. s 3 - Nováková</t>
  </si>
  <si>
    <t>psych. s. 4 -</t>
  </si>
  <si>
    <t>psychiatr 1 - 0,5 od ??</t>
  </si>
  <si>
    <t>ho</t>
  </si>
  <si>
    <t>psycholog 1 - Dr. Balko 0,2</t>
  </si>
  <si>
    <t>psych. s 1  Skokanová</t>
  </si>
  <si>
    <t>psychiatr - Dr. Holá 0,2</t>
  </si>
  <si>
    <t>psychiatr - Dr. Suchánková 0,5</t>
  </si>
  <si>
    <t>psychiatr 1</t>
  </si>
  <si>
    <t xml:space="preserve">psychiatr 1 </t>
  </si>
  <si>
    <t xml:space="preserve">psycholog 1 </t>
  </si>
  <si>
    <t>psych. s 1  - Skokanová</t>
  </si>
  <si>
    <t>psych. s 1 - Štréblová</t>
  </si>
  <si>
    <t xml:space="preserve">psych. s. 4 -  </t>
  </si>
  <si>
    <t>psycholog 1 - Dr. Balko 0,5</t>
  </si>
  <si>
    <t xml:space="preserve">psycholog 2 </t>
  </si>
  <si>
    <t>psych. s 3 - Jurášová</t>
  </si>
  <si>
    <t xml:space="preserve">psychiatr 1 - </t>
  </si>
  <si>
    <t>psycholog 1 - Mgr. Eva Suchopová  0,2</t>
  </si>
  <si>
    <t>psycholog 1 - Lichtenbergová</t>
  </si>
  <si>
    <t xml:space="preserve">psych. s 1 - </t>
  </si>
  <si>
    <t>psych. s 1 Prajzová</t>
  </si>
  <si>
    <t>psych. s. 4 -  Hanzlíková</t>
  </si>
  <si>
    <t xml:space="preserve">psych. s 2 - Pátková </t>
  </si>
  <si>
    <t>psycholog 1 - Lichtenbergová 0,5</t>
  </si>
  <si>
    <r>
      <rPr>
        <sz val="11"/>
        <color rgb="FFFF0000"/>
        <rFont val="Aptos Narrow"/>
        <scheme val="minor"/>
      </rPr>
      <t xml:space="preserve">psych. s. 4 -  </t>
    </r>
    <r>
      <rPr>
        <sz val="11"/>
        <color rgb="FF000000"/>
        <rFont val="Aptos Narrow"/>
        <scheme val="minor"/>
      </rPr>
      <t>HANZLÍKOVÁ</t>
    </r>
  </si>
  <si>
    <t>psychiatr  3</t>
  </si>
  <si>
    <t>psych. s 4 - Mašková</t>
  </si>
  <si>
    <t>psycholog 1 - Mgr. Eva Suchopová  0,4</t>
  </si>
  <si>
    <t>psycholog 2 - Mgr. Iva Červenková  0,2</t>
  </si>
  <si>
    <r>
      <rPr>
        <sz val="11"/>
        <color rgb="FFFF0000"/>
        <rFont val="Aptos Narrow"/>
        <scheme val="minor"/>
      </rPr>
      <t xml:space="preserve">psych. s. 4 -  </t>
    </r>
    <r>
      <rPr>
        <sz val="11"/>
        <color rgb="FF000000"/>
        <rFont val="Aptos Narrow"/>
        <scheme val="minor"/>
      </rPr>
      <t>Hanzlíková</t>
    </r>
  </si>
  <si>
    <t>všeob. s 3 - Bergmanová</t>
  </si>
  <si>
    <t>všeob. s 4 - Vaculínová</t>
  </si>
  <si>
    <t>ROK 2025</t>
  </si>
  <si>
    <t>leden 25</t>
  </si>
  <si>
    <t>únor 25</t>
  </si>
  <si>
    <t>březen 25</t>
  </si>
  <si>
    <t>duben 25</t>
  </si>
  <si>
    <t>květen 25</t>
  </si>
  <si>
    <t>červen 25</t>
  </si>
  <si>
    <t>červenec 25</t>
  </si>
  <si>
    <t>srpen 25</t>
  </si>
  <si>
    <t>září 25</t>
  </si>
  <si>
    <t>říjen 25</t>
  </si>
  <si>
    <t>listopad 25</t>
  </si>
  <si>
    <t>prosinec 25</t>
  </si>
  <si>
    <t>plán roku</t>
  </si>
  <si>
    <t>skutečnost roku</t>
  </si>
  <si>
    <t>plán</t>
  </si>
  <si>
    <t>skutečnost</t>
  </si>
  <si>
    <t>přínos na osobu</t>
  </si>
  <si>
    <t>psycholog 2  - Lichtenbergová</t>
  </si>
  <si>
    <t>nevykazuje?</t>
  </si>
  <si>
    <t>Pracovník</t>
  </si>
  <si>
    <r>
      <rPr>
        <b/>
        <sz val="11"/>
        <color theme="1"/>
        <rFont val="Aptos Narrow"/>
        <family val="2"/>
        <scheme val="minor"/>
      </rPr>
      <t>Přínos na osobu 1-9/2025</t>
    </r>
    <r>
      <rPr>
        <sz val="11"/>
        <color theme="1"/>
        <rFont val="Aptos Narrow"/>
        <family val="2"/>
        <charset val="238"/>
        <scheme val="minor"/>
      </rPr>
      <t xml:space="preserve">
(tržby za úkony minus superhrubá mzda)</t>
    </r>
  </si>
  <si>
    <t>NÁGLOVÁ</t>
  </si>
  <si>
    <t>HAJASOVÁ</t>
  </si>
  <si>
    <t>KAŠPÁRKOVÁ/Pekárová</t>
  </si>
  <si>
    <t>GÁBEL</t>
  </si>
  <si>
    <t>PFEIFFER</t>
  </si>
  <si>
    <t>Dr. Suchánková</t>
  </si>
  <si>
    <t>Dr. Balko</t>
  </si>
  <si>
    <t>Lichtenbergová</t>
  </si>
  <si>
    <t>Blažková</t>
  </si>
  <si>
    <t>Pátková</t>
  </si>
  <si>
    <t>Suchopová</t>
  </si>
  <si>
    <t>ZELENKOVÁ</t>
  </si>
  <si>
    <t>Vondráčková</t>
  </si>
  <si>
    <t>Nováková</t>
  </si>
  <si>
    <t>Dušková</t>
  </si>
  <si>
    <t>Štréblová</t>
  </si>
  <si>
    <t>Jirásková</t>
  </si>
  <si>
    <t>Prajzová</t>
  </si>
  <si>
    <t>Skokanová</t>
  </si>
  <si>
    <t>CELKEM</t>
  </si>
  <si>
    <t xml:space="preserve"> </t>
  </si>
  <si>
    <t>Výsledek celkem</t>
  </si>
  <si>
    <t>Středisko/pozice</t>
  </si>
  <si>
    <t>jméno pracovníka</t>
  </si>
  <si>
    <t>úvazek</t>
  </si>
  <si>
    <t>psych. sestra 1</t>
  </si>
  <si>
    <t>Náglová</t>
  </si>
  <si>
    <t>psych. sestra 2</t>
  </si>
  <si>
    <t>Hajasová</t>
  </si>
  <si>
    <t>všeob. sestra 5</t>
  </si>
  <si>
    <t>Kostková</t>
  </si>
  <si>
    <t>všeob. sestra 4</t>
  </si>
  <si>
    <t>Hanzlíková</t>
  </si>
  <si>
    <t>Pekárová</t>
  </si>
  <si>
    <t>Gábel</t>
  </si>
  <si>
    <t xml:space="preserve">psychiatr 2 </t>
  </si>
  <si>
    <t>Pfeiffer</t>
  </si>
  <si>
    <t>psychiatr 3</t>
  </si>
  <si>
    <t>psycholog 1</t>
  </si>
  <si>
    <t>Balko</t>
  </si>
  <si>
    <t xml:space="preserve">psycholog 3 </t>
  </si>
  <si>
    <t xml:space="preserve">Pátková </t>
  </si>
  <si>
    <t>všeob. sestra 3</t>
  </si>
  <si>
    <t xml:space="preserve">Vaculínová </t>
  </si>
  <si>
    <t xml:space="preserve">Bergmanová </t>
  </si>
  <si>
    <t>psych. sestra 5</t>
  </si>
  <si>
    <t>Suchánková</t>
  </si>
  <si>
    <t>´=</t>
  </si>
  <si>
    <t>Červenková</t>
  </si>
  <si>
    <t>Zelenková</t>
  </si>
  <si>
    <t>psych. sestra 3</t>
  </si>
  <si>
    <t>psych. sestra 4</t>
  </si>
  <si>
    <t>Kliská</t>
  </si>
  <si>
    <t>Brožek Ľuba</t>
  </si>
  <si>
    <t>všeob. sestra 1</t>
  </si>
  <si>
    <t>Kopecká</t>
  </si>
  <si>
    <t>Kútniková</t>
  </si>
  <si>
    <t>Štětinová</t>
  </si>
  <si>
    <t>Dorofeev</t>
  </si>
  <si>
    <t>psych.sestra 1</t>
  </si>
  <si>
    <t>Kašpárková</t>
  </si>
  <si>
    <t>Jakovcová</t>
  </si>
  <si>
    <t>další pozice</t>
  </si>
  <si>
    <t>Grežová</t>
  </si>
  <si>
    <t>Nebušková</t>
  </si>
  <si>
    <t>Mašková</t>
  </si>
  <si>
    <t>Čechurová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</si>
</sst>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#,##0.00\ &quot;Kč&quot;"/>
    <numFmt numFmtId="165" formatCode="#,##0\ &quot;Kč&quot;"/>
    <numFmt numFmtId="166" formatCode="0.0"/>
  </numFmts>
  <fonts count="79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sz val="10"/>
      <color theme="1"/>
      <name val="Calibri"/>
      <family val="2"/>
      <charset val="238"/>
    </font>
    <font>
      <sz val="10"/>
      <color rgb="FF000000"/>
      <name val="Calibri"/>
      <family val="2"/>
      <charset val="238"/>
    </font>
    <font>
      <sz val="11"/>
      <color theme="1"/>
      <name val="Aptos Narrow"/>
      <family val="2"/>
      <charset val="238"/>
      <scheme val="minor"/>
    </font>
    <font>
      <b/>
      <sz val="9"/>
      <color indexed="81"/>
      <name val="Tahoma"/>
      <charset val="1"/>
    </font>
    <font>
      <b/>
      <sz val="11"/>
      <color rgb="FF000000"/>
      <name val="Aptos Narrow"/>
      <family val="2"/>
      <charset val="238"/>
    </font>
    <font>
      <sz val="11"/>
      <color rgb="FF000000"/>
      <name val="Aptos Narrow"/>
      <family val="2"/>
      <charset val="238"/>
    </font>
    <font>
      <b/>
      <sz val="11"/>
      <color rgb="FFFFFFFF"/>
      <name val="Aptos Narrow"/>
      <family val="2"/>
      <charset val="238"/>
    </font>
    <font>
      <sz val="9"/>
      <color rgb="FF000000"/>
      <name val="Calibri"/>
      <family val="2"/>
      <charset val="238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charset val="238"/>
      <scheme val="minor"/>
    </font>
    <font>
      <b/>
      <sz val="9"/>
      <color rgb="FF000000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name val="Aptos Narrow"/>
      <family val="2"/>
      <charset val="238"/>
    </font>
    <font>
      <sz val="9"/>
      <color theme="1"/>
      <name val="Aptos Narrow"/>
      <family val="2"/>
      <scheme val="minor"/>
    </font>
    <font>
      <sz val="11"/>
      <color rgb="FFFF0000"/>
      <name val="Calibri"/>
      <family val="2"/>
      <charset val="238"/>
    </font>
    <font>
      <sz val="11"/>
      <color rgb="FFFF0000"/>
      <name val="Aptos Narrow"/>
      <family val="2"/>
      <charset val="238"/>
      <scheme val="minor"/>
    </font>
    <font>
      <b/>
      <sz val="8"/>
      <color rgb="FF000000"/>
      <name val="Calibri"/>
      <family val="2"/>
      <charset val="238"/>
    </font>
    <font>
      <sz val="6"/>
      <color theme="1"/>
      <name val="Aptos Narrow"/>
      <family val="2"/>
      <scheme val="minor"/>
    </font>
    <font>
      <sz val="10"/>
      <color rgb="FFFF0000"/>
      <name val="Calibri"/>
      <family val="2"/>
      <charset val="238"/>
    </font>
    <font>
      <sz val="9"/>
      <color rgb="FFFF0000"/>
      <name val="Calibri"/>
      <family val="2"/>
      <charset val="238"/>
    </font>
    <font>
      <sz val="10"/>
      <color rgb="FFFF0000"/>
      <name val="Aptos Narrow"/>
      <family val="2"/>
      <charset val="238"/>
      <scheme val="minor"/>
    </font>
    <font>
      <sz val="9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  <charset val="238"/>
    </font>
    <font>
      <b/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charset val="238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Calibri"/>
      <family val="2"/>
      <charset val="238"/>
    </font>
    <font>
      <b/>
      <sz val="14"/>
      <color theme="0"/>
      <name val="Aptos Narrow"/>
      <family val="2"/>
      <charset val="238"/>
    </font>
    <font>
      <sz val="10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8"/>
      <color theme="1"/>
      <name val="Aptos Narrow"/>
      <family val="2"/>
      <charset val="238"/>
      <scheme val="minor"/>
    </font>
    <font>
      <b/>
      <sz val="12"/>
      <color rgb="FFFFFFFF"/>
      <name val="Aptos Narrow"/>
      <family val="2"/>
      <charset val="238"/>
    </font>
    <font>
      <b/>
      <sz val="11"/>
      <color theme="2" tint="-0.499984740745262"/>
      <name val="Aptos Narrow"/>
      <family val="2"/>
      <charset val="238"/>
    </font>
    <font>
      <sz val="11"/>
      <color theme="0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name val="Calibri"/>
      <family val="2"/>
      <charset val="238"/>
    </font>
    <font>
      <sz val="10"/>
      <name val="Calibri"/>
      <family val="2"/>
      <charset val="238"/>
    </font>
    <font>
      <sz val="9"/>
      <name val="Calibri"/>
      <family val="2"/>
      <charset val="238"/>
    </font>
    <font>
      <sz val="10"/>
      <name val="Aptos Narrow"/>
      <family val="2"/>
      <charset val="238"/>
      <scheme val="minor"/>
    </font>
    <font>
      <sz val="9"/>
      <name val="Aptos Narrow"/>
      <family val="2"/>
      <charset val="238"/>
      <scheme val="minor"/>
    </font>
    <font>
      <b/>
      <sz val="10"/>
      <color theme="0"/>
      <name val="Calibri"/>
      <family val="2"/>
      <charset val="238"/>
    </font>
    <font>
      <sz val="10"/>
      <color theme="0"/>
      <name val="Aptos Narrow"/>
      <family val="2"/>
      <charset val="238"/>
      <scheme val="minor"/>
    </font>
    <font>
      <sz val="9"/>
      <color theme="1"/>
      <name val="Calibri"/>
      <family val="2"/>
      <charset val="238"/>
    </font>
    <font>
      <sz val="9"/>
      <color theme="0"/>
      <name val="Aptos Narrow"/>
      <family val="2"/>
      <charset val="238"/>
      <scheme val="minor"/>
    </font>
    <font>
      <sz val="9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2"/>
      <color theme="0"/>
      <name val="Calibri"/>
      <family val="2"/>
      <charset val="238"/>
    </font>
    <font>
      <sz val="11"/>
      <name val="Calibri"/>
    </font>
    <font>
      <sz val="10"/>
      <color rgb="FF000000"/>
      <name val="Aptos Narrow"/>
      <family val="2"/>
      <charset val="238"/>
      <scheme val="minor"/>
    </font>
    <font>
      <sz val="9"/>
      <color rgb="FF000000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  <font>
      <b/>
      <sz val="14"/>
      <color theme="0"/>
      <name val="Calibri"/>
      <family val="2"/>
      <charset val="238"/>
    </font>
    <font>
      <sz val="11"/>
      <color rgb="FFFF0000"/>
      <name val="Calibri"/>
    </font>
    <font>
      <sz val="11"/>
      <color theme="2" tint="-0.749992370372631"/>
      <name val="Aptos Narrow"/>
      <family val="2"/>
      <charset val="238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6600"/>
        <bgColor rgb="FF000000"/>
      </patternFill>
    </fill>
    <fill>
      <patternFill patternType="solid">
        <fgColor rgb="FFCC66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25">
    <xf numFmtId="0" fontId="0" fillId="0" borderId="0" xfId="0"/>
    <xf numFmtId="0" fontId="1" fillId="0" borderId="1" xfId="0" applyFont="1" applyBorder="1" applyAlignment="1">
      <alignment vertical="center"/>
    </xf>
    <xf numFmtId="44" fontId="5" fillId="0" borderId="1" xfId="0" applyNumberFormat="1" applyFont="1" applyBorder="1"/>
    <xf numFmtId="164" fontId="6" fillId="0" borderId="1" xfId="0" applyNumberFormat="1" applyFont="1" applyBorder="1" applyAlignment="1">
      <alignment vertical="center"/>
    </xf>
    <xf numFmtId="164" fontId="5" fillId="0" borderId="1" xfId="0" applyNumberFormat="1" applyFont="1" applyBorder="1"/>
    <xf numFmtId="164" fontId="7" fillId="0" borderId="1" xfId="0" applyNumberFormat="1" applyFont="1" applyBorder="1" applyAlignment="1">
      <alignment vertical="center"/>
    </xf>
    <xf numFmtId="164" fontId="5" fillId="0" borderId="0" xfId="0" applyNumberFormat="1" applyFont="1"/>
    <xf numFmtId="0" fontId="11" fillId="0" borderId="1" xfId="0" applyFont="1" applyBorder="1"/>
    <xf numFmtId="0" fontId="12" fillId="3" borderId="3" xfId="0" applyFont="1" applyFill="1" applyBorder="1"/>
    <xf numFmtId="9" fontId="0" fillId="0" borderId="0" xfId="1" applyFont="1"/>
    <xf numFmtId="3" fontId="10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1" fontId="0" fillId="0" borderId="0" xfId="1" applyNumberFormat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" fontId="15" fillId="0" borderId="0" xfId="0" applyNumberFormat="1" applyFont="1"/>
    <xf numFmtId="164" fontId="15" fillId="0" borderId="0" xfId="0" applyNumberFormat="1" applyFont="1"/>
    <xf numFmtId="1" fontId="15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1" fontId="1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 wrapText="1"/>
    </xf>
    <xf numFmtId="164" fontId="0" fillId="6" borderId="0" xfId="0" applyNumberFormat="1" applyFill="1" applyAlignment="1">
      <alignment horizontal="center"/>
    </xf>
    <xf numFmtId="0" fontId="16" fillId="6" borderId="1" xfId="0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/>
    </xf>
    <xf numFmtId="1" fontId="3" fillId="6" borderId="0" xfId="0" applyNumberFormat="1" applyFont="1" applyFill="1" applyAlignment="1">
      <alignment horizontal="center"/>
    </xf>
    <xf numFmtId="1" fontId="20" fillId="6" borderId="0" xfId="0" applyNumberFormat="1" applyFont="1" applyFill="1" applyAlignment="1">
      <alignment horizontal="center" wrapText="1"/>
    </xf>
    <xf numFmtId="1" fontId="0" fillId="6" borderId="0" xfId="0" applyNumberFormat="1" applyFill="1" applyAlignment="1">
      <alignment horizontal="center"/>
    </xf>
    <xf numFmtId="3" fontId="10" fillId="6" borderId="0" xfId="0" applyNumberFormat="1" applyFont="1" applyFill="1" applyAlignment="1">
      <alignment horizontal="center"/>
    </xf>
    <xf numFmtId="3" fontId="12" fillId="6" borderId="0" xfId="0" applyNumberFormat="1" applyFont="1" applyFill="1" applyAlignment="1">
      <alignment horizontal="center"/>
    </xf>
    <xf numFmtId="9" fontId="0" fillId="6" borderId="0" xfId="1" applyFont="1" applyFill="1" applyAlignment="1">
      <alignment horizontal="center"/>
    </xf>
    <xf numFmtId="0" fontId="4" fillId="7" borderId="1" xfId="0" applyFont="1" applyFill="1" applyBorder="1" applyAlignment="1">
      <alignment vertical="center"/>
    </xf>
    <xf numFmtId="164" fontId="17" fillId="7" borderId="1" xfId="0" applyNumberFormat="1" applyFont="1" applyFill="1" applyBorder="1" applyAlignment="1">
      <alignment horizontal="right" vertical="center"/>
    </xf>
    <xf numFmtId="1" fontId="18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164" fontId="17" fillId="8" borderId="1" xfId="0" applyNumberFormat="1" applyFont="1" applyFill="1" applyBorder="1" applyAlignment="1">
      <alignment horizontal="right" vertical="center"/>
    </xf>
    <xf numFmtId="1" fontId="18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/>
    </xf>
    <xf numFmtId="164" fontId="17" fillId="9" borderId="1" xfId="0" applyNumberFormat="1" applyFont="1" applyFill="1" applyBorder="1" applyAlignment="1">
      <alignment horizontal="right" vertical="center"/>
    </xf>
    <xf numFmtId="1" fontId="18" fillId="9" borderId="1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right" vertical="center"/>
    </xf>
    <xf numFmtId="1" fontId="18" fillId="2" borderId="1" xfId="0" applyNumberFormat="1" applyFont="1" applyFill="1" applyBorder="1" applyAlignment="1">
      <alignment horizontal="center" vertical="center" wrapText="1"/>
    </xf>
    <xf numFmtId="164" fontId="17" fillId="10" borderId="1" xfId="0" applyNumberFormat="1" applyFont="1" applyFill="1" applyBorder="1" applyAlignment="1">
      <alignment horizontal="right" vertical="center"/>
    </xf>
    <xf numFmtId="1" fontId="18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4" fontId="17" fillId="11" borderId="1" xfId="0" applyNumberFormat="1" applyFont="1" applyFill="1" applyBorder="1" applyAlignment="1">
      <alignment horizontal="right" vertical="center"/>
    </xf>
    <xf numFmtId="1" fontId="18" fillId="11" borderId="1" xfId="0" applyNumberFormat="1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vertical="center"/>
    </xf>
    <xf numFmtId="0" fontId="17" fillId="8" borderId="1" xfId="0" applyFont="1" applyFill="1" applyBorder="1" applyAlignment="1">
      <alignment vertical="center"/>
    </xf>
    <xf numFmtId="1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6" borderId="0" xfId="0" applyNumberForma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11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1" fontId="22" fillId="0" borderId="1" xfId="0" applyNumberFormat="1" applyFont="1" applyBorder="1" applyAlignment="1">
      <alignment horizontal="center"/>
    </xf>
    <xf numFmtId="1" fontId="22" fillId="6" borderId="1" xfId="0" applyNumberFormat="1" applyFont="1" applyFill="1" applyBorder="1" applyAlignment="1">
      <alignment horizontal="center"/>
    </xf>
    <xf numFmtId="164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44" fontId="27" fillId="0" borderId="1" xfId="0" applyNumberFormat="1" applyFont="1" applyBorder="1"/>
    <xf numFmtId="1" fontId="28" fillId="0" borderId="1" xfId="0" applyNumberFormat="1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164" fontId="27" fillId="0" borderId="1" xfId="0" applyNumberFormat="1" applyFont="1" applyBorder="1"/>
    <xf numFmtId="0" fontId="22" fillId="0" borderId="0" xfId="0" applyFont="1"/>
    <xf numFmtId="1" fontId="22" fillId="0" borderId="0" xfId="0" applyNumberFormat="1" applyFont="1" applyAlignment="1">
      <alignment horizontal="center"/>
    </xf>
    <xf numFmtId="1" fontId="22" fillId="6" borderId="0" xfId="0" applyNumberFormat="1" applyFont="1" applyFill="1" applyAlignment="1">
      <alignment horizontal="center"/>
    </xf>
    <xf numFmtId="164" fontId="27" fillId="0" borderId="0" xfId="0" applyNumberFormat="1" applyFont="1"/>
    <xf numFmtId="1" fontId="28" fillId="0" borderId="0" xfId="0" applyNumberFormat="1" applyFont="1"/>
    <xf numFmtId="164" fontId="28" fillId="0" borderId="0" xfId="0" applyNumberFormat="1" applyFont="1"/>
    <xf numFmtId="1" fontId="28" fillId="0" borderId="0" xfId="0" applyNumberFormat="1" applyFont="1" applyAlignment="1">
      <alignment horizontal="center"/>
    </xf>
    <xf numFmtId="164" fontId="28" fillId="0" borderId="0" xfId="0" applyNumberFormat="1" applyFont="1" applyAlignment="1">
      <alignment horizontal="center"/>
    </xf>
    <xf numFmtId="2" fontId="28" fillId="0" borderId="0" xfId="0" applyNumberFormat="1" applyFont="1" applyAlignment="1">
      <alignment horizontal="center"/>
    </xf>
    <xf numFmtId="0" fontId="31" fillId="14" borderId="1" xfId="0" applyFont="1" applyFill="1" applyBorder="1"/>
    <xf numFmtId="0" fontId="32" fillId="13" borderId="1" xfId="0" applyFont="1" applyFill="1" applyBorder="1" applyAlignment="1">
      <alignment vertical="center"/>
    </xf>
    <xf numFmtId="0" fontId="32" fillId="15" borderId="1" xfId="0" applyFont="1" applyFill="1" applyBorder="1" applyAlignment="1">
      <alignment vertical="center"/>
    </xf>
    <xf numFmtId="1" fontId="3" fillId="16" borderId="0" xfId="2" applyNumberFormat="1" applyFont="1" applyFill="1" applyAlignment="1">
      <alignment horizontal="center" vertical="center"/>
    </xf>
    <xf numFmtId="165" fontId="17" fillId="7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vertical="center"/>
    </xf>
    <xf numFmtId="165" fontId="0" fillId="0" borderId="1" xfId="0" applyNumberFormat="1" applyBorder="1"/>
    <xf numFmtId="165" fontId="21" fillId="0" borderId="1" xfId="0" applyNumberFormat="1" applyFont="1" applyBorder="1" applyAlignment="1">
      <alignment vertical="center"/>
    </xf>
    <xf numFmtId="165" fontId="22" fillId="0" borderId="1" xfId="0" applyNumberFormat="1" applyFont="1" applyBorder="1"/>
    <xf numFmtId="165" fontId="17" fillId="2" borderId="1" xfId="0" applyNumberFormat="1" applyFont="1" applyFill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165" fontId="17" fillId="10" borderId="1" xfId="0" applyNumberFormat="1" applyFont="1" applyFill="1" applyBorder="1" applyAlignment="1">
      <alignment horizontal="right" vertical="center"/>
    </xf>
    <xf numFmtId="165" fontId="17" fillId="9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7" fillId="8" borderId="1" xfId="0" applyNumberFormat="1" applyFont="1" applyFill="1" applyBorder="1" applyAlignment="1">
      <alignment horizontal="right" vertical="center"/>
    </xf>
    <xf numFmtId="165" fontId="34" fillId="16" borderId="0" xfId="0" applyNumberFormat="1" applyFont="1" applyFill="1"/>
    <xf numFmtId="165" fontId="33" fillId="17" borderId="1" xfId="0" applyNumberFormat="1" applyFont="1" applyFill="1" applyBorder="1" applyAlignment="1">
      <alignment horizontal="center"/>
    </xf>
    <xf numFmtId="165" fontId="33" fillId="17" borderId="4" xfId="0" applyNumberFormat="1" applyFont="1" applyFill="1" applyBorder="1" applyAlignment="1">
      <alignment horizontal="center"/>
    </xf>
    <xf numFmtId="165" fontId="31" fillId="14" borderId="1" xfId="0" applyNumberFormat="1" applyFont="1" applyFill="1" applyBorder="1"/>
    <xf numFmtId="165" fontId="31" fillId="14" borderId="4" xfId="0" applyNumberFormat="1" applyFont="1" applyFill="1" applyBorder="1"/>
    <xf numFmtId="165" fontId="0" fillId="7" borderId="1" xfId="0" applyNumberFormat="1" applyFill="1" applyBorder="1"/>
    <xf numFmtId="165" fontId="0" fillId="7" borderId="4" xfId="0" applyNumberFormat="1" applyFill="1" applyBorder="1"/>
    <xf numFmtId="165" fontId="0" fillId="0" borderId="4" xfId="0" applyNumberFormat="1" applyBorder="1"/>
    <xf numFmtId="165" fontId="22" fillId="0" borderId="4" xfId="0" applyNumberFormat="1" applyFont="1" applyBorder="1"/>
    <xf numFmtId="165" fontId="0" fillId="2" borderId="1" xfId="0" applyNumberFormat="1" applyFill="1" applyBorder="1"/>
    <xf numFmtId="165" fontId="0" fillId="2" borderId="4" xfId="0" applyNumberFormat="1" applyFill="1" applyBorder="1"/>
    <xf numFmtId="165" fontId="0" fillId="10" borderId="1" xfId="0" applyNumberFormat="1" applyFill="1" applyBorder="1"/>
    <xf numFmtId="165" fontId="0" fillId="10" borderId="4" xfId="0" applyNumberFormat="1" applyFill="1" applyBorder="1"/>
    <xf numFmtId="165" fontId="0" fillId="9" borderId="1" xfId="0" applyNumberFormat="1" applyFill="1" applyBorder="1"/>
    <xf numFmtId="165" fontId="0" fillId="9" borderId="4" xfId="0" applyNumberFormat="1" applyFill="1" applyBorder="1"/>
    <xf numFmtId="165" fontId="0" fillId="11" borderId="1" xfId="0" applyNumberFormat="1" applyFill="1" applyBorder="1"/>
    <xf numFmtId="165" fontId="0" fillId="11" borderId="4" xfId="0" applyNumberFormat="1" applyFill="1" applyBorder="1"/>
    <xf numFmtId="165" fontId="29" fillId="0" borderId="4" xfId="0" applyNumberFormat="1" applyFont="1" applyBorder="1"/>
    <xf numFmtId="165" fontId="0" fillId="8" borderId="1" xfId="0" applyNumberFormat="1" applyFill="1" applyBorder="1"/>
    <xf numFmtId="165" fontId="0" fillId="8" borderId="4" xfId="0" applyNumberFormat="1" applyFill="1" applyBorder="1"/>
    <xf numFmtId="165" fontId="30" fillId="15" borderId="1" xfId="0" applyNumberFormat="1" applyFont="1" applyFill="1" applyBorder="1"/>
    <xf numFmtId="165" fontId="30" fillId="15" borderId="4" xfId="0" applyNumberFormat="1" applyFont="1" applyFill="1" applyBorder="1"/>
    <xf numFmtId="165" fontId="30" fillId="13" borderId="1" xfId="0" applyNumberFormat="1" applyFont="1" applyFill="1" applyBorder="1"/>
    <xf numFmtId="165" fontId="30" fillId="13" borderId="4" xfId="0" applyNumberFormat="1" applyFont="1" applyFill="1" applyBorder="1"/>
    <xf numFmtId="165" fontId="36" fillId="12" borderId="1" xfId="0" applyNumberFormat="1" applyFont="1" applyFill="1" applyBorder="1"/>
    <xf numFmtId="165" fontId="1" fillId="0" borderId="1" xfId="0" applyNumberFormat="1" applyFont="1" applyBorder="1"/>
    <xf numFmtId="165" fontId="10" fillId="0" borderId="1" xfId="0" applyNumberFormat="1" applyFont="1" applyBorder="1"/>
    <xf numFmtId="165" fontId="12" fillId="3" borderId="3" xfId="0" applyNumberFormat="1" applyFont="1" applyFill="1" applyBorder="1"/>
    <xf numFmtId="165" fontId="0" fillId="0" borderId="0" xfId="0" applyNumberFormat="1"/>
    <xf numFmtId="165" fontId="0" fillId="0" borderId="0" xfId="1" applyNumberFormat="1" applyFont="1"/>
    <xf numFmtId="0" fontId="37" fillId="0" borderId="1" xfId="0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40" fillId="17" borderId="1" xfId="0" applyFont="1" applyFill="1" applyBorder="1"/>
    <xf numFmtId="0" fontId="42" fillId="16" borderId="2" xfId="0" applyFont="1" applyFill="1" applyBorder="1" applyAlignment="1">
      <alignment vertical="center"/>
    </xf>
    <xf numFmtId="0" fontId="43" fillId="12" borderId="1" xfId="0" applyFont="1" applyFill="1" applyBorder="1"/>
    <xf numFmtId="165" fontId="19" fillId="5" borderId="1" xfId="0" applyNumberFormat="1" applyFont="1" applyFill="1" applyBorder="1"/>
    <xf numFmtId="165" fontId="0" fillId="18" borderId="1" xfId="0" applyNumberFormat="1" applyFill="1" applyBorder="1"/>
    <xf numFmtId="165" fontId="0" fillId="18" borderId="4" xfId="0" applyNumberFormat="1" applyFill="1" applyBorder="1"/>
    <xf numFmtId="165" fontId="19" fillId="4" borderId="1" xfId="0" applyNumberFormat="1" applyFont="1" applyFill="1" applyBorder="1"/>
    <xf numFmtId="0" fontId="41" fillId="16" borderId="0" xfId="0" applyFont="1" applyFill="1" applyAlignment="1">
      <alignment wrapText="1"/>
    </xf>
    <xf numFmtId="0" fontId="4" fillId="19" borderId="1" xfId="0" applyFont="1" applyFill="1" applyBorder="1" applyAlignment="1">
      <alignment vertical="center"/>
    </xf>
    <xf numFmtId="165" fontId="4" fillId="19" borderId="1" xfId="0" applyNumberFormat="1" applyFont="1" applyFill="1" applyBorder="1" applyAlignment="1">
      <alignment horizontal="center" vertical="center"/>
    </xf>
    <xf numFmtId="1" fontId="23" fillId="19" borderId="1" xfId="0" applyNumberFormat="1" applyFont="1" applyFill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center" vertical="center" wrapText="1"/>
    </xf>
    <xf numFmtId="165" fontId="35" fillId="16" borderId="0" xfId="0" applyNumberFormat="1" applyFont="1" applyFill="1" applyAlignment="1">
      <alignment vertical="top" wrapText="1"/>
    </xf>
    <xf numFmtId="0" fontId="33" fillId="20" borderId="1" xfId="0" applyFont="1" applyFill="1" applyBorder="1" applyAlignment="1">
      <alignment vertical="center"/>
    </xf>
    <xf numFmtId="165" fontId="31" fillId="20" borderId="1" xfId="0" applyNumberFormat="1" applyFont="1" applyFill="1" applyBorder="1"/>
    <xf numFmtId="165" fontId="0" fillId="21" borderId="1" xfId="0" applyNumberFormat="1" applyFill="1" applyBorder="1"/>
    <xf numFmtId="165" fontId="0" fillId="21" borderId="4" xfId="0" applyNumberFormat="1" applyFill="1" applyBorder="1"/>
    <xf numFmtId="1" fontId="28" fillId="0" borderId="0" xfId="0" applyNumberFormat="1" applyFont="1" applyAlignment="1">
      <alignment horizontal="left"/>
    </xf>
    <xf numFmtId="165" fontId="39" fillId="0" borderId="1" xfId="0" applyNumberFormat="1" applyFont="1" applyBorder="1"/>
    <xf numFmtId="165" fontId="39" fillId="0" borderId="4" xfId="0" applyNumberFormat="1" applyFont="1" applyBorder="1"/>
    <xf numFmtId="1" fontId="39" fillId="0" borderId="0" xfId="0" applyNumberFormat="1" applyFont="1" applyAlignment="1">
      <alignment horizontal="center"/>
    </xf>
    <xf numFmtId="1" fontId="39" fillId="6" borderId="0" xfId="0" applyNumberFormat="1" applyFont="1" applyFill="1" applyAlignment="1">
      <alignment horizontal="center"/>
    </xf>
    <xf numFmtId="164" fontId="44" fillId="0" borderId="0" xfId="0" applyNumberFormat="1" applyFont="1"/>
    <xf numFmtId="1" fontId="45" fillId="0" borderId="0" xfId="0" applyNumberFormat="1" applyFont="1"/>
    <xf numFmtId="1" fontId="45" fillId="0" borderId="0" xfId="0" applyNumberFormat="1" applyFont="1" applyAlignment="1">
      <alignment horizontal="center"/>
    </xf>
    <xf numFmtId="164" fontId="45" fillId="0" borderId="0" xfId="0" applyNumberFormat="1" applyFont="1" applyAlignment="1">
      <alignment horizontal="center"/>
    </xf>
    <xf numFmtId="2" fontId="45" fillId="0" borderId="0" xfId="0" applyNumberFormat="1" applyFont="1" applyAlignment="1">
      <alignment horizontal="center"/>
    </xf>
    <xf numFmtId="0" fontId="39" fillId="0" borderId="0" xfId="0" applyFont="1"/>
    <xf numFmtId="0" fontId="46" fillId="0" borderId="1" xfId="0" applyFont="1" applyBorder="1" applyAlignment="1">
      <alignment vertical="center"/>
    </xf>
    <xf numFmtId="165" fontId="46" fillId="0" borderId="1" xfId="0" applyNumberFormat="1" applyFont="1" applyBorder="1"/>
    <xf numFmtId="165" fontId="46" fillId="0" borderId="4" xfId="0" applyNumberFormat="1" applyFont="1" applyBorder="1"/>
    <xf numFmtId="1" fontId="46" fillId="0" borderId="0" xfId="0" applyNumberFormat="1" applyFont="1" applyAlignment="1">
      <alignment horizontal="center"/>
    </xf>
    <xf numFmtId="1" fontId="46" fillId="6" borderId="0" xfId="0" applyNumberFormat="1" applyFont="1" applyFill="1" applyAlignment="1">
      <alignment horizontal="center"/>
    </xf>
    <xf numFmtId="164" fontId="47" fillId="0" borderId="0" xfId="0" applyNumberFormat="1" applyFont="1"/>
    <xf numFmtId="1" fontId="48" fillId="0" borderId="0" xfId="0" applyNumberFormat="1" applyFont="1"/>
    <xf numFmtId="1" fontId="48" fillId="0" borderId="0" xfId="0" applyNumberFormat="1" applyFont="1" applyAlignment="1">
      <alignment horizontal="center"/>
    </xf>
    <xf numFmtId="164" fontId="48" fillId="0" borderId="0" xfId="0" applyNumberFormat="1" applyFont="1" applyAlignment="1">
      <alignment horizontal="center"/>
    </xf>
    <xf numFmtId="2" fontId="48" fillId="0" borderId="0" xfId="0" applyNumberFormat="1" applyFont="1" applyAlignment="1">
      <alignment horizontal="center"/>
    </xf>
    <xf numFmtId="0" fontId="46" fillId="0" borderId="0" xfId="0" applyFont="1"/>
    <xf numFmtId="164" fontId="49" fillId="0" borderId="0" xfId="0" applyNumberFormat="1" applyFont="1"/>
    <xf numFmtId="0" fontId="50" fillId="3" borderId="3" xfId="0" applyFont="1" applyFill="1" applyBorder="1"/>
    <xf numFmtId="165" fontId="51" fillId="22" borderId="1" xfId="0" applyNumberFormat="1" applyFont="1" applyFill="1" applyBorder="1"/>
    <xf numFmtId="0" fontId="31" fillId="23" borderId="0" xfId="0" applyFont="1" applyFill="1"/>
    <xf numFmtId="9" fontId="31" fillId="23" borderId="0" xfId="1" applyFont="1" applyFill="1"/>
    <xf numFmtId="164" fontId="6" fillId="19" borderId="1" xfId="0" applyNumberFormat="1" applyFont="1" applyFill="1" applyBorder="1" applyAlignment="1">
      <alignment vertical="center"/>
    </xf>
    <xf numFmtId="0" fontId="13" fillId="19" borderId="1" xfId="0" applyFont="1" applyFill="1" applyBorder="1" applyAlignment="1">
      <alignment horizontal="center" vertical="center"/>
    </xf>
    <xf numFmtId="2" fontId="13" fillId="19" borderId="1" xfId="0" applyNumberFormat="1" applyFont="1" applyFill="1" applyBorder="1" applyAlignment="1">
      <alignment horizontal="center" vertical="center"/>
    </xf>
    <xf numFmtId="44" fontId="5" fillId="19" borderId="1" xfId="0" applyNumberFormat="1" applyFont="1" applyFill="1" applyBorder="1"/>
    <xf numFmtId="1" fontId="15" fillId="19" borderId="1" xfId="0" applyNumberFormat="1" applyFont="1" applyFill="1" applyBorder="1" applyAlignment="1">
      <alignment horizontal="center"/>
    </xf>
    <xf numFmtId="2" fontId="15" fillId="19" borderId="1" xfId="0" applyNumberFormat="1" applyFont="1" applyFill="1" applyBorder="1" applyAlignment="1">
      <alignment horizontal="center"/>
    </xf>
    <xf numFmtId="164" fontId="5" fillId="19" borderId="1" xfId="0" applyNumberFormat="1" applyFont="1" applyFill="1" applyBorder="1"/>
    <xf numFmtId="164" fontId="25" fillId="19" borderId="1" xfId="0" applyNumberFormat="1" applyFont="1" applyFill="1" applyBorder="1" applyAlignment="1">
      <alignment vertical="center"/>
    </xf>
    <xf numFmtId="0" fontId="26" fillId="19" borderId="1" xfId="0" applyFont="1" applyFill="1" applyBorder="1" applyAlignment="1">
      <alignment horizontal="center" vertical="center"/>
    </xf>
    <xf numFmtId="2" fontId="26" fillId="19" borderId="1" xfId="0" applyNumberFormat="1" applyFont="1" applyFill="1" applyBorder="1" applyAlignment="1">
      <alignment horizontal="center" vertical="center"/>
    </xf>
    <xf numFmtId="44" fontId="27" fillId="19" borderId="1" xfId="0" applyNumberFormat="1" applyFont="1" applyFill="1" applyBorder="1"/>
    <xf numFmtId="1" fontId="28" fillId="19" borderId="1" xfId="0" applyNumberFormat="1" applyFont="1" applyFill="1" applyBorder="1" applyAlignment="1">
      <alignment horizontal="center"/>
    </xf>
    <xf numFmtId="2" fontId="28" fillId="19" borderId="1" xfId="0" applyNumberFormat="1" applyFont="1" applyFill="1" applyBorder="1" applyAlignment="1">
      <alignment horizontal="center"/>
    </xf>
    <xf numFmtId="164" fontId="27" fillId="19" borderId="1" xfId="0" applyNumberFormat="1" applyFont="1" applyFill="1" applyBorder="1"/>
    <xf numFmtId="164" fontId="7" fillId="19" borderId="1" xfId="0" applyNumberFormat="1" applyFont="1" applyFill="1" applyBorder="1" applyAlignment="1">
      <alignment vertical="center"/>
    </xf>
    <xf numFmtId="164" fontId="3" fillId="24" borderId="0" xfId="0" applyNumberFormat="1" applyFont="1" applyFill="1"/>
    <xf numFmtId="1" fontId="3" fillId="24" borderId="0" xfId="2" applyNumberFormat="1" applyFont="1" applyFill="1" applyAlignment="1">
      <alignment horizontal="center" vertical="center"/>
    </xf>
    <xf numFmtId="0" fontId="4" fillId="25" borderId="1" xfId="0" applyFont="1" applyFill="1" applyBorder="1" applyAlignment="1">
      <alignment vertical="center"/>
    </xf>
    <xf numFmtId="165" fontId="17" fillId="25" borderId="1" xfId="0" applyNumberFormat="1" applyFont="1" applyFill="1" applyBorder="1" applyAlignment="1">
      <alignment horizontal="right" vertical="center"/>
    </xf>
    <xf numFmtId="1" fontId="18" fillId="25" borderId="1" xfId="0" applyNumberFormat="1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vertical="center"/>
    </xf>
    <xf numFmtId="0" fontId="3" fillId="25" borderId="1" xfId="0" applyFont="1" applyFill="1" applyBorder="1" applyAlignment="1">
      <alignment vertical="center"/>
    </xf>
    <xf numFmtId="165" fontId="0" fillId="25" borderId="1" xfId="0" applyNumberFormat="1" applyFill="1" applyBorder="1"/>
    <xf numFmtId="165" fontId="0" fillId="25" borderId="4" xfId="0" applyNumberFormat="1" applyFill="1" applyBorder="1"/>
    <xf numFmtId="0" fontId="21" fillId="25" borderId="1" xfId="0" applyFont="1" applyFill="1" applyBorder="1" applyAlignment="1">
      <alignment vertical="center"/>
    </xf>
    <xf numFmtId="165" fontId="22" fillId="25" borderId="1" xfId="0" applyNumberFormat="1" applyFont="1" applyFill="1" applyBorder="1"/>
    <xf numFmtId="165" fontId="22" fillId="25" borderId="4" xfId="0" applyNumberFormat="1" applyFont="1" applyFill="1" applyBorder="1"/>
    <xf numFmtId="0" fontId="32" fillId="25" borderId="1" xfId="0" applyFont="1" applyFill="1" applyBorder="1" applyAlignment="1">
      <alignment vertical="center"/>
    </xf>
    <xf numFmtId="165" fontId="30" fillId="25" borderId="1" xfId="0" applyNumberFormat="1" applyFont="1" applyFill="1" applyBorder="1"/>
    <xf numFmtId="165" fontId="30" fillId="25" borderId="4" xfId="0" applyNumberFormat="1" applyFont="1" applyFill="1" applyBorder="1"/>
    <xf numFmtId="164" fontId="17" fillId="25" borderId="1" xfId="0" applyNumberFormat="1" applyFont="1" applyFill="1" applyBorder="1" applyAlignment="1">
      <alignment horizontal="right" vertical="center"/>
    </xf>
    <xf numFmtId="165" fontId="15" fillId="0" borderId="0" xfId="0" applyNumberFormat="1" applyFont="1"/>
    <xf numFmtId="165" fontId="15" fillId="0" borderId="0" xfId="1" applyNumberFormat="1" applyFont="1"/>
    <xf numFmtId="10" fontId="25" fillId="0" borderId="1" xfId="1" applyNumberFormat="1" applyFont="1" applyBorder="1" applyAlignment="1">
      <alignment vertical="center"/>
    </xf>
    <xf numFmtId="165" fontId="55" fillId="0" borderId="1" xfId="0" applyNumberFormat="1" applyFont="1" applyBorder="1" applyAlignment="1">
      <alignment vertical="center"/>
    </xf>
    <xf numFmtId="165" fontId="29" fillId="0" borderId="1" xfId="0" applyNumberFormat="1" applyFont="1" applyBorder="1"/>
    <xf numFmtId="1" fontId="29" fillId="0" borderId="1" xfId="0" applyNumberFormat="1" applyFont="1" applyBorder="1" applyAlignment="1">
      <alignment horizontal="center"/>
    </xf>
    <xf numFmtId="1" fontId="29" fillId="6" borderId="1" xfId="0" applyNumberFormat="1" applyFont="1" applyFill="1" applyBorder="1" applyAlignment="1">
      <alignment horizontal="center"/>
    </xf>
    <xf numFmtId="164" fontId="56" fillId="19" borderId="1" xfId="0" applyNumberFormat="1" applyFont="1" applyFill="1" applyBorder="1" applyAlignment="1">
      <alignment vertical="center"/>
    </xf>
    <xf numFmtId="0" fontId="57" fillId="19" borderId="1" xfId="0" applyFont="1" applyFill="1" applyBorder="1" applyAlignment="1">
      <alignment horizontal="center" vertical="center"/>
    </xf>
    <xf numFmtId="2" fontId="57" fillId="19" borderId="1" xfId="0" applyNumberFormat="1" applyFont="1" applyFill="1" applyBorder="1" applyAlignment="1">
      <alignment horizontal="center" vertical="center"/>
    </xf>
    <xf numFmtId="44" fontId="58" fillId="19" borderId="1" xfId="0" applyNumberFormat="1" applyFont="1" applyFill="1" applyBorder="1"/>
    <xf numFmtId="1" fontId="59" fillId="19" borderId="1" xfId="0" applyNumberFormat="1" applyFont="1" applyFill="1" applyBorder="1" applyAlignment="1">
      <alignment horizontal="center"/>
    </xf>
    <xf numFmtId="2" fontId="59" fillId="19" borderId="1" xfId="0" applyNumberFormat="1" applyFont="1" applyFill="1" applyBorder="1" applyAlignment="1">
      <alignment horizontal="center"/>
    </xf>
    <xf numFmtId="164" fontId="58" fillId="19" borderId="1" xfId="0" applyNumberFormat="1" applyFont="1" applyFill="1" applyBorder="1"/>
    <xf numFmtId="0" fontId="29" fillId="0" borderId="0" xfId="0" applyFont="1"/>
    <xf numFmtId="1" fontId="48" fillId="0" borderId="0" xfId="0" applyNumberFormat="1" applyFont="1" applyAlignment="1">
      <alignment horizontal="left"/>
    </xf>
    <xf numFmtId="164" fontId="48" fillId="0" borderId="0" xfId="0" applyNumberFormat="1" applyFont="1"/>
    <xf numFmtId="165" fontId="17" fillId="0" borderId="1" xfId="0" applyNumberFormat="1" applyFont="1" applyBorder="1" applyAlignment="1">
      <alignment horizontal="right" vertical="center"/>
    </xf>
    <xf numFmtId="0" fontId="31" fillId="26" borderId="1" xfId="0" applyFont="1" applyFill="1" applyBorder="1"/>
    <xf numFmtId="165" fontId="33" fillId="17" borderId="1" xfId="0" applyNumberFormat="1" applyFont="1" applyFill="1" applyBorder="1" applyAlignment="1">
      <alignment horizontal="center" vertical="center"/>
    </xf>
    <xf numFmtId="0" fontId="35" fillId="17" borderId="0" xfId="0" applyFont="1" applyFill="1"/>
    <xf numFmtId="165" fontId="17" fillId="16" borderId="1" xfId="0" applyNumberFormat="1" applyFont="1" applyFill="1" applyBorder="1" applyAlignment="1">
      <alignment horizontal="right" vertical="center"/>
    </xf>
    <xf numFmtId="0" fontId="0" fillId="16" borderId="0" xfId="0" applyFill="1"/>
    <xf numFmtId="0" fontId="4" fillId="27" borderId="1" xfId="0" applyFont="1" applyFill="1" applyBorder="1" applyAlignment="1">
      <alignment vertical="center"/>
    </xf>
    <xf numFmtId="165" fontId="17" fillId="27" borderId="1" xfId="0" applyNumberFormat="1" applyFont="1" applyFill="1" applyBorder="1" applyAlignment="1">
      <alignment horizontal="right" vertical="center"/>
    </xf>
    <xf numFmtId="0" fontId="0" fillId="27" borderId="0" xfId="0" applyFill="1"/>
    <xf numFmtId="0" fontId="3" fillId="27" borderId="1" xfId="0" applyFont="1" applyFill="1" applyBorder="1" applyAlignment="1">
      <alignment vertical="center"/>
    </xf>
    <xf numFmtId="1" fontId="0" fillId="27" borderId="0" xfId="0" applyNumberFormat="1" applyFill="1" applyAlignment="1">
      <alignment horizontal="center"/>
    </xf>
    <xf numFmtId="164" fontId="5" fillId="27" borderId="0" xfId="0" applyNumberFormat="1" applyFont="1" applyFill="1"/>
    <xf numFmtId="0" fontId="17" fillId="27" borderId="1" xfId="0" applyFont="1" applyFill="1" applyBorder="1" applyAlignment="1">
      <alignment vertical="center"/>
    </xf>
    <xf numFmtId="0" fontId="0" fillId="2" borderId="0" xfId="0" applyFill="1"/>
    <xf numFmtId="1" fontId="0" fillId="2" borderId="0" xfId="0" applyNumberFormat="1" applyFill="1" applyAlignment="1">
      <alignment horizontal="center"/>
    </xf>
    <xf numFmtId="164" fontId="5" fillId="2" borderId="0" xfId="0" applyNumberFormat="1" applyFont="1" applyFill="1"/>
    <xf numFmtId="0" fontId="36" fillId="3" borderId="3" xfId="0" applyFont="1" applyFill="1" applyBorder="1"/>
    <xf numFmtId="164" fontId="61" fillId="28" borderId="0" xfId="0" applyNumberFormat="1" applyFont="1" applyFill="1"/>
    <xf numFmtId="0" fontId="43" fillId="29" borderId="1" xfId="0" applyFont="1" applyFill="1" applyBorder="1"/>
    <xf numFmtId="165" fontId="60" fillId="30" borderId="1" xfId="0" applyNumberFormat="1" applyFont="1" applyFill="1" applyBorder="1" applyAlignment="1">
      <alignment horizontal="right" vertical="center"/>
    </xf>
    <xf numFmtId="164" fontId="61" fillId="30" borderId="0" xfId="0" applyNumberFormat="1" applyFont="1" applyFill="1"/>
    <xf numFmtId="165" fontId="60" fillId="20" borderId="1" xfId="0" applyNumberFormat="1" applyFont="1" applyFill="1" applyBorder="1" applyAlignment="1">
      <alignment horizontal="right" vertical="center"/>
    </xf>
    <xf numFmtId="1" fontId="52" fillId="20" borderId="0" xfId="0" applyNumberFormat="1" applyFont="1" applyFill="1" applyAlignment="1">
      <alignment horizontal="center"/>
    </xf>
    <xf numFmtId="0" fontId="32" fillId="31" borderId="1" xfId="0" applyFont="1" applyFill="1" applyBorder="1" applyAlignment="1">
      <alignment vertical="center"/>
    </xf>
    <xf numFmtId="165" fontId="60" fillId="31" borderId="1" xfId="0" applyNumberFormat="1" applyFont="1" applyFill="1" applyBorder="1" applyAlignment="1">
      <alignment horizontal="right" vertical="center"/>
    </xf>
    <xf numFmtId="0" fontId="52" fillId="31" borderId="0" xfId="0" applyFont="1" applyFill="1"/>
    <xf numFmtId="165" fontId="60" fillId="15" borderId="1" xfId="0" applyNumberFormat="1" applyFont="1" applyFill="1" applyBorder="1" applyAlignment="1">
      <alignment horizontal="right" vertical="center"/>
    </xf>
    <xf numFmtId="0" fontId="52" fillId="15" borderId="0" xfId="0" applyFont="1" applyFill="1"/>
    <xf numFmtId="165" fontId="60" fillId="26" borderId="1" xfId="0" applyNumberFormat="1" applyFont="1" applyFill="1" applyBorder="1" applyAlignment="1">
      <alignment horizontal="right" vertical="center"/>
    </xf>
    <xf numFmtId="0" fontId="52" fillId="26" borderId="0" xfId="0" applyFont="1" applyFill="1"/>
    <xf numFmtId="0" fontId="0" fillId="10" borderId="0" xfId="0" applyFill="1"/>
    <xf numFmtId="1" fontId="0" fillId="10" borderId="0" xfId="0" applyNumberFormat="1" applyFill="1" applyAlignment="1">
      <alignment horizontal="center"/>
    </xf>
    <xf numFmtId="164" fontId="5" fillId="10" borderId="0" xfId="0" applyNumberFormat="1" applyFont="1" applyFill="1"/>
    <xf numFmtId="0" fontId="0" fillId="11" borderId="0" xfId="0" applyFill="1"/>
    <xf numFmtId="1" fontId="0" fillId="11" borderId="0" xfId="0" applyNumberFormat="1" applyFill="1" applyAlignment="1">
      <alignment horizontal="center"/>
    </xf>
    <xf numFmtId="164" fontId="5" fillId="11" borderId="0" xfId="0" applyNumberFormat="1" applyFont="1" applyFill="1"/>
    <xf numFmtId="164" fontId="5" fillId="8" borderId="0" xfId="0" applyNumberFormat="1" applyFont="1" applyFill="1"/>
    <xf numFmtId="1" fontId="0" fillId="8" borderId="0" xfId="0" applyNumberFormat="1" applyFill="1" applyAlignment="1">
      <alignment horizontal="center"/>
    </xf>
    <xf numFmtId="0" fontId="0" fillId="8" borderId="0" xfId="0" applyFill="1"/>
    <xf numFmtId="165" fontId="15" fillId="19" borderId="1" xfId="0" applyNumberFormat="1" applyFont="1" applyFill="1" applyBorder="1" applyAlignment="1">
      <alignment horizontal="center" vertical="center"/>
    </xf>
    <xf numFmtId="165" fontId="62" fillId="7" borderId="1" xfId="0" applyNumberFormat="1" applyFont="1" applyFill="1" applyBorder="1" applyAlignment="1">
      <alignment horizontal="right" vertical="center"/>
    </xf>
    <xf numFmtId="165" fontId="62" fillId="0" borderId="1" xfId="0" applyNumberFormat="1" applyFont="1" applyBorder="1" applyAlignment="1">
      <alignment horizontal="right" vertical="center"/>
    </xf>
    <xf numFmtId="165" fontId="62" fillId="2" borderId="1" xfId="0" applyNumberFormat="1" applyFont="1" applyFill="1" applyBorder="1" applyAlignment="1">
      <alignment horizontal="right" vertical="center"/>
    </xf>
    <xf numFmtId="165" fontId="62" fillId="10" borderId="1" xfId="0" applyNumberFormat="1" applyFont="1" applyFill="1" applyBorder="1" applyAlignment="1">
      <alignment horizontal="right" vertical="center"/>
    </xf>
    <xf numFmtId="165" fontId="62" fillId="11" borderId="1" xfId="0" applyNumberFormat="1" applyFont="1" applyFill="1" applyBorder="1" applyAlignment="1">
      <alignment horizontal="right" vertical="center"/>
    </xf>
    <xf numFmtId="165" fontId="62" fillId="8" borderId="1" xfId="0" applyNumberFormat="1" applyFont="1" applyFill="1" applyBorder="1" applyAlignment="1">
      <alignment horizontal="right" vertical="center"/>
    </xf>
    <xf numFmtId="165" fontId="62" fillId="27" borderId="1" xfId="0" applyNumberFormat="1" applyFont="1" applyFill="1" applyBorder="1" applyAlignment="1">
      <alignment horizontal="right" vertical="center"/>
    </xf>
    <xf numFmtId="165" fontId="62" fillId="16" borderId="1" xfId="0" applyNumberFormat="1" applyFont="1" applyFill="1" applyBorder="1" applyAlignment="1">
      <alignment horizontal="right" vertical="center"/>
    </xf>
    <xf numFmtId="165" fontId="63" fillId="17" borderId="1" xfId="0" applyNumberFormat="1" applyFont="1" applyFill="1" applyBorder="1" applyAlignment="1">
      <alignment horizontal="center" vertical="center"/>
    </xf>
    <xf numFmtId="165" fontId="64" fillId="26" borderId="1" xfId="0" applyNumberFormat="1" applyFont="1" applyFill="1" applyBorder="1" applyAlignment="1">
      <alignment horizontal="right" vertical="center"/>
    </xf>
    <xf numFmtId="165" fontId="64" fillId="15" borderId="1" xfId="0" applyNumberFormat="1" applyFont="1" applyFill="1" applyBorder="1" applyAlignment="1">
      <alignment horizontal="right" vertical="center"/>
    </xf>
    <xf numFmtId="165" fontId="64" fillId="31" borderId="1" xfId="0" applyNumberFormat="1" applyFont="1" applyFill="1" applyBorder="1" applyAlignment="1">
      <alignment horizontal="right" vertical="center"/>
    </xf>
    <xf numFmtId="165" fontId="64" fillId="20" borderId="1" xfId="0" applyNumberFormat="1" applyFont="1" applyFill="1" applyBorder="1" applyAlignment="1">
      <alignment horizontal="right" vertical="center"/>
    </xf>
    <xf numFmtId="165" fontId="64" fillId="30" borderId="1" xfId="0" applyNumberFormat="1" applyFont="1" applyFill="1" applyBorder="1" applyAlignment="1">
      <alignment horizontal="right" vertical="center"/>
    </xf>
    <xf numFmtId="165" fontId="65" fillId="28" borderId="1" xfId="0" applyNumberFormat="1" applyFont="1" applyFill="1" applyBorder="1" applyAlignment="1">
      <alignment horizontal="right" vertical="center"/>
    </xf>
    <xf numFmtId="9" fontId="63" fillId="23" borderId="0" xfId="1" applyFont="1" applyFill="1"/>
    <xf numFmtId="0" fontId="35" fillId="0" borderId="0" xfId="0" applyFont="1"/>
    <xf numFmtId="0" fontId="52" fillId="0" borderId="0" xfId="0" applyFont="1"/>
    <xf numFmtId="1" fontId="52" fillId="0" borderId="0" xfId="0" applyNumberFormat="1" applyFont="1" applyAlignment="1">
      <alignment horizontal="center"/>
    </xf>
    <xf numFmtId="164" fontId="61" fillId="0" borderId="0" xfId="0" applyNumberFormat="1" applyFont="1"/>
    <xf numFmtId="0" fontId="53" fillId="0" borderId="0" xfId="0" applyFont="1" applyAlignment="1">
      <alignment vertical="center" wrapText="1"/>
    </xf>
    <xf numFmtId="0" fontId="41" fillId="32" borderId="0" xfId="0" applyFont="1" applyFill="1" applyAlignment="1">
      <alignment vertical="center" wrapText="1"/>
    </xf>
    <xf numFmtId="165" fontId="66" fillId="16" borderId="1" xfId="0" applyNumberFormat="1" applyFont="1" applyFill="1" applyBorder="1" applyAlignment="1">
      <alignment horizontal="right" vertical="center"/>
    </xf>
    <xf numFmtId="165" fontId="67" fillId="30" borderId="1" xfId="0" applyNumberFormat="1" applyFont="1" applyFill="1" applyBorder="1" applyAlignment="1">
      <alignment horizontal="right" vertical="center"/>
    </xf>
    <xf numFmtId="9" fontId="59" fillId="33" borderId="0" xfId="1" applyFont="1" applyFill="1"/>
    <xf numFmtId="164" fontId="29" fillId="0" borderId="0" xfId="0" applyNumberFormat="1" applyFont="1"/>
    <xf numFmtId="164" fontId="0" fillId="0" borderId="0" xfId="0" applyNumberFormat="1"/>
    <xf numFmtId="164" fontId="45" fillId="0" borderId="0" xfId="0" applyNumberFormat="1" applyFont="1"/>
    <xf numFmtId="1" fontId="45" fillId="0" borderId="0" xfId="0" applyNumberFormat="1" applyFont="1" applyAlignment="1">
      <alignment horizontal="left"/>
    </xf>
    <xf numFmtId="165" fontId="46" fillId="16" borderId="1" xfId="0" applyNumberFormat="1" applyFont="1" applyFill="1" applyBorder="1"/>
    <xf numFmtId="0" fontId="37" fillId="16" borderId="1" xfId="0" applyFont="1" applyFill="1" applyBorder="1" applyAlignment="1">
      <alignment vertical="center"/>
    </xf>
    <xf numFmtId="44" fontId="0" fillId="0" borderId="0" xfId="0" applyNumberFormat="1"/>
    <xf numFmtId="0" fontId="29" fillId="0" borderId="1" xfId="0" applyFont="1" applyBorder="1" applyAlignment="1">
      <alignment vertical="center"/>
    </xf>
    <xf numFmtId="165" fontId="68" fillId="0" borderId="1" xfId="0" applyNumberFormat="1" applyFont="1" applyBorder="1" applyAlignment="1">
      <alignment vertical="center"/>
    </xf>
    <xf numFmtId="165" fontId="55" fillId="16" borderId="1" xfId="0" applyNumberFormat="1" applyFont="1" applyFill="1" applyBorder="1" applyAlignment="1">
      <alignment vertical="center"/>
    </xf>
    <xf numFmtId="164" fontId="29" fillId="0" borderId="0" xfId="0" applyNumberFormat="1" applyFont="1" applyAlignment="1">
      <alignment wrapText="1"/>
    </xf>
    <xf numFmtId="44" fontId="69" fillId="19" borderId="1" xfId="0" applyNumberFormat="1" applyFont="1" applyFill="1" applyBorder="1"/>
    <xf numFmtId="1" fontId="70" fillId="19" borderId="1" xfId="0" applyNumberFormat="1" applyFont="1" applyFill="1" applyBorder="1" applyAlignment="1">
      <alignment horizontal="center"/>
    </xf>
    <xf numFmtId="2" fontId="70" fillId="19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vertical="center"/>
    </xf>
    <xf numFmtId="164" fontId="69" fillId="19" borderId="1" xfId="0" applyNumberFormat="1" applyFont="1" applyFill="1" applyBorder="1"/>
    <xf numFmtId="44" fontId="29" fillId="0" borderId="0" xfId="0" applyNumberFormat="1" applyFont="1"/>
    <xf numFmtId="164" fontId="22" fillId="0" borderId="0" xfId="0" applyNumberFormat="1" applyFont="1"/>
    <xf numFmtId="164" fontId="71" fillId="0" borderId="0" xfId="0" applyNumberFormat="1" applyFont="1"/>
    <xf numFmtId="0" fontId="71" fillId="0" borderId="0" xfId="0" applyFont="1"/>
    <xf numFmtId="44" fontId="22" fillId="0" borderId="0" xfId="0" applyNumberFormat="1" applyFont="1"/>
    <xf numFmtId="0" fontId="55" fillId="0" borderId="1" xfId="0" applyFont="1" applyBorder="1" applyAlignment="1">
      <alignment vertical="center"/>
    </xf>
    <xf numFmtId="1" fontId="29" fillId="0" borderId="0" xfId="0" applyNumberFormat="1" applyFont="1" applyAlignment="1">
      <alignment horizontal="center"/>
    </xf>
    <xf numFmtId="1" fontId="29" fillId="6" borderId="0" xfId="0" applyNumberFormat="1" applyFont="1" applyFill="1" applyAlignment="1">
      <alignment horizontal="center"/>
    </xf>
    <xf numFmtId="164" fontId="58" fillId="0" borderId="0" xfId="0" applyNumberFormat="1" applyFont="1"/>
    <xf numFmtId="1" fontId="59" fillId="0" borderId="0" xfId="0" applyNumberFormat="1" applyFont="1"/>
    <xf numFmtId="164" fontId="59" fillId="0" borderId="0" xfId="0" applyNumberFormat="1" applyFont="1"/>
    <xf numFmtId="1" fontId="59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center"/>
    </xf>
    <xf numFmtId="2" fontId="59" fillId="0" borderId="0" xfId="0" applyNumberFormat="1" applyFont="1" applyAlignment="1">
      <alignment horizontal="center"/>
    </xf>
    <xf numFmtId="0" fontId="46" fillId="16" borderId="1" xfId="0" applyFont="1" applyFill="1" applyBorder="1" applyAlignment="1">
      <alignment vertical="center"/>
    </xf>
    <xf numFmtId="165" fontId="67" fillId="28" borderId="4" xfId="0" applyNumberFormat="1" applyFont="1" applyFill="1" applyBorder="1" applyAlignment="1">
      <alignment horizontal="right" vertical="center"/>
    </xf>
    <xf numFmtId="165" fontId="65" fillId="28" borderId="6" xfId="0" applyNumberFormat="1" applyFont="1" applyFill="1" applyBorder="1" applyAlignment="1">
      <alignment horizontal="right" vertical="center"/>
    </xf>
    <xf numFmtId="165" fontId="17" fillId="0" borderId="3" xfId="0" applyNumberFormat="1" applyFont="1" applyBorder="1" applyAlignment="1">
      <alignment horizontal="right" vertical="center"/>
    </xf>
    <xf numFmtId="165" fontId="17" fillId="7" borderId="10" xfId="0" applyNumberFormat="1" applyFont="1" applyFill="1" applyBorder="1" applyAlignment="1">
      <alignment horizontal="right" vertical="center"/>
    </xf>
    <xf numFmtId="165" fontId="72" fillId="34" borderId="9" xfId="0" applyNumberFormat="1" applyFont="1" applyFill="1" applyBorder="1" applyAlignment="1">
      <alignment horizontal="right" vertical="center"/>
    </xf>
    <xf numFmtId="165" fontId="73" fillId="0" borderId="1" xfId="0" applyNumberFormat="1" applyFont="1" applyBorder="1" applyAlignment="1">
      <alignment vertical="center"/>
    </xf>
    <xf numFmtId="0" fontId="71" fillId="0" borderId="1" xfId="0" applyFont="1" applyBorder="1" applyAlignment="1">
      <alignment vertical="center"/>
    </xf>
    <xf numFmtId="165" fontId="38" fillId="0" borderId="1" xfId="0" applyNumberFormat="1" applyFont="1" applyBorder="1"/>
    <xf numFmtId="165" fontId="38" fillId="0" borderId="4" xfId="0" applyNumberFormat="1" applyFont="1" applyBorder="1"/>
    <xf numFmtId="0" fontId="5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/>
    </xf>
    <xf numFmtId="0" fontId="52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1" fontId="5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61" fillId="0" borderId="0" xfId="0" applyNumberFormat="1" applyFont="1" applyAlignment="1">
      <alignment horizontal="right"/>
    </xf>
    <xf numFmtId="0" fontId="0" fillId="0" borderId="1" xfId="0" applyBorder="1" applyAlignment="1">
      <alignment horizontal="right"/>
    </xf>
    <xf numFmtId="0" fontId="3" fillId="32" borderId="1" xfId="0" applyFont="1" applyFill="1" applyBorder="1" applyAlignment="1">
      <alignment horizontal="right" vertical="center"/>
    </xf>
    <xf numFmtId="0" fontId="38" fillId="3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165" fontId="53" fillId="35" borderId="7" xfId="0" applyNumberFormat="1" applyFont="1" applyFill="1" applyBorder="1" applyAlignment="1">
      <alignment horizontal="right" vertical="center" wrapText="1"/>
    </xf>
    <xf numFmtId="3" fontId="0" fillId="0" borderId="1" xfId="0" applyNumberFormat="1" applyBorder="1"/>
    <xf numFmtId="3" fontId="0" fillId="35" borderId="1" xfId="0" applyNumberFormat="1" applyFill="1" applyBorder="1" applyAlignment="1">
      <alignment horizontal="right"/>
    </xf>
    <xf numFmtId="3" fontId="3" fillId="0" borderId="1" xfId="0" applyNumberFormat="1" applyFont="1" applyBorder="1"/>
    <xf numFmtId="3" fontId="3" fillId="35" borderId="1" xfId="0" applyNumberFormat="1" applyFont="1" applyFill="1" applyBorder="1" applyAlignment="1">
      <alignment horizontal="right"/>
    </xf>
    <xf numFmtId="0" fontId="74" fillId="0" borderId="1" xfId="0" applyFont="1" applyBorder="1" applyAlignment="1">
      <alignment horizontal="right"/>
    </xf>
    <xf numFmtId="165" fontId="74" fillId="0" borderId="1" xfId="0" applyNumberFormat="1" applyFont="1" applyBorder="1"/>
    <xf numFmtId="0" fontId="75" fillId="0" borderId="2" xfId="0" applyFont="1" applyBorder="1" applyAlignment="1">
      <alignment horizontal="right"/>
    </xf>
    <xf numFmtId="165" fontId="3" fillId="0" borderId="0" xfId="0" applyNumberFormat="1" applyFont="1"/>
    <xf numFmtId="165" fontId="71" fillId="0" borderId="1" xfId="0" applyNumberFormat="1" applyFont="1" applyBorder="1"/>
    <xf numFmtId="1" fontId="71" fillId="0" borderId="1" xfId="0" applyNumberFormat="1" applyFont="1" applyBorder="1" applyAlignment="1">
      <alignment horizontal="center"/>
    </xf>
    <xf numFmtId="0" fontId="76" fillId="0" borderId="1" xfId="0" applyFont="1" applyBorder="1" applyAlignment="1">
      <alignment vertical="center"/>
    </xf>
    <xf numFmtId="0" fontId="42" fillId="16" borderId="0" xfId="0" applyFont="1" applyFill="1" applyAlignment="1">
      <alignment vertical="center"/>
    </xf>
    <xf numFmtId="0" fontId="41" fillId="16" borderId="0" xfId="0" applyFont="1" applyFill="1" applyAlignment="1">
      <alignment horizontal="center" wrapText="1"/>
    </xf>
    <xf numFmtId="0" fontId="4" fillId="1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2" fillId="16" borderId="0" xfId="0" applyFont="1" applyFill="1" applyAlignment="1">
      <alignment horizontal="center" vertical="center"/>
    </xf>
    <xf numFmtId="0" fontId="40" fillId="17" borderId="1" xfId="0" applyFont="1" applyFill="1" applyBorder="1" applyAlignment="1">
      <alignment horizontal="center"/>
    </xf>
    <xf numFmtId="0" fontId="31" fillId="14" borderId="1" xfId="0" applyFont="1" applyFill="1" applyBorder="1" applyAlignment="1">
      <alignment horizontal="center"/>
    </xf>
    <xf numFmtId="0" fontId="32" fillId="15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0" fillId="3" borderId="3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1" fillId="23" borderId="0" xfId="0" applyFont="1" applyFill="1" applyAlignment="1">
      <alignment horizontal="center"/>
    </xf>
    <xf numFmtId="166" fontId="37" fillId="0" borderId="1" xfId="0" applyNumberFormat="1" applyFont="1" applyBorder="1" applyAlignment="1">
      <alignment horizontal="center" vertical="center"/>
    </xf>
    <xf numFmtId="166" fontId="38" fillId="0" borderId="1" xfId="0" applyNumberFormat="1" applyFont="1" applyBorder="1" applyAlignment="1">
      <alignment horizontal="center" vertical="center"/>
    </xf>
    <xf numFmtId="166" fontId="39" fillId="0" borderId="1" xfId="0" applyNumberFormat="1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6" fontId="4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6" fontId="55" fillId="0" borderId="1" xfId="0" applyNumberFormat="1" applyFont="1" applyBorder="1" applyAlignment="1">
      <alignment horizontal="center" vertical="center"/>
    </xf>
    <xf numFmtId="1" fontId="71" fillId="6" borderId="1" xfId="0" applyNumberFormat="1" applyFont="1" applyFill="1" applyBorder="1" applyAlignment="1">
      <alignment horizontal="center"/>
    </xf>
    <xf numFmtId="0" fontId="39" fillId="0" borderId="2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2" fillId="0" borderId="0" xfId="0" applyNumberFormat="1" applyFont="1"/>
    <xf numFmtId="164" fontId="25" fillId="19" borderId="0" xfId="0" applyNumberFormat="1" applyFont="1" applyFill="1" applyAlignment="1">
      <alignment vertical="center"/>
    </xf>
    <xf numFmtId="0" fontId="26" fillId="19" borderId="0" xfId="0" applyFont="1" applyFill="1" applyAlignment="1">
      <alignment horizontal="center" vertical="center"/>
    </xf>
    <xf numFmtId="2" fontId="26" fillId="19" borderId="0" xfId="0" applyNumberFormat="1" applyFont="1" applyFill="1" applyAlignment="1">
      <alignment horizontal="center" vertical="center"/>
    </xf>
    <xf numFmtId="44" fontId="27" fillId="19" borderId="0" xfId="0" applyNumberFormat="1" applyFont="1" applyFill="1"/>
    <xf numFmtId="1" fontId="28" fillId="19" borderId="0" xfId="0" applyNumberFormat="1" applyFont="1" applyFill="1" applyAlignment="1">
      <alignment horizontal="center"/>
    </xf>
    <xf numFmtId="2" fontId="28" fillId="19" borderId="0" xfId="0" applyNumberFormat="1" applyFont="1" applyFill="1" applyAlignment="1">
      <alignment horizontal="center"/>
    </xf>
    <xf numFmtId="164" fontId="27" fillId="19" borderId="0" xfId="0" applyNumberFormat="1" applyFont="1" applyFill="1"/>
    <xf numFmtId="44" fontId="71" fillId="0" borderId="0" xfId="0" applyNumberFormat="1" applyFont="1"/>
    <xf numFmtId="2" fontId="46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2" fontId="39" fillId="0" borderId="1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165" fontId="46" fillId="36" borderId="1" xfId="0" applyNumberFormat="1" applyFont="1" applyFill="1" applyBorder="1"/>
    <xf numFmtId="49" fontId="54" fillId="32" borderId="1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top" wrapText="1"/>
    </xf>
    <xf numFmtId="164" fontId="4" fillId="0" borderId="6" xfId="0" applyNumberFormat="1" applyFont="1" applyBorder="1" applyAlignment="1">
      <alignment horizontal="center" vertical="top" wrapText="1"/>
    </xf>
    <xf numFmtId="49" fontId="54" fillId="32" borderId="1" xfId="0" applyNumberFormat="1" applyFont="1" applyFill="1" applyBorder="1" applyAlignment="1">
      <alignment horizontal="center" vertical="center" wrapText="1"/>
    </xf>
    <xf numFmtId="165" fontId="53" fillId="32" borderId="7" xfId="0" applyNumberFormat="1" applyFont="1" applyFill="1" applyBorder="1" applyAlignment="1">
      <alignment horizontal="center" vertical="center" wrapText="1"/>
    </xf>
    <xf numFmtId="165" fontId="53" fillId="32" borderId="8" xfId="0" applyNumberFormat="1" applyFont="1" applyFill="1" applyBorder="1" applyAlignment="1">
      <alignment horizontal="center" vertical="center" wrapText="1"/>
    </xf>
  </cellXfs>
  <cellStyles count="3">
    <cellStyle name="Čárka" xfId="2" builtinId="3"/>
    <cellStyle name="Normální" xfId="0" builtinId="0"/>
    <cellStyle name="Procenta" xfId="1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66FFFF"/>
      <color rgb="FFCCCCFF"/>
      <color rgb="FFCC00FF"/>
      <color rgb="FFCC6600"/>
      <color rgb="FF0000FF"/>
      <color rgb="FFFF9933"/>
      <color rgb="FFFFFF00"/>
      <color rgb="FFCC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Výsledek hospodaření</a:t>
            </a:r>
            <a:r>
              <a:rPr lang="cs-CZ" baseline="0"/>
              <a:t> po měsících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1.8879623200381061E-2"/>
          <c:y val="0.19632219114839969"/>
          <c:w val="0.96538735746596804"/>
          <c:h val="0.78801758877001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'osoby a grafy'!$R$27</c:f>
              <c:strCache>
                <c:ptCount val="1"/>
                <c:pt idx="0">
                  <c:v>výsledek CDZ Ústí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grafy'!$S$27:$AE$27</c15:sqref>
                  </c15:fullRef>
                </c:ext>
              </c:extLst>
              <c:f>'osoby a grafy'!$S$27:$AC$27</c:f>
              <c:numCache>
                <c:formatCode>#,##0</c:formatCode>
                <c:ptCount val="11"/>
                <c:pt idx="0">
                  <c:v>162891.5</c:v>
                </c:pt>
                <c:pt idx="1">
                  <c:v>129135.5</c:v>
                </c:pt>
                <c:pt idx="2">
                  <c:v>143825.38</c:v>
                </c:pt>
                <c:pt idx="3">
                  <c:v>66102.469999999972</c:v>
                </c:pt>
                <c:pt idx="4">
                  <c:v>154116.44999999995</c:v>
                </c:pt>
                <c:pt idx="5">
                  <c:v>185843.56000000017</c:v>
                </c:pt>
                <c:pt idx="6">
                  <c:v>112027.55750000011</c:v>
                </c:pt>
                <c:pt idx="7">
                  <c:v>72013.159999999916</c:v>
                </c:pt>
                <c:pt idx="8">
                  <c:v>240034.95999999996</c:v>
                </c:pt>
                <c:pt idx="9">
                  <c:v>149249.85000000009</c:v>
                </c:pt>
                <c:pt idx="10">
                  <c:v>2097.9899999999907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C-451F-99BB-90202A4DCA0C}"/>
            </c:ext>
          </c:extLst>
        </c:ser>
        <c:ser>
          <c:idx val="1"/>
          <c:order val="1"/>
          <c:tx>
            <c:strRef>
              <c:f>'osoby a grafy'!$R$28</c:f>
              <c:strCache>
                <c:ptCount val="1"/>
                <c:pt idx="0">
                  <c:v>výsledek CDZ Chomutov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grafy'!$S$28:$AE$28</c15:sqref>
                  </c15:fullRef>
                </c:ext>
              </c:extLst>
              <c:f>'osoby a grafy'!$S$28:$AC$28</c:f>
              <c:numCache>
                <c:formatCode>#,##0</c:formatCode>
                <c:ptCount val="11"/>
                <c:pt idx="0">
                  <c:v>-17954.5</c:v>
                </c:pt>
                <c:pt idx="1">
                  <c:v>-39103</c:v>
                </c:pt>
                <c:pt idx="2">
                  <c:v>-16074.220000000001</c:v>
                </c:pt>
                <c:pt idx="3">
                  <c:v>-54507.415000000008</c:v>
                </c:pt>
                <c:pt idx="4">
                  <c:v>-19535.984999999986</c:v>
                </c:pt>
                <c:pt idx="5">
                  <c:v>7058.8400000000256</c:v>
                </c:pt>
                <c:pt idx="6">
                  <c:v>-5529.2200000000012</c:v>
                </c:pt>
                <c:pt idx="7">
                  <c:v>-1925.0650000000023</c:v>
                </c:pt>
                <c:pt idx="8">
                  <c:v>-2581.7450000000536</c:v>
                </c:pt>
                <c:pt idx="9">
                  <c:v>-84901.635000000009</c:v>
                </c:pt>
                <c:pt idx="10">
                  <c:v>98702.050000000047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CC-451F-99BB-90202A4DCA0C}"/>
            </c:ext>
          </c:extLst>
        </c:ser>
        <c:ser>
          <c:idx val="2"/>
          <c:order val="2"/>
          <c:tx>
            <c:strRef>
              <c:f>'osoby a grafy'!$R$29</c:f>
              <c:strCache>
                <c:ptCount val="1"/>
                <c:pt idx="0">
                  <c:v>výsledek CDZ Žatec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grafy'!$S$29:$AE$29</c15:sqref>
                  </c15:fullRef>
                </c:ext>
              </c:extLst>
              <c:f>'osoby a grafy'!$S$29:$AC$29</c:f>
              <c:numCache>
                <c:formatCode>#,##0</c:formatCode>
                <c:ptCount val="11"/>
                <c:pt idx="0">
                  <c:v>-45104.75</c:v>
                </c:pt>
                <c:pt idx="1">
                  <c:v>-48149.75</c:v>
                </c:pt>
                <c:pt idx="2">
                  <c:v>-42246.305000000008</c:v>
                </c:pt>
                <c:pt idx="3">
                  <c:v>-40453.130000000005</c:v>
                </c:pt>
                <c:pt idx="4">
                  <c:v>-47636.220000000088</c:v>
                </c:pt>
                <c:pt idx="5">
                  <c:v>4405.3400000000256</c:v>
                </c:pt>
                <c:pt idx="6">
                  <c:v>-8939.9749999999767</c:v>
                </c:pt>
                <c:pt idx="7">
                  <c:v>14926.910000000033</c:v>
                </c:pt>
                <c:pt idx="8">
                  <c:v>19959.5</c:v>
                </c:pt>
                <c:pt idx="9">
                  <c:v>30851.239999999991</c:v>
                </c:pt>
                <c:pt idx="10">
                  <c:v>165268.14999999991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CC-451F-99BB-90202A4DCA0C}"/>
            </c:ext>
          </c:extLst>
        </c:ser>
        <c:ser>
          <c:idx val="3"/>
          <c:order val="3"/>
          <c:tx>
            <c:strRef>
              <c:f>'osoby a grafy'!$R$30</c:f>
              <c:strCache>
                <c:ptCount val="1"/>
                <c:pt idx="0">
                  <c:v>výsledek CDZ Litoměřice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grafy'!$S$30:$AE$30</c15:sqref>
                  </c15:fullRef>
                </c:ext>
              </c:extLst>
              <c:f>'osoby a grafy'!$S$30:$AC$30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-2718.625</c:v>
                </c:pt>
                <c:pt idx="3">
                  <c:v>1307.7049999999981</c:v>
                </c:pt>
                <c:pt idx="4">
                  <c:v>-14302.400000000009</c:v>
                </c:pt>
                <c:pt idx="5">
                  <c:v>-10561.399999999994</c:v>
                </c:pt>
                <c:pt idx="6">
                  <c:v>-23340.470000000016</c:v>
                </c:pt>
                <c:pt idx="7">
                  <c:v>-34162.099999999991</c:v>
                </c:pt>
                <c:pt idx="8">
                  <c:v>-22643.915000000008</c:v>
                </c:pt>
                <c:pt idx="9">
                  <c:v>-57439.549999999988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CC-451F-99BB-90202A4DCA0C}"/>
            </c:ext>
          </c:extLst>
        </c:ser>
        <c:ser>
          <c:idx val="4"/>
          <c:order val="4"/>
          <c:tx>
            <c:strRef>
              <c:f>'osoby a grafy'!$R$31</c:f>
              <c:strCache>
                <c:ptCount val="1"/>
                <c:pt idx="0">
                  <c:v>výsledek TDZ Děčín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grafy'!$S$31:$AE$31</c15:sqref>
                  </c15:fullRef>
                </c:ext>
              </c:extLst>
              <c:f>'osoby a grafy'!$S$31:$AC$31</c:f>
              <c:numCache>
                <c:formatCode>#,##0</c:formatCode>
                <c:ptCount val="11"/>
                <c:pt idx="0">
                  <c:v>-82614.75</c:v>
                </c:pt>
                <c:pt idx="1">
                  <c:v>-64043.25</c:v>
                </c:pt>
                <c:pt idx="2">
                  <c:v>-30931.964999999997</c:v>
                </c:pt>
                <c:pt idx="3">
                  <c:v>-68533.095000000001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CC-451F-99BB-90202A4DCA0C}"/>
            </c:ext>
          </c:extLst>
        </c:ser>
        <c:ser>
          <c:idx val="5"/>
          <c:order val="5"/>
          <c:tx>
            <c:strRef>
              <c:f>'osoby a grafy'!$R$32</c:f>
              <c:strCache>
                <c:ptCount val="1"/>
                <c:pt idx="0">
                  <c:v>výsledek TDZ Most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grafy'!$S$32:$AE$32</c15:sqref>
                  </c15:fullRef>
                </c:ext>
              </c:extLst>
              <c:f>'osoby a grafy'!$S$32:$AC$32</c:f>
              <c:numCache>
                <c:formatCode>#,##0</c:formatCode>
                <c:ptCount val="11"/>
                <c:pt idx="0">
                  <c:v>23031</c:v>
                </c:pt>
                <c:pt idx="1">
                  <c:v>19609.5</c:v>
                </c:pt>
                <c:pt idx="2">
                  <c:v>17612.114999999998</c:v>
                </c:pt>
                <c:pt idx="3">
                  <c:v>8560.5900000000038</c:v>
                </c:pt>
                <c:pt idx="4">
                  <c:v>47305.380000000005</c:v>
                </c:pt>
                <c:pt idx="5">
                  <c:v>16582.165000000001</c:v>
                </c:pt>
                <c:pt idx="6">
                  <c:v>21860.199999999997</c:v>
                </c:pt>
                <c:pt idx="7">
                  <c:v>16142.86</c:v>
                </c:pt>
                <c:pt idx="8">
                  <c:v>16748.5</c:v>
                </c:pt>
                <c:pt idx="9">
                  <c:v>29306.065000000002</c:v>
                </c:pt>
                <c:pt idx="10">
                  <c:v>653.88000000000466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CC-451F-99BB-90202A4DCA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16"/>
        <c:axId val="1424185871"/>
        <c:axId val="1424198351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'osoby a grafy'!$R$33</c15:sqref>
                        </c15:formulaRef>
                      </c:ext>
                    </c:extLst>
                    <c:strCache>
                      <c:ptCount val="1"/>
                      <c:pt idx="0">
                        <c:v>výsledek TDZ Teplice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cs-CZ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'osoby a grafy'!$S$26:$AE$26</c15:sqref>
                        </c15:fullRef>
                        <c15:formulaRef>
                          <c15:sqref>'osoby a grafy'!$S$26:$AC$26</c15:sqref>
                        </c15:formulaRef>
                      </c:ext>
                    </c:extLst>
                    <c:strCache>
                      <c:ptCount val="11"/>
                      <c:pt idx="0">
                        <c:v>leden 25</c:v>
                      </c:pt>
                      <c:pt idx="1">
                        <c:v>únor 25</c:v>
                      </c:pt>
                      <c:pt idx="2">
                        <c:v>březen 25</c:v>
                      </c:pt>
                      <c:pt idx="3">
                        <c:v>duben 25</c:v>
                      </c:pt>
                      <c:pt idx="4">
                        <c:v>květen 25</c:v>
                      </c:pt>
                      <c:pt idx="5">
                        <c:v>červen 25</c:v>
                      </c:pt>
                      <c:pt idx="6">
                        <c:v>červenec 25</c:v>
                      </c:pt>
                      <c:pt idx="7">
                        <c:v>srpen 25</c:v>
                      </c:pt>
                      <c:pt idx="8">
                        <c:v>září 25</c:v>
                      </c:pt>
                      <c:pt idx="9">
                        <c:v>říjen 25</c:v>
                      </c:pt>
                      <c:pt idx="10">
                        <c:v>listopad 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'osoby a grafy'!$S$33:$AE$33</c15:sqref>
                        </c15:fullRef>
                        <c15:formulaRef>
                          <c15:sqref>'osoby a grafy'!$S$33:$AC$33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BCC-451F-99BB-90202A4DCA0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'osoby a grafy'!$R$34</c15:sqref>
                        </c15:formulaRef>
                      </c:ext>
                    </c:extLst>
                    <c:strCache>
                      <c:ptCount val="1"/>
                      <c:pt idx="0">
                        <c:v>výsledek TDZ pro děti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cs-CZ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'osoby a grafy'!$S$26:$AE$26</c15:sqref>
                        </c15:fullRef>
                        <c15:formulaRef>
                          <c15:sqref>'osoby a grafy'!$S$26:$AC$26</c15:sqref>
                        </c15:formulaRef>
                      </c:ext>
                    </c:extLst>
                    <c:strCache>
                      <c:ptCount val="11"/>
                      <c:pt idx="0">
                        <c:v>leden 25</c:v>
                      </c:pt>
                      <c:pt idx="1">
                        <c:v>únor 25</c:v>
                      </c:pt>
                      <c:pt idx="2">
                        <c:v>březen 25</c:v>
                      </c:pt>
                      <c:pt idx="3">
                        <c:v>duben 25</c:v>
                      </c:pt>
                      <c:pt idx="4">
                        <c:v>květen 25</c:v>
                      </c:pt>
                      <c:pt idx="5">
                        <c:v>červen 25</c:v>
                      </c:pt>
                      <c:pt idx="6">
                        <c:v>červenec 25</c:v>
                      </c:pt>
                      <c:pt idx="7">
                        <c:v>srpen 25</c:v>
                      </c:pt>
                      <c:pt idx="8">
                        <c:v>září 25</c:v>
                      </c:pt>
                      <c:pt idx="9">
                        <c:v>říjen 25</c:v>
                      </c:pt>
                      <c:pt idx="10">
                        <c:v>listopad 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'osoby a grafy'!$S$34:$AE$34</c15:sqref>
                        </c15:fullRef>
                        <c15:formulaRef>
                          <c15:sqref>'osoby a grafy'!$S$34:$AC$34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-20904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CC-451F-99BB-90202A4DCA0C}"/>
                  </c:ext>
                </c:extLst>
              </c15:ser>
            </c15:filteredBarSeries>
          </c:ext>
        </c:extLst>
      </c:barChart>
      <c:catAx>
        <c:axId val="142418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24198351"/>
        <c:crosses val="autoZero"/>
        <c:auto val="1"/>
        <c:lblAlgn val="ctr"/>
        <c:lblOffset val="100"/>
        <c:noMultiLvlLbl val="0"/>
      </c:catAx>
      <c:valAx>
        <c:axId val="142419835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2418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0000030970510506E-2"/>
          <c:y val="8.3108911281770517E-2"/>
          <c:w val="0.89999992550696239"/>
          <c:h val="5.4348206474190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Výsledek hospodaření celkový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'osoby a grafy'!$R$27</c:f>
              <c:strCache>
                <c:ptCount val="1"/>
                <c:pt idx="0">
                  <c:v>výsledek CDZ Ústí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grafy'!$AE$27</c:f>
              <c:numCache>
                <c:formatCode>#,##0</c:formatCode>
                <c:ptCount val="1"/>
                <c:pt idx="0">
                  <c:v>1646411.2375000003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7-4BF2-809E-2EF9647AF78B}"/>
            </c:ext>
          </c:extLst>
        </c:ser>
        <c:ser>
          <c:idx val="1"/>
          <c:order val="1"/>
          <c:tx>
            <c:strRef>
              <c:f>'osoby a grafy'!$R$28</c:f>
              <c:strCache>
                <c:ptCount val="1"/>
                <c:pt idx="0">
                  <c:v>výsledek CDZ Chomutov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grafy'!$AE$28</c:f>
              <c:numCache>
                <c:formatCode>#,##0</c:formatCode>
                <c:ptCount val="1"/>
                <c:pt idx="0">
                  <c:v>162696.86500000002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7-4BF2-809E-2EF9647AF78B}"/>
            </c:ext>
          </c:extLst>
        </c:ser>
        <c:ser>
          <c:idx val="2"/>
          <c:order val="2"/>
          <c:tx>
            <c:strRef>
              <c:f>'osoby a grafy'!$R$29</c:f>
              <c:strCache>
                <c:ptCount val="1"/>
                <c:pt idx="0">
                  <c:v>výsledek CDZ Žatec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grafy'!$AE$29</c:f>
              <c:numCache>
                <c:formatCode>#,##0</c:formatCode>
                <c:ptCount val="1"/>
                <c:pt idx="0">
                  <c:v>424419.58999999985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E7-4BF2-809E-2EF9647AF78B}"/>
            </c:ext>
          </c:extLst>
        </c:ser>
        <c:ser>
          <c:idx val="3"/>
          <c:order val="3"/>
          <c:tx>
            <c:strRef>
              <c:f>'osoby a grafy'!$R$30</c:f>
              <c:strCache>
                <c:ptCount val="1"/>
                <c:pt idx="0">
                  <c:v>výsledek CDZ Litoměřice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grafy'!$AE$30</c:f>
              <c:numCache>
                <c:formatCode>#,##0</c:formatCode>
                <c:ptCount val="1"/>
                <c:pt idx="0">
                  <c:v>-163860.755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E7-4BF2-809E-2EF9647AF78B}"/>
            </c:ext>
          </c:extLst>
        </c:ser>
        <c:ser>
          <c:idx val="4"/>
          <c:order val="4"/>
          <c:tx>
            <c:strRef>
              <c:f>'osoby a grafy'!$R$31</c:f>
              <c:strCache>
                <c:ptCount val="1"/>
                <c:pt idx="0">
                  <c:v>výsledek TDZ Děčín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grafy'!$AE$31</c:f>
              <c:numCache>
                <c:formatCode>#,##0</c:formatCode>
                <c:ptCount val="1"/>
                <c:pt idx="0">
                  <c:v>-246123.06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E7-4BF2-809E-2EF9647AF78B}"/>
            </c:ext>
          </c:extLst>
        </c:ser>
        <c:ser>
          <c:idx val="5"/>
          <c:order val="5"/>
          <c:tx>
            <c:strRef>
              <c:f>'osoby a grafy'!$R$32</c:f>
              <c:strCache>
                <c:ptCount val="1"/>
                <c:pt idx="0">
                  <c:v>výsledek TDZ Most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grafy'!$AE$32</c:f>
              <c:numCache>
                <c:formatCode>#,##0</c:formatCode>
                <c:ptCount val="1"/>
                <c:pt idx="0">
                  <c:v>227250.965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E7-4BF2-809E-2EF9647AF78B}"/>
            </c:ext>
          </c:extLst>
        </c:ser>
        <c:ser>
          <c:idx val="8"/>
          <c:order val="8"/>
          <c:tx>
            <c:strRef>
              <c:f>'osoby a grafy'!$R$35</c:f>
              <c:strCache>
                <c:ptCount val="1"/>
                <c:pt idx="0">
                  <c:v>Výsledek celkem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271577714955989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FE7-4BF2-809E-2EF9647AF7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grafy'!$AE$35</c:f>
              <c:numCache>
                <c:formatCode>#,##0</c:formatCode>
                <c:ptCount val="1"/>
                <c:pt idx="0">
                  <c:v>2029890.8425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E7-4BF2-809E-2EF9647AF7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076101696"/>
        <c:axId val="1076104576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'osoby a grafy'!$R$33</c15:sqref>
                        </c15:formulaRef>
                      </c:ext>
                    </c:extLst>
                    <c:strCache>
                      <c:ptCount val="1"/>
                      <c:pt idx="0">
                        <c:v>výsledek TDZ Teplice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1">
                        <a:lumMod val="60000"/>
                      </a:schemeClr>
                    </a:solidFill>
                    <a:miter lim="800000"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cs-CZ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'osoby a grafy'!$AE$33</c15:sqref>
                        </c15:formulaRef>
                      </c:ext>
                    </c:extLst>
                    <c:numCache>
                      <c:formatCode>#,##0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FE7-4BF2-809E-2EF9647AF78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'osoby a grafy'!$R$34</c15:sqref>
                        </c15:formulaRef>
                      </c:ext>
                    </c:extLst>
                    <c:strCache>
                      <c:ptCount val="1"/>
                      <c:pt idx="0">
                        <c:v>výsledek TDZ pro děti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2">
                        <a:lumMod val="60000"/>
                      </a:schemeClr>
                    </a:solidFill>
                    <a:miter lim="800000"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cs-CZ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'osoby a grafy'!$AE$34</c15:sqref>
                        </c15:formulaRef>
                      </c:ext>
                    </c:extLst>
                    <c:numCache>
                      <c:formatCode>#,##0</c:formatCode>
                      <c:ptCount val="1"/>
                      <c:pt idx="0">
                        <c:v>-20904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E7-4BF2-809E-2EF9647AF78B}"/>
                  </c:ext>
                </c:extLst>
              </c15:ser>
            </c15:filteredBarSeries>
          </c:ext>
        </c:extLst>
      </c:barChart>
      <c:catAx>
        <c:axId val="1076101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6104576"/>
        <c:crosses val="autoZero"/>
        <c:auto val="1"/>
        <c:lblAlgn val="ctr"/>
        <c:lblOffset val="100"/>
        <c:noMultiLvlLbl val="0"/>
      </c:catAx>
      <c:valAx>
        <c:axId val="107610457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7610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281422</xdr:colOff>
      <xdr:row>0</xdr:row>
      <xdr:rowOff>42862</xdr:rowOff>
    </xdr:from>
    <xdr:to>
      <xdr:col>13</xdr:col>
      <xdr:colOff>6253</xdr:colOff>
      <xdr:row>21</xdr:row>
      <xdr:rowOff>9524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9669719-58AB-6F26-EA0E-AAEAB8ACC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245268</xdr:colOff>
      <xdr:row>0</xdr:row>
      <xdr:rowOff>38100</xdr:rowOff>
    </xdr:from>
    <xdr:to>
      <xdr:col>21</xdr:col>
      <xdr:colOff>423863</xdr:colOff>
      <xdr:row>21</xdr:row>
      <xdr:rowOff>4763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734F9808-825C-B806-31D8-12DA75B13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"/>
  <sheetViews>
    <sheetView zoomScale="90" zoomScaleNormal="90" workbookViewId="0">
      <pane ySplit="2" topLeftCell="A49" activePane="bottomLeft" state="frozen"/>
      <selection pane="bottomLeft" activeCell="B40" sqref="B40"/>
    </sheetView>
  </sheetViews>
  <sheetFormatPr defaultRowHeight="14.25" outlineLevelRow="2"/>
  <cols>
    <col min="1" max="1" width="30.85546875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</cols>
  <sheetData>
    <row r="1" spans="1:22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>
      <c r="A3" s="44" t="s">
        <v>13</v>
      </c>
      <c r="B3" s="91">
        <f>SUM(B4:B11)</f>
        <v>1190000</v>
      </c>
      <c r="C3" s="91">
        <f>SUM(C4:C11)</f>
        <v>0</v>
      </c>
      <c r="D3" s="91">
        <f>SUM(D4:D11)</f>
        <v>-1190000</v>
      </c>
      <c r="E3" s="46">
        <f>SUM(E4:E11)</f>
        <v>0</v>
      </c>
      <c r="F3" s="46">
        <f>SUM(F4:F11)</f>
        <v>0</v>
      </c>
      <c r="G3" s="36"/>
      <c r="H3" s="45">
        <f t="shared" ref="H3:V3" si="0">SUM(H4:H11)</f>
        <v>0</v>
      </c>
      <c r="I3" s="46">
        <f t="shared" si="0"/>
        <v>0</v>
      </c>
      <c r="J3" s="46">
        <f t="shared" si="0"/>
        <v>0</v>
      </c>
      <c r="K3" s="45">
        <f t="shared" si="0"/>
        <v>0</v>
      </c>
      <c r="L3" s="46">
        <f t="shared" si="0"/>
        <v>0</v>
      </c>
      <c r="M3" s="46">
        <f t="shared" si="0"/>
        <v>0</v>
      </c>
      <c r="N3" s="45">
        <f t="shared" si="0"/>
        <v>0</v>
      </c>
      <c r="O3" s="46">
        <f t="shared" si="0"/>
        <v>0</v>
      </c>
      <c r="P3" s="46">
        <f t="shared" si="0"/>
        <v>0</v>
      </c>
      <c r="Q3" s="45">
        <f t="shared" si="0"/>
        <v>0</v>
      </c>
      <c r="R3" s="46">
        <f t="shared" si="0"/>
        <v>0</v>
      </c>
      <c r="S3" s="46">
        <f t="shared" si="0"/>
        <v>0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>
      <c r="A4" s="132" t="s">
        <v>14</v>
      </c>
      <c r="B4" s="92">
        <v>200000</v>
      </c>
      <c r="C4" s="92">
        <f>+H4+K4+N4+Q4+T4</f>
        <v>0</v>
      </c>
      <c r="D4" s="93">
        <f t="shared" ref="D4:D11" si="1">+C4-B4</f>
        <v>-200000</v>
      </c>
      <c r="E4" s="18">
        <f>+I4+L4+O4+R4+U4</f>
        <v>0</v>
      </c>
      <c r="F4" s="18">
        <f>+J4+M4+P4+S4+V4</f>
        <v>0</v>
      </c>
      <c r="G4" s="37"/>
      <c r="H4" s="3"/>
      <c r="I4" s="24"/>
      <c r="J4" s="25"/>
      <c r="K4" s="2"/>
      <c r="L4" s="28"/>
      <c r="M4" s="29"/>
      <c r="N4" s="2"/>
      <c r="O4" s="28"/>
      <c r="P4" s="29"/>
      <c r="Q4" s="4"/>
      <c r="R4" s="28"/>
      <c r="S4" s="29"/>
      <c r="T4" s="4"/>
      <c r="U4" s="28"/>
      <c r="V4" s="29"/>
    </row>
    <row r="5" spans="1:22" outlineLevel="2">
      <c r="A5" s="133" t="s">
        <v>15</v>
      </c>
      <c r="B5" s="92">
        <v>200000</v>
      </c>
      <c r="C5" s="92">
        <f t="shared" ref="C5:C50" si="2">+H5+K5+N5+Q5+T5</f>
        <v>0</v>
      </c>
      <c r="D5" s="93">
        <f t="shared" si="1"/>
        <v>-200000</v>
      </c>
      <c r="E5" s="18">
        <f t="shared" ref="E5:E11" si="3">+I5+L5+O5+R5+U5</f>
        <v>0</v>
      </c>
      <c r="F5" s="18">
        <f t="shared" ref="F5:F11" si="4">+J5+M5+P5+S5+V5</f>
        <v>0</v>
      </c>
      <c r="G5" s="37"/>
      <c r="H5" s="3"/>
      <c r="I5" s="24"/>
      <c r="J5" s="25"/>
      <c r="K5" s="2"/>
      <c r="L5" s="28"/>
      <c r="M5" s="29"/>
      <c r="N5" s="2"/>
      <c r="O5" s="28"/>
      <c r="P5" s="29"/>
      <c r="Q5" s="4"/>
      <c r="R5" s="28"/>
      <c r="S5" s="29"/>
      <c r="T5" s="4"/>
      <c r="U5" s="28"/>
      <c r="V5" s="29"/>
    </row>
    <row r="6" spans="1:22" outlineLevel="2">
      <c r="A6" s="133" t="s">
        <v>16</v>
      </c>
      <c r="B6" s="92">
        <v>200000</v>
      </c>
      <c r="C6" s="92">
        <f t="shared" si="2"/>
        <v>0</v>
      </c>
      <c r="D6" s="93">
        <f t="shared" si="1"/>
        <v>-200000</v>
      </c>
      <c r="E6" s="18">
        <f t="shared" si="3"/>
        <v>0</v>
      </c>
      <c r="F6" s="18">
        <f t="shared" si="4"/>
        <v>0</v>
      </c>
      <c r="G6" s="37"/>
      <c r="H6" s="3"/>
      <c r="I6" s="24"/>
      <c r="J6" s="25"/>
      <c r="K6" s="2"/>
      <c r="L6" s="28"/>
      <c r="M6" s="29"/>
      <c r="N6" s="2"/>
      <c r="O6" s="28"/>
      <c r="P6" s="29"/>
      <c r="Q6" s="4"/>
      <c r="R6" s="28"/>
      <c r="S6" s="29"/>
      <c r="T6" s="4"/>
      <c r="U6" s="28"/>
      <c r="V6" s="29"/>
    </row>
    <row r="7" spans="1:22" s="78" customFormat="1" outlineLevel="2">
      <c r="A7" s="134" t="s">
        <v>17</v>
      </c>
      <c r="B7" s="94">
        <v>200000</v>
      </c>
      <c r="C7" s="94">
        <f t="shared" si="2"/>
        <v>0</v>
      </c>
      <c r="D7" s="95">
        <f t="shared" si="1"/>
        <v>-200000</v>
      </c>
      <c r="E7" s="69">
        <f t="shared" si="3"/>
        <v>0</v>
      </c>
      <c r="F7" s="69">
        <f t="shared" si="4"/>
        <v>0</v>
      </c>
      <c r="G7" s="70"/>
      <c r="H7" s="71"/>
      <c r="I7" s="72"/>
      <c r="J7" s="73"/>
      <c r="K7" s="74"/>
      <c r="L7" s="75"/>
      <c r="M7" s="76"/>
      <c r="N7" s="74"/>
      <c r="O7" s="75"/>
      <c r="P7" s="76"/>
      <c r="Q7" s="77"/>
      <c r="R7" s="75"/>
      <c r="S7" s="76"/>
      <c r="T7" s="77"/>
      <c r="U7" s="75"/>
      <c r="V7" s="76"/>
    </row>
    <row r="8" spans="1:22" outlineLevel="2">
      <c r="A8" s="132" t="s">
        <v>18</v>
      </c>
      <c r="B8" s="92">
        <f>450000*0.2</f>
        <v>90000</v>
      </c>
      <c r="C8" s="92">
        <f t="shared" si="2"/>
        <v>0</v>
      </c>
      <c r="D8" s="93">
        <f t="shared" si="1"/>
        <v>-90000</v>
      </c>
      <c r="E8" s="18">
        <f t="shared" si="3"/>
        <v>0</v>
      </c>
      <c r="F8" s="18">
        <f t="shared" si="4"/>
        <v>0</v>
      </c>
      <c r="G8" s="37"/>
      <c r="H8" s="5"/>
      <c r="I8" s="24"/>
      <c r="J8" s="25"/>
      <c r="K8" s="2"/>
      <c r="L8" s="28"/>
      <c r="M8" s="29"/>
      <c r="N8" s="2"/>
      <c r="O8" s="28"/>
      <c r="P8" s="29"/>
      <c r="Q8" s="4"/>
      <c r="R8" s="28"/>
      <c r="S8" s="29"/>
      <c r="T8" s="4"/>
      <c r="U8" s="28"/>
      <c r="V8" s="29"/>
    </row>
    <row r="9" spans="1:22" outlineLevel="2">
      <c r="A9" s="132" t="s">
        <v>19</v>
      </c>
      <c r="B9" s="92">
        <f>450000*0.5</f>
        <v>225000</v>
      </c>
      <c r="C9" s="92">
        <f t="shared" si="2"/>
        <v>0</v>
      </c>
      <c r="D9" s="93">
        <f t="shared" si="1"/>
        <v>-225000</v>
      </c>
      <c r="E9" s="18">
        <f t="shared" si="3"/>
        <v>0</v>
      </c>
      <c r="F9" s="18">
        <f t="shared" si="4"/>
        <v>0</v>
      </c>
      <c r="G9" s="37"/>
      <c r="H9" s="5"/>
      <c r="I9" s="24"/>
      <c r="J9" s="25"/>
      <c r="K9" s="2"/>
      <c r="L9" s="28"/>
      <c r="M9" s="29"/>
      <c r="N9" s="2"/>
      <c r="O9" s="28"/>
      <c r="P9" s="29"/>
      <c r="Q9" s="4"/>
      <c r="R9" s="28"/>
      <c r="S9" s="29"/>
      <c r="T9" s="4"/>
      <c r="U9" s="28"/>
      <c r="V9" s="29"/>
    </row>
    <row r="10" spans="1:22" s="78" customFormat="1" outlineLevel="2">
      <c r="A10" s="134" t="s">
        <v>20</v>
      </c>
      <c r="B10" s="94">
        <v>75000</v>
      </c>
      <c r="C10" s="94">
        <f t="shared" si="2"/>
        <v>0</v>
      </c>
      <c r="D10" s="95">
        <f t="shared" si="1"/>
        <v>-75000</v>
      </c>
      <c r="E10" s="69">
        <f t="shared" si="3"/>
        <v>0</v>
      </c>
      <c r="F10" s="69">
        <f t="shared" si="4"/>
        <v>0</v>
      </c>
      <c r="G10" s="70"/>
      <c r="H10" s="71"/>
      <c r="I10" s="72"/>
      <c r="J10" s="73"/>
      <c r="K10" s="74"/>
      <c r="L10" s="75"/>
      <c r="M10" s="76"/>
      <c r="N10" s="74"/>
      <c r="O10" s="75"/>
      <c r="P10" s="76"/>
      <c r="Q10" s="77"/>
      <c r="R10" s="75"/>
      <c r="S10" s="76"/>
      <c r="T10" s="77"/>
      <c r="U10" s="75"/>
      <c r="V10" s="76"/>
    </row>
    <row r="11" spans="1:22" s="78" customFormat="1" outlineLevel="2">
      <c r="A11" s="134" t="s">
        <v>21</v>
      </c>
      <c r="B11" s="94">
        <v>0</v>
      </c>
      <c r="C11" s="94">
        <f t="shared" si="2"/>
        <v>0</v>
      </c>
      <c r="D11" s="95">
        <f t="shared" si="1"/>
        <v>0</v>
      </c>
      <c r="E11" s="69">
        <f t="shared" si="3"/>
        <v>0</v>
      </c>
      <c r="F11" s="69">
        <f t="shared" si="4"/>
        <v>0</v>
      </c>
      <c r="G11" s="70"/>
      <c r="H11" s="71"/>
      <c r="I11" s="72"/>
      <c r="J11" s="73"/>
      <c r="K11" s="74"/>
      <c r="L11" s="75"/>
      <c r="M11" s="76"/>
      <c r="N11" s="74"/>
      <c r="O11" s="75"/>
      <c r="P11" s="76"/>
      <c r="Q11" s="77"/>
      <c r="R11" s="75"/>
      <c r="S11" s="76"/>
      <c r="T11" s="77"/>
      <c r="U11" s="75"/>
      <c r="V11" s="76"/>
    </row>
    <row r="12" spans="1:22">
      <c r="A12" s="58" t="s">
        <v>22</v>
      </c>
      <c r="B12" s="96">
        <f>SUM(B13:B20)</f>
        <v>1100000</v>
      </c>
      <c r="C12" s="96">
        <f t="shared" ref="C12:D12" si="5">SUM(C13:C20)</f>
        <v>0</v>
      </c>
      <c r="D12" s="96">
        <f t="shared" si="5"/>
        <v>-1100000</v>
      </c>
      <c r="E12" s="54">
        <f>SUM(E13:E20)</f>
        <v>0</v>
      </c>
      <c r="F12" s="54">
        <f>SUM(F13:F20)</f>
        <v>0</v>
      </c>
      <c r="G12" s="37"/>
      <c r="H12" s="53">
        <f t="shared" ref="H12" si="6">SUM(H13:H20)</f>
        <v>0</v>
      </c>
      <c r="I12" s="54">
        <f>SUM(I13:I20)</f>
        <v>0</v>
      </c>
      <c r="J12" s="54">
        <f>SUM(J13:J20)</f>
        <v>0</v>
      </c>
      <c r="K12" s="53">
        <f t="shared" ref="K12" si="7">SUM(K13:K20)</f>
        <v>0</v>
      </c>
      <c r="L12" s="54">
        <f>SUM(L13:L20)</f>
        <v>0</v>
      </c>
      <c r="M12" s="54">
        <f>SUM(M13:M20)</f>
        <v>0</v>
      </c>
      <c r="N12" s="53">
        <f t="shared" ref="N12" si="8">SUM(N13:N20)</f>
        <v>0</v>
      </c>
      <c r="O12" s="54">
        <f>SUM(O13:O20)</f>
        <v>0</v>
      </c>
      <c r="P12" s="54">
        <f>SUM(P13:P20)</f>
        <v>0</v>
      </c>
      <c r="Q12" s="53">
        <f t="shared" ref="Q12" si="9">SUM(Q13:Q20)</f>
        <v>0</v>
      </c>
      <c r="R12" s="54">
        <f>SUM(R13:R20)</f>
        <v>0</v>
      </c>
      <c r="S12" s="54">
        <f>SUM(S13:S20)</f>
        <v>0</v>
      </c>
      <c r="T12" s="53">
        <f t="shared" ref="T12" si="10">SUM(T13:T20)</f>
        <v>0</v>
      </c>
      <c r="U12" s="54">
        <f>SUM(U13:U20)</f>
        <v>0</v>
      </c>
      <c r="V12" s="54">
        <f>SUM(V13:V20)</f>
        <v>0</v>
      </c>
    </row>
    <row r="13" spans="1:22" outlineLevel="2">
      <c r="A13" s="133" t="s">
        <v>23</v>
      </c>
      <c r="B13" s="97">
        <v>200000</v>
      </c>
      <c r="C13" s="92">
        <f t="shared" si="2"/>
        <v>0</v>
      </c>
      <c r="D13" s="93">
        <f t="shared" ref="D13:D20" si="11">+C13-B13</f>
        <v>-200000</v>
      </c>
      <c r="E13" s="18">
        <f t="shared" ref="E13:E20" si="12">+I13+L13+O13+R13+U13</f>
        <v>0</v>
      </c>
      <c r="F13" s="18">
        <f t="shared" ref="F13:F20" si="13">+J13+M13+P13+S13+V13</f>
        <v>0</v>
      </c>
      <c r="G13" s="37"/>
      <c r="H13" s="3"/>
      <c r="I13" s="24"/>
      <c r="J13" s="25"/>
      <c r="K13" s="2"/>
      <c r="L13" s="28"/>
      <c r="M13" s="29"/>
      <c r="N13" s="2"/>
      <c r="O13" s="28"/>
      <c r="P13" s="29"/>
      <c r="Q13" s="4"/>
      <c r="R13" s="28"/>
      <c r="S13" s="29"/>
      <c r="T13" s="4"/>
      <c r="U13" s="28"/>
      <c r="V13" s="29"/>
    </row>
    <row r="14" spans="1:22" s="78" customFormat="1" outlineLevel="2">
      <c r="A14" s="134" t="s">
        <v>24</v>
      </c>
      <c r="B14" s="94">
        <v>200000</v>
      </c>
      <c r="C14" s="94">
        <f t="shared" si="2"/>
        <v>0</v>
      </c>
      <c r="D14" s="95">
        <f t="shared" si="11"/>
        <v>-200000</v>
      </c>
      <c r="E14" s="69">
        <f t="shared" si="12"/>
        <v>0</v>
      </c>
      <c r="F14" s="69">
        <f t="shared" si="13"/>
        <v>0</v>
      </c>
      <c r="G14" s="70"/>
      <c r="H14" s="71"/>
      <c r="I14" s="72"/>
      <c r="J14" s="73"/>
      <c r="K14" s="74"/>
      <c r="L14" s="75"/>
      <c r="M14" s="76"/>
      <c r="N14" s="74"/>
      <c r="O14" s="75"/>
      <c r="P14" s="76"/>
      <c r="Q14" s="77"/>
      <c r="R14" s="75"/>
      <c r="S14" s="76"/>
      <c r="T14" s="77"/>
      <c r="U14" s="75"/>
      <c r="V14" s="76"/>
    </row>
    <row r="15" spans="1:22" s="78" customFormat="1" outlineLevel="2">
      <c r="A15" s="134" t="s">
        <v>25</v>
      </c>
      <c r="B15" s="94">
        <v>200000</v>
      </c>
      <c r="C15" s="94">
        <f t="shared" si="2"/>
        <v>0</v>
      </c>
      <c r="D15" s="95">
        <f t="shared" si="11"/>
        <v>-200000</v>
      </c>
      <c r="E15" s="69">
        <f t="shared" si="12"/>
        <v>0</v>
      </c>
      <c r="F15" s="69">
        <f t="shared" si="13"/>
        <v>0</v>
      </c>
      <c r="G15" s="70"/>
      <c r="H15" s="71"/>
      <c r="I15" s="72"/>
      <c r="J15" s="73"/>
      <c r="K15" s="74"/>
      <c r="L15" s="75"/>
      <c r="M15" s="76"/>
      <c r="N15" s="74"/>
      <c r="O15" s="75"/>
      <c r="P15" s="76"/>
      <c r="Q15" s="77"/>
      <c r="R15" s="75"/>
      <c r="S15" s="76"/>
      <c r="T15" s="77"/>
      <c r="U15" s="75"/>
      <c r="V15" s="76"/>
    </row>
    <row r="16" spans="1:22" s="78" customFormat="1" outlineLevel="2">
      <c r="A16" s="134" t="s">
        <v>26</v>
      </c>
      <c r="B16" s="94">
        <v>200000</v>
      </c>
      <c r="C16" s="94">
        <f t="shared" si="2"/>
        <v>0</v>
      </c>
      <c r="D16" s="95">
        <f t="shared" si="11"/>
        <v>-200000</v>
      </c>
      <c r="E16" s="69">
        <f t="shared" si="12"/>
        <v>0</v>
      </c>
      <c r="F16" s="69">
        <f t="shared" si="13"/>
        <v>0</v>
      </c>
      <c r="G16" s="70"/>
      <c r="H16" s="71"/>
      <c r="I16" s="72"/>
      <c r="J16" s="73"/>
      <c r="K16" s="74"/>
      <c r="L16" s="75"/>
      <c r="M16" s="76"/>
      <c r="N16" s="74"/>
      <c r="O16" s="75"/>
      <c r="P16" s="76"/>
      <c r="Q16" s="77"/>
      <c r="R16" s="75"/>
      <c r="S16" s="76"/>
      <c r="T16" s="77"/>
      <c r="U16" s="75"/>
      <c r="V16" s="76"/>
    </row>
    <row r="17" spans="1:22" s="78" customFormat="1" outlineLevel="2">
      <c r="A17" s="134" t="s">
        <v>27</v>
      </c>
      <c r="B17" s="94">
        <f>450000*0.5</f>
        <v>225000</v>
      </c>
      <c r="C17" s="94">
        <f t="shared" si="2"/>
        <v>0</v>
      </c>
      <c r="D17" s="95">
        <f t="shared" si="11"/>
        <v>-225000</v>
      </c>
      <c r="E17" s="69">
        <f t="shared" si="12"/>
        <v>0</v>
      </c>
      <c r="F17" s="69">
        <f t="shared" si="13"/>
        <v>0</v>
      </c>
      <c r="G17" s="70"/>
      <c r="H17" s="71"/>
      <c r="I17" s="72"/>
      <c r="J17" s="73"/>
      <c r="K17" s="74"/>
      <c r="L17" s="75"/>
      <c r="M17" s="76"/>
      <c r="N17" s="74"/>
      <c r="O17" s="75"/>
      <c r="P17" s="76"/>
      <c r="Q17" s="77"/>
      <c r="R17" s="75"/>
      <c r="S17" s="76"/>
      <c r="T17" s="77"/>
      <c r="U17" s="75"/>
      <c r="V17" s="76"/>
    </row>
    <row r="18" spans="1:22" s="78" customFormat="1" outlineLevel="2">
      <c r="A18" s="134" t="s">
        <v>28</v>
      </c>
      <c r="B18" s="94">
        <v>0</v>
      </c>
      <c r="C18" s="94">
        <f t="shared" si="2"/>
        <v>0</v>
      </c>
      <c r="D18" s="95">
        <f t="shared" si="11"/>
        <v>0</v>
      </c>
      <c r="E18" s="69">
        <f t="shared" si="12"/>
        <v>0</v>
      </c>
      <c r="F18" s="69">
        <f t="shared" si="13"/>
        <v>0</v>
      </c>
      <c r="G18" s="70"/>
      <c r="H18" s="71"/>
      <c r="I18" s="72"/>
      <c r="J18" s="73"/>
      <c r="K18" s="74"/>
      <c r="L18" s="75"/>
      <c r="M18" s="76"/>
      <c r="N18" s="74"/>
      <c r="O18" s="75"/>
      <c r="P18" s="76"/>
      <c r="Q18" s="77"/>
      <c r="R18" s="75"/>
      <c r="S18" s="76"/>
      <c r="T18" s="77"/>
      <c r="U18" s="75"/>
      <c r="V18" s="76"/>
    </row>
    <row r="19" spans="1:22" s="78" customFormat="1" outlineLevel="2">
      <c r="A19" s="134" t="s">
        <v>20</v>
      </c>
      <c r="B19" s="94">
        <v>75000</v>
      </c>
      <c r="C19" s="94">
        <f t="shared" si="2"/>
        <v>0</v>
      </c>
      <c r="D19" s="95">
        <f t="shared" si="11"/>
        <v>-75000</v>
      </c>
      <c r="E19" s="69">
        <f t="shared" si="12"/>
        <v>0</v>
      </c>
      <c r="F19" s="69">
        <f t="shared" si="13"/>
        <v>0</v>
      </c>
      <c r="G19" s="70"/>
      <c r="H19" s="71"/>
      <c r="I19" s="72"/>
      <c r="J19" s="73"/>
      <c r="K19" s="74"/>
      <c r="L19" s="75"/>
      <c r="M19" s="76"/>
      <c r="N19" s="74"/>
      <c r="O19" s="75"/>
      <c r="P19" s="76"/>
      <c r="Q19" s="77"/>
      <c r="R19" s="75"/>
      <c r="S19" s="76"/>
      <c r="T19" s="77"/>
      <c r="U19" s="75"/>
      <c r="V19" s="76"/>
    </row>
    <row r="20" spans="1:22" s="78" customFormat="1" outlineLevel="2">
      <c r="A20" s="134" t="s">
        <v>21</v>
      </c>
      <c r="B20" s="94">
        <v>0</v>
      </c>
      <c r="C20" s="94">
        <f t="shared" si="2"/>
        <v>0</v>
      </c>
      <c r="D20" s="95">
        <f t="shared" si="11"/>
        <v>0</v>
      </c>
      <c r="E20" s="69">
        <f t="shared" si="12"/>
        <v>0</v>
      </c>
      <c r="F20" s="69">
        <f t="shared" si="13"/>
        <v>0</v>
      </c>
      <c r="G20" s="70"/>
      <c r="H20" s="71"/>
      <c r="I20" s="72"/>
      <c r="J20" s="73"/>
      <c r="K20" s="74"/>
      <c r="L20" s="75"/>
      <c r="M20" s="76"/>
      <c r="N20" s="74"/>
      <c r="O20" s="75"/>
      <c r="P20" s="76"/>
      <c r="Q20" s="77"/>
      <c r="R20" s="75"/>
      <c r="S20" s="76"/>
      <c r="T20" s="77"/>
      <c r="U20" s="75"/>
      <c r="V20" s="76"/>
    </row>
    <row r="21" spans="1:22">
      <c r="A21" s="57" t="s">
        <v>29</v>
      </c>
      <c r="B21" s="98">
        <f>SUM(B22:B29)</f>
        <v>1100000</v>
      </c>
      <c r="C21" s="98">
        <f>SUM(C22:C29)</f>
        <v>0</v>
      </c>
      <c r="D21" s="98">
        <f>SUM(D22:D29)</f>
        <v>-1100000</v>
      </c>
      <c r="E21" s="56">
        <f>SUM(E22:E29)</f>
        <v>0</v>
      </c>
      <c r="F21" s="56">
        <f>SUM(F22:F29)</f>
        <v>0</v>
      </c>
      <c r="G21" s="37"/>
      <c r="H21" s="55">
        <f t="shared" ref="H21:V21" si="14">SUM(H22:H29)</f>
        <v>0</v>
      </c>
      <c r="I21" s="56">
        <f t="shared" si="14"/>
        <v>0</v>
      </c>
      <c r="J21" s="56">
        <f t="shared" si="14"/>
        <v>0</v>
      </c>
      <c r="K21" s="55">
        <f t="shared" si="14"/>
        <v>0</v>
      </c>
      <c r="L21" s="56">
        <f t="shared" si="14"/>
        <v>0</v>
      </c>
      <c r="M21" s="56">
        <f t="shared" si="14"/>
        <v>0</v>
      </c>
      <c r="N21" s="55">
        <f t="shared" si="14"/>
        <v>0</v>
      </c>
      <c r="O21" s="56">
        <f t="shared" si="14"/>
        <v>0</v>
      </c>
      <c r="P21" s="56">
        <f t="shared" si="14"/>
        <v>0</v>
      </c>
      <c r="Q21" s="55">
        <f t="shared" si="14"/>
        <v>0</v>
      </c>
      <c r="R21" s="56">
        <f t="shared" si="14"/>
        <v>0</v>
      </c>
      <c r="S21" s="56">
        <f t="shared" si="14"/>
        <v>0</v>
      </c>
      <c r="T21" s="55">
        <f t="shared" si="14"/>
        <v>0</v>
      </c>
      <c r="U21" s="56">
        <f t="shared" si="14"/>
        <v>0</v>
      </c>
      <c r="V21" s="56">
        <f t="shared" si="14"/>
        <v>0</v>
      </c>
    </row>
    <row r="22" spans="1:22" outlineLevel="2">
      <c r="A22" s="132" t="s">
        <v>30</v>
      </c>
      <c r="B22" s="97">
        <v>200000</v>
      </c>
      <c r="C22" s="92">
        <f t="shared" si="2"/>
        <v>0</v>
      </c>
      <c r="D22" s="93">
        <f t="shared" ref="D22:D50" si="15">+C22-B22</f>
        <v>-200000</v>
      </c>
      <c r="E22" s="18">
        <f t="shared" ref="E22:E29" si="16">+I22+L22+O22+R22+U22</f>
        <v>0</v>
      </c>
      <c r="F22" s="18">
        <f t="shared" ref="F22:F29" si="17">+J22+M22+P22+S22+V22</f>
        <v>0</v>
      </c>
      <c r="G22" s="37"/>
      <c r="H22" s="3"/>
      <c r="I22" s="24"/>
      <c r="J22" s="25"/>
      <c r="K22" s="2"/>
      <c r="L22" s="28"/>
      <c r="M22" s="29"/>
      <c r="N22" s="2"/>
      <c r="O22" s="28"/>
      <c r="P22" s="29"/>
      <c r="Q22" s="4"/>
      <c r="R22" s="28"/>
      <c r="S22" s="29"/>
      <c r="T22" s="4"/>
      <c r="U22" s="28"/>
      <c r="V22" s="29"/>
    </row>
    <row r="23" spans="1:22" s="78" customFormat="1" outlineLevel="2">
      <c r="A23" s="134" t="s">
        <v>31</v>
      </c>
      <c r="B23" s="94">
        <v>200000</v>
      </c>
      <c r="C23" s="94">
        <f t="shared" si="2"/>
        <v>0</v>
      </c>
      <c r="D23" s="95">
        <f t="shared" si="15"/>
        <v>-200000</v>
      </c>
      <c r="E23" s="69">
        <f t="shared" si="16"/>
        <v>0</v>
      </c>
      <c r="F23" s="69">
        <f t="shared" si="17"/>
        <v>0</v>
      </c>
      <c r="G23" s="70"/>
      <c r="H23" s="71"/>
      <c r="I23" s="72"/>
      <c r="J23" s="73"/>
      <c r="K23" s="74"/>
      <c r="L23" s="75"/>
      <c r="M23" s="76"/>
      <c r="N23" s="74"/>
      <c r="O23" s="75"/>
      <c r="P23" s="76"/>
      <c r="Q23" s="77"/>
      <c r="R23" s="75"/>
      <c r="S23" s="76"/>
      <c r="T23" s="77"/>
      <c r="U23" s="75"/>
      <c r="V23" s="76"/>
    </row>
    <row r="24" spans="1:22" s="78" customFormat="1" outlineLevel="2">
      <c r="A24" s="134" t="s">
        <v>32</v>
      </c>
      <c r="B24" s="94">
        <v>200000</v>
      </c>
      <c r="C24" s="94">
        <f t="shared" si="2"/>
        <v>0</v>
      </c>
      <c r="D24" s="95">
        <f t="shared" si="15"/>
        <v>-200000</v>
      </c>
      <c r="E24" s="69">
        <f t="shared" si="16"/>
        <v>0</v>
      </c>
      <c r="F24" s="69">
        <f t="shared" si="17"/>
        <v>0</v>
      </c>
      <c r="G24" s="70"/>
      <c r="H24" s="71"/>
      <c r="I24" s="72"/>
      <c r="J24" s="73"/>
      <c r="K24" s="74"/>
      <c r="L24" s="75"/>
      <c r="M24" s="76"/>
      <c r="N24" s="74"/>
      <c r="O24" s="75"/>
      <c r="P24" s="76"/>
      <c r="Q24" s="77"/>
      <c r="R24" s="75"/>
      <c r="S24" s="76"/>
      <c r="T24" s="77"/>
      <c r="U24" s="75"/>
      <c r="V24" s="76"/>
    </row>
    <row r="25" spans="1:22" s="78" customFormat="1" outlineLevel="2">
      <c r="A25" s="134" t="s">
        <v>33</v>
      </c>
      <c r="B25" s="94">
        <v>200000</v>
      </c>
      <c r="C25" s="94">
        <f t="shared" si="2"/>
        <v>0</v>
      </c>
      <c r="D25" s="95">
        <f t="shared" si="15"/>
        <v>-200000</v>
      </c>
      <c r="E25" s="69">
        <f t="shared" si="16"/>
        <v>0</v>
      </c>
      <c r="F25" s="69">
        <f t="shared" si="17"/>
        <v>0</v>
      </c>
      <c r="G25" s="70"/>
      <c r="H25" s="71"/>
      <c r="I25" s="72"/>
      <c r="J25" s="73"/>
      <c r="K25" s="74"/>
      <c r="L25" s="75"/>
      <c r="M25" s="76"/>
      <c r="N25" s="74"/>
      <c r="O25" s="75"/>
      <c r="P25" s="76"/>
      <c r="Q25" s="77"/>
      <c r="R25" s="75"/>
      <c r="S25" s="76"/>
      <c r="T25" s="77"/>
      <c r="U25" s="75"/>
      <c r="V25" s="76"/>
    </row>
    <row r="26" spans="1:22" s="78" customFormat="1" outlineLevel="2">
      <c r="A26" s="134" t="s">
        <v>27</v>
      </c>
      <c r="B26" s="94">
        <f>450000*0.5</f>
        <v>225000</v>
      </c>
      <c r="C26" s="94">
        <f t="shared" ref="C26" si="18">+H26+K26+N26+Q26+T26</f>
        <v>0</v>
      </c>
      <c r="D26" s="95">
        <f t="shared" ref="D26" si="19">+C26-B26</f>
        <v>-225000</v>
      </c>
      <c r="E26" s="69">
        <f t="shared" ref="E26" si="20">+I26+L26+O26+R26+U26</f>
        <v>0</v>
      </c>
      <c r="F26" s="69">
        <f t="shared" ref="F26" si="21">+J26+M26+P26+S26+V26</f>
        <v>0</v>
      </c>
      <c r="G26" s="70"/>
      <c r="H26" s="71"/>
      <c r="I26" s="72"/>
      <c r="J26" s="73"/>
      <c r="K26" s="74"/>
      <c r="L26" s="75"/>
      <c r="M26" s="76"/>
      <c r="N26" s="74"/>
      <c r="O26" s="75"/>
      <c r="P26" s="76"/>
      <c r="Q26" s="77"/>
      <c r="R26" s="75"/>
      <c r="S26" s="76"/>
      <c r="T26" s="77"/>
      <c r="U26" s="75"/>
      <c r="V26" s="76"/>
    </row>
    <row r="27" spans="1:22" s="78" customFormat="1" outlineLevel="2">
      <c r="A27" s="134" t="s">
        <v>28</v>
      </c>
      <c r="B27" s="94">
        <v>0</v>
      </c>
      <c r="C27" s="94">
        <f t="shared" si="2"/>
        <v>0</v>
      </c>
      <c r="D27" s="95">
        <f t="shared" si="15"/>
        <v>0</v>
      </c>
      <c r="E27" s="69">
        <f t="shared" si="16"/>
        <v>0</v>
      </c>
      <c r="F27" s="69">
        <f t="shared" si="17"/>
        <v>0</v>
      </c>
      <c r="G27" s="70"/>
      <c r="H27" s="71"/>
      <c r="I27" s="72"/>
      <c r="J27" s="73"/>
      <c r="K27" s="74"/>
      <c r="L27" s="75"/>
      <c r="M27" s="76"/>
      <c r="N27" s="74"/>
      <c r="O27" s="75"/>
      <c r="P27" s="76"/>
      <c r="Q27" s="77"/>
      <c r="R27" s="75"/>
      <c r="S27" s="76"/>
      <c r="T27" s="77"/>
      <c r="U27" s="75"/>
      <c r="V27" s="76"/>
    </row>
    <row r="28" spans="1:22" s="78" customFormat="1" outlineLevel="2">
      <c r="A28" s="134" t="s">
        <v>20</v>
      </c>
      <c r="B28" s="94">
        <v>75000</v>
      </c>
      <c r="C28" s="94">
        <f t="shared" ref="C28" si="22">+H28+K28+N28+Q28+T28</f>
        <v>0</v>
      </c>
      <c r="D28" s="95">
        <f t="shared" ref="D28" si="23">+C28-B28</f>
        <v>-75000</v>
      </c>
      <c r="E28" s="69">
        <f t="shared" ref="E28" si="24">+I28+L28+O28+R28+U28</f>
        <v>0</v>
      </c>
      <c r="F28" s="69">
        <f t="shared" ref="F28" si="25">+J28+M28+P28+S28+V28</f>
        <v>0</v>
      </c>
      <c r="G28" s="70"/>
      <c r="H28" s="71"/>
      <c r="I28" s="72"/>
      <c r="J28" s="73"/>
      <c r="K28" s="74"/>
      <c r="L28" s="75"/>
      <c r="M28" s="76"/>
      <c r="N28" s="74"/>
      <c r="O28" s="75"/>
      <c r="P28" s="76"/>
      <c r="Q28" s="77"/>
      <c r="R28" s="75"/>
      <c r="S28" s="76"/>
      <c r="T28" s="77"/>
      <c r="U28" s="75"/>
      <c r="V28" s="76"/>
    </row>
    <row r="29" spans="1:22" s="78" customFormat="1" outlineLevel="2">
      <c r="A29" s="134" t="s">
        <v>21</v>
      </c>
      <c r="B29" s="94">
        <v>0</v>
      </c>
      <c r="C29" s="94">
        <f t="shared" si="2"/>
        <v>0</v>
      </c>
      <c r="D29" s="95">
        <f t="shared" si="15"/>
        <v>0</v>
      </c>
      <c r="E29" s="69">
        <f t="shared" si="16"/>
        <v>0</v>
      </c>
      <c r="F29" s="69">
        <f t="shared" si="17"/>
        <v>0</v>
      </c>
      <c r="G29" s="70"/>
      <c r="H29" s="71"/>
      <c r="I29" s="72"/>
      <c r="J29" s="73"/>
      <c r="K29" s="74"/>
      <c r="L29" s="75"/>
      <c r="M29" s="76"/>
      <c r="N29" s="74"/>
      <c r="O29" s="75"/>
      <c r="P29" s="76"/>
      <c r="Q29" s="77"/>
      <c r="R29" s="75"/>
      <c r="S29" s="76"/>
      <c r="T29" s="77"/>
      <c r="U29" s="75"/>
      <c r="V29" s="76"/>
    </row>
    <row r="30" spans="1:22">
      <c r="A30" s="50" t="s">
        <v>34</v>
      </c>
      <c r="B30" s="99">
        <f>SUM(B31:B38)</f>
        <v>1100000</v>
      </c>
      <c r="C30" s="99">
        <f t="shared" ref="C30" si="26">SUM(C31:C38)</f>
        <v>0</v>
      </c>
      <c r="D30" s="99">
        <f t="shared" ref="D30" si="27">SUM(D31:D38)</f>
        <v>-1100000</v>
      </c>
      <c r="E30" s="52">
        <f>SUM(E31:E38)</f>
        <v>0</v>
      </c>
      <c r="F30" s="52">
        <f>SUM(F31:F38)</f>
        <v>0</v>
      </c>
      <c r="G30" s="37"/>
      <c r="H30" s="51">
        <f t="shared" ref="H30" si="28">SUM(H31:H38)</f>
        <v>0</v>
      </c>
      <c r="I30" s="52">
        <f>SUM(I31:I38)</f>
        <v>0</v>
      </c>
      <c r="J30" s="52">
        <f>SUM(J31:J38)</f>
        <v>0</v>
      </c>
      <c r="K30" s="51">
        <f t="shared" ref="K30" si="29">SUM(K31:K38)</f>
        <v>0</v>
      </c>
      <c r="L30" s="52">
        <f>SUM(L31:L38)</f>
        <v>0</v>
      </c>
      <c r="M30" s="52">
        <f>SUM(M31:M38)</f>
        <v>0</v>
      </c>
      <c r="N30" s="51">
        <f t="shared" ref="N30" si="30">SUM(N31:N38)</f>
        <v>0</v>
      </c>
      <c r="O30" s="52">
        <f>SUM(O31:O38)</f>
        <v>0</v>
      </c>
      <c r="P30" s="52">
        <f>SUM(P31:P38)</f>
        <v>0</v>
      </c>
      <c r="Q30" s="51">
        <f t="shared" ref="Q30" si="31">SUM(Q31:Q38)</f>
        <v>0</v>
      </c>
      <c r="R30" s="52">
        <f>SUM(R31:R38)</f>
        <v>0</v>
      </c>
      <c r="S30" s="52">
        <f>SUM(S31:S38)</f>
        <v>0</v>
      </c>
      <c r="T30" s="51">
        <f t="shared" ref="T30" si="32">SUM(T31:T38)</f>
        <v>0</v>
      </c>
      <c r="U30" s="52">
        <f>SUM(U31:U38)</f>
        <v>0</v>
      </c>
      <c r="V30" s="52">
        <f>SUM(V31:V38)</f>
        <v>0</v>
      </c>
    </row>
    <row r="31" spans="1:22" s="78" customFormat="1" outlineLevel="2">
      <c r="A31" s="134" t="s">
        <v>35</v>
      </c>
      <c r="B31" s="94">
        <v>200000</v>
      </c>
      <c r="C31" s="94">
        <f t="shared" si="2"/>
        <v>0</v>
      </c>
      <c r="D31" s="95">
        <f t="shared" si="15"/>
        <v>-200000</v>
      </c>
      <c r="E31" s="69">
        <f t="shared" ref="E31:E38" si="33">+I31+L31+O31+R31+U31</f>
        <v>0</v>
      </c>
      <c r="F31" s="69">
        <f t="shared" ref="F31:F38" si="34">+J31+M31+P31+S31+V31</f>
        <v>0</v>
      </c>
      <c r="G31" s="70"/>
      <c r="H31" s="71"/>
      <c r="I31" s="72"/>
      <c r="J31" s="73"/>
      <c r="K31" s="74"/>
      <c r="L31" s="75"/>
      <c r="M31" s="76"/>
      <c r="N31" s="74"/>
      <c r="O31" s="75"/>
      <c r="P31" s="76"/>
      <c r="Q31" s="77"/>
      <c r="R31" s="75"/>
      <c r="S31" s="76"/>
      <c r="T31" s="77"/>
      <c r="U31" s="75"/>
      <c r="V31" s="76"/>
    </row>
    <row r="32" spans="1:22" s="78" customFormat="1" outlineLevel="2">
      <c r="A32" s="134" t="s">
        <v>36</v>
      </c>
      <c r="B32" s="94">
        <v>200000</v>
      </c>
      <c r="C32" s="94">
        <f t="shared" si="2"/>
        <v>0</v>
      </c>
      <c r="D32" s="95">
        <f t="shared" si="15"/>
        <v>-200000</v>
      </c>
      <c r="E32" s="69">
        <f t="shared" si="33"/>
        <v>0</v>
      </c>
      <c r="F32" s="69">
        <f t="shared" si="34"/>
        <v>0</v>
      </c>
      <c r="G32" s="70"/>
      <c r="H32" s="71"/>
      <c r="I32" s="72"/>
      <c r="J32" s="73"/>
      <c r="K32" s="74"/>
      <c r="L32" s="75"/>
      <c r="M32" s="76"/>
      <c r="N32" s="74"/>
      <c r="O32" s="75"/>
      <c r="P32" s="76"/>
      <c r="Q32" s="77"/>
      <c r="R32" s="75"/>
      <c r="S32" s="76"/>
      <c r="T32" s="77"/>
      <c r="U32" s="75"/>
      <c r="V32" s="76"/>
    </row>
    <row r="33" spans="1:22" s="78" customFormat="1" outlineLevel="2">
      <c r="A33" s="134" t="s">
        <v>25</v>
      </c>
      <c r="B33" s="94">
        <v>200000</v>
      </c>
      <c r="C33" s="94">
        <f t="shared" si="2"/>
        <v>0</v>
      </c>
      <c r="D33" s="95">
        <f t="shared" si="15"/>
        <v>-200000</v>
      </c>
      <c r="E33" s="69">
        <f t="shared" si="33"/>
        <v>0</v>
      </c>
      <c r="F33" s="69">
        <f t="shared" si="34"/>
        <v>0</v>
      </c>
      <c r="G33" s="70"/>
      <c r="H33" s="71"/>
      <c r="I33" s="72"/>
      <c r="J33" s="73"/>
      <c r="K33" s="74"/>
      <c r="L33" s="75"/>
      <c r="M33" s="76"/>
      <c r="N33" s="74"/>
      <c r="O33" s="75"/>
      <c r="P33" s="76"/>
      <c r="Q33" s="77"/>
      <c r="R33" s="75"/>
      <c r="S33" s="76"/>
      <c r="T33" s="77"/>
      <c r="U33" s="75"/>
      <c r="V33" s="76"/>
    </row>
    <row r="34" spans="1:22" s="78" customFormat="1" outlineLevel="2">
      <c r="A34" s="134" t="s">
        <v>26</v>
      </c>
      <c r="B34" s="94">
        <v>200000</v>
      </c>
      <c r="C34" s="94">
        <f t="shared" si="2"/>
        <v>0</v>
      </c>
      <c r="D34" s="95">
        <f t="shared" si="15"/>
        <v>-200000</v>
      </c>
      <c r="E34" s="69">
        <f t="shared" si="33"/>
        <v>0</v>
      </c>
      <c r="F34" s="69">
        <f t="shared" si="34"/>
        <v>0</v>
      </c>
      <c r="G34" s="70"/>
      <c r="H34" s="71"/>
      <c r="I34" s="72"/>
      <c r="J34" s="73"/>
      <c r="K34" s="74"/>
      <c r="L34" s="75"/>
      <c r="M34" s="76"/>
      <c r="N34" s="74"/>
      <c r="O34" s="75"/>
      <c r="P34" s="76"/>
      <c r="Q34" s="77"/>
      <c r="R34" s="75"/>
      <c r="S34" s="76"/>
      <c r="T34" s="77"/>
      <c r="U34" s="75"/>
      <c r="V34" s="76"/>
    </row>
    <row r="35" spans="1:22" s="78" customFormat="1" outlineLevel="2">
      <c r="A35" s="134" t="s">
        <v>37</v>
      </c>
      <c r="B35" s="94">
        <f>450000*0.5</f>
        <v>225000</v>
      </c>
      <c r="C35" s="94">
        <f t="shared" si="2"/>
        <v>0</v>
      </c>
      <c r="D35" s="95">
        <f t="shared" si="15"/>
        <v>-225000</v>
      </c>
      <c r="E35" s="69">
        <f t="shared" si="33"/>
        <v>0</v>
      </c>
      <c r="F35" s="69">
        <f t="shared" si="34"/>
        <v>0</v>
      </c>
      <c r="G35" s="70"/>
      <c r="H35" s="71"/>
      <c r="I35" s="72"/>
      <c r="J35" s="73"/>
      <c r="K35" s="74"/>
      <c r="L35" s="75"/>
      <c r="M35" s="76"/>
      <c r="N35" s="74"/>
      <c r="O35" s="75"/>
      <c r="P35" s="76"/>
      <c r="Q35" s="77"/>
      <c r="R35" s="75"/>
      <c r="S35" s="76"/>
      <c r="T35" s="77"/>
      <c r="U35" s="75"/>
      <c r="V35" s="76"/>
    </row>
    <row r="36" spans="1:22" s="78" customFormat="1" outlineLevel="2">
      <c r="A36" s="134" t="s">
        <v>28</v>
      </c>
      <c r="B36" s="94">
        <v>0</v>
      </c>
      <c r="C36" s="94">
        <f t="shared" ref="C36:C38" si="35">+H36+K36+N36+Q36+T36</f>
        <v>0</v>
      </c>
      <c r="D36" s="95">
        <f t="shared" ref="D36:D38" si="36">+C36-B36</f>
        <v>0</v>
      </c>
      <c r="E36" s="69">
        <f t="shared" si="33"/>
        <v>0</v>
      </c>
      <c r="F36" s="69">
        <f t="shared" si="34"/>
        <v>0</v>
      </c>
      <c r="G36" s="70"/>
      <c r="H36" s="71"/>
      <c r="I36" s="72"/>
      <c r="J36" s="73"/>
      <c r="K36" s="74"/>
      <c r="L36" s="75"/>
      <c r="M36" s="76"/>
      <c r="N36" s="74"/>
      <c r="O36" s="75"/>
      <c r="P36" s="76"/>
      <c r="Q36" s="77"/>
      <c r="R36" s="75"/>
      <c r="S36" s="76"/>
      <c r="T36" s="77"/>
      <c r="U36" s="75"/>
      <c r="V36" s="76"/>
    </row>
    <row r="37" spans="1:22" s="78" customFormat="1" outlineLevel="2">
      <c r="A37" s="134" t="s">
        <v>20</v>
      </c>
      <c r="B37" s="94">
        <v>75000</v>
      </c>
      <c r="C37" s="94">
        <f t="shared" si="35"/>
        <v>0</v>
      </c>
      <c r="D37" s="95">
        <f t="shared" si="36"/>
        <v>-75000</v>
      </c>
      <c r="E37" s="69">
        <f t="shared" si="33"/>
        <v>0</v>
      </c>
      <c r="F37" s="69">
        <f t="shared" si="34"/>
        <v>0</v>
      </c>
      <c r="G37" s="70"/>
      <c r="H37" s="71"/>
      <c r="I37" s="72"/>
      <c r="J37" s="73"/>
      <c r="K37" s="74"/>
      <c r="L37" s="75"/>
      <c r="M37" s="76"/>
      <c r="N37" s="74"/>
      <c r="O37" s="75"/>
      <c r="P37" s="76"/>
      <c r="Q37" s="77"/>
      <c r="R37" s="75"/>
      <c r="S37" s="76"/>
      <c r="T37" s="77"/>
      <c r="U37" s="75"/>
      <c r="V37" s="76"/>
    </row>
    <row r="38" spans="1:22" s="78" customFormat="1" outlineLevel="2">
      <c r="A38" s="134" t="s">
        <v>21</v>
      </c>
      <c r="B38" s="94">
        <v>0</v>
      </c>
      <c r="C38" s="94">
        <f t="shared" si="35"/>
        <v>0</v>
      </c>
      <c r="D38" s="95">
        <f t="shared" si="36"/>
        <v>0</v>
      </c>
      <c r="E38" s="69">
        <f t="shared" si="33"/>
        <v>0</v>
      </c>
      <c r="F38" s="69">
        <f t="shared" si="34"/>
        <v>0</v>
      </c>
      <c r="G38" s="70"/>
      <c r="H38" s="71"/>
      <c r="I38" s="72"/>
      <c r="J38" s="73"/>
      <c r="K38" s="74"/>
      <c r="L38" s="75"/>
      <c r="M38" s="76"/>
      <c r="N38" s="74"/>
      <c r="O38" s="75"/>
      <c r="P38" s="76"/>
      <c r="Q38" s="77"/>
      <c r="R38" s="75"/>
      <c r="S38" s="76"/>
      <c r="T38" s="77"/>
      <c r="U38" s="75"/>
      <c r="V38" s="76"/>
    </row>
    <row r="39" spans="1:22">
      <c r="A39" s="67" t="s">
        <v>38</v>
      </c>
      <c r="B39" s="100">
        <f>SUM(B40:B41)</f>
        <v>400000</v>
      </c>
      <c r="C39" s="100">
        <f>SUM(C40:C41)</f>
        <v>0</v>
      </c>
      <c r="D39" s="100">
        <f>SUM(D40:D41)</f>
        <v>-400000</v>
      </c>
      <c r="E39" s="60">
        <f>SUM(E40:E41)</f>
        <v>0</v>
      </c>
      <c r="F39" s="60">
        <f>SUM(F40:F41)</f>
        <v>0</v>
      </c>
      <c r="G39" s="37"/>
      <c r="H39" s="59">
        <f t="shared" ref="H39:V39" si="37">SUM(H40:H41)</f>
        <v>0</v>
      </c>
      <c r="I39" s="60">
        <f t="shared" si="37"/>
        <v>0</v>
      </c>
      <c r="J39" s="60">
        <f t="shared" si="37"/>
        <v>0</v>
      </c>
      <c r="K39" s="59">
        <f t="shared" si="37"/>
        <v>0</v>
      </c>
      <c r="L39" s="60">
        <f t="shared" si="37"/>
        <v>0</v>
      </c>
      <c r="M39" s="60">
        <f t="shared" si="37"/>
        <v>0</v>
      </c>
      <c r="N39" s="59">
        <f t="shared" si="37"/>
        <v>0</v>
      </c>
      <c r="O39" s="60">
        <f t="shared" si="37"/>
        <v>0</v>
      </c>
      <c r="P39" s="60">
        <f t="shared" si="37"/>
        <v>0</v>
      </c>
      <c r="Q39" s="59">
        <f t="shared" si="37"/>
        <v>0</v>
      </c>
      <c r="R39" s="60">
        <f t="shared" si="37"/>
        <v>0</v>
      </c>
      <c r="S39" s="60">
        <f t="shared" si="37"/>
        <v>0</v>
      </c>
      <c r="T39" s="59">
        <f t="shared" si="37"/>
        <v>0</v>
      </c>
      <c r="U39" s="60">
        <f t="shared" si="37"/>
        <v>0</v>
      </c>
      <c r="V39" s="60">
        <f t="shared" si="37"/>
        <v>0</v>
      </c>
    </row>
    <row r="40" spans="1:22" outlineLevel="2">
      <c r="A40" s="133" t="s">
        <v>39</v>
      </c>
      <c r="B40" s="97">
        <v>200000</v>
      </c>
      <c r="C40" s="92">
        <f t="shared" si="2"/>
        <v>0</v>
      </c>
      <c r="D40" s="93">
        <f t="shared" si="15"/>
        <v>-200000</v>
      </c>
      <c r="E40" s="18">
        <f t="shared" ref="E40:E41" si="38">+I40+L40+O40+R40+U40</f>
        <v>0</v>
      </c>
      <c r="F40" s="18">
        <f t="shared" ref="F40:F41" si="39">+J40+M40+P40+S40+V40</f>
        <v>0</v>
      </c>
      <c r="G40" s="37"/>
      <c r="H40" s="3"/>
      <c r="I40" s="24"/>
      <c r="J40" s="25"/>
      <c r="K40" s="2"/>
      <c r="L40" s="28"/>
      <c r="M40" s="29"/>
      <c r="N40" s="2"/>
      <c r="O40" s="28"/>
      <c r="P40" s="29"/>
      <c r="Q40" s="4"/>
      <c r="R40" s="28"/>
      <c r="S40" s="29"/>
      <c r="T40" s="4"/>
      <c r="U40" s="28"/>
      <c r="V40" s="29"/>
    </row>
    <row r="41" spans="1:22" s="78" customFormat="1" outlineLevel="2">
      <c r="A41" s="134" t="s">
        <v>36</v>
      </c>
      <c r="B41" s="94">
        <v>200000</v>
      </c>
      <c r="C41" s="94">
        <f t="shared" si="2"/>
        <v>0</v>
      </c>
      <c r="D41" s="95">
        <f t="shared" si="15"/>
        <v>-200000</v>
      </c>
      <c r="E41" s="69">
        <f t="shared" si="38"/>
        <v>0</v>
      </c>
      <c r="F41" s="69">
        <f t="shared" si="39"/>
        <v>0</v>
      </c>
      <c r="G41" s="70"/>
      <c r="H41" s="71"/>
      <c r="I41" s="72"/>
      <c r="J41" s="73"/>
      <c r="K41" s="74"/>
      <c r="L41" s="75"/>
      <c r="M41" s="76"/>
      <c r="N41" s="74"/>
      <c r="O41" s="75"/>
      <c r="P41" s="76"/>
      <c r="Q41" s="77"/>
      <c r="R41" s="75"/>
      <c r="S41" s="76"/>
      <c r="T41" s="77"/>
      <c r="U41" s="75"/>
      <c r="V41" s="76"/>
    </row>
    <row r="42" spans="1:22">
      <c r="A42" s="47" t="s">
        <v>40</v>
      </c>
      <c r="B42" s="101">
        <f>SUM(B43:B44)</f>
        <v>400000</v>
      </c>
      <c r="C42" s="101">
        <f>SUM(C43:C44)</f>
        <v>0</v>
      </c>
      <c r="D42" s="101">
        <f>SUM(D43:D44)</f>
        <v>-400000</v>
      </c>
      <c r="E42" s="49">
        <f>SUM(E43:E44)</f>
        <v>0</v>
      </c>
      <c r="F42" s="49">
        <f>SUM(F43:F44)</f>
        <v>0</v>
      </c>
      <c r="G42" s="37"/>
      <c r="H42" s="48">
        <f t="shared" ref="H42:V42" si="40">SUM(H43:H44)</f>
        <v>0</v>
      </c>
      <c r="I42" s="49">
        <f t="shared" si="40"/>
        <v>0</v>
      </c>
      <c r="J42" s="49">
        <f t="shared" si="40"/>
        <v>0</v>
      </c>
      <c r="K42" s="48">
        <f t="shared" si="40"/>
        <v>0</v>
      </c>
      <c r="L42" s="49">
        <f t="shared" si="40"/>
        <v>0</v>
      </c>
      <c r="M42" s="49">
        <f t="shared" si="40"/>
        <v>0</v>
      </c>
      <c r="N42" s="48">
        <f t="shared" si="40"/>
        <v>0</v>
      </c>
      <c r="O42" s="49">
        <f t="shared" si="40"/>
        <v>0</v>
      </c>
      <c r="P42" s="49">
        <f t="shared" si="40"/>
        <v>0</v>
      </c>
      <c r="Q42" s="48">
        <f t="shared" si="40"/>
        <v>0</v>
      </c>
      <c r="R42" s="49">
        <f t="shared" si="40"/>
        <v>0</v>
      </c>
      <c r="S42" s="49">
        <f t="shared" si="40"/>
        <v>0</v>
      </c>
      <c r="T42" s="48">
        <f t="shared" si="40"/>
        <v>0</v>
      </c>
      <c r="U42" s="49">
        <f t="shared" si="40"/>
        <v>0</v>
      </c>
      <c r="V42" s="49">
        <f t="shared" si="40"/>
        <v>0</v>
      </c>
    </row>
    <row r="43" spans="1:22" outlineLevel="2">
      <c r="A43" s="1" t="s">
        <v>41</v>
      </c>
      <c r="B43" s="97">
        <f>200000</f>
        <v>200000</v>
      </c>
      <c r="C43" s="92">
        <f t="shared" si="2"/>
        <v>0</v>
      </c>
      <c r="D43" s="93">
        <f t="shared" ref="D43:D44" si="41">+C43-B43</f>
        <v>-200000</v>
      </c>
      <c r="E43" s="18">
        <f t="shared" ref="E43:E44" si="42">+I43+L43+O43+R43+U43</f>
        <v>0</v>
      </c>
      <c r="F43" s="18">
        <f t="shared" ref="F43:F44" si="43">+J43+M43+P43+S43+V43</f>
        <v>0</v>
      </c>
      <c r="G43" s="37"/>
      <c r="H43" s="3"/>
      <c r="I43" s="24"/>
      <c r="J43" s="25"/>
      <c r="K43" s="2"/>
      <c r="L43" s="28"/>
      <c r="M43" s="29"/>
      <c r="N43" s="2"/>
      <c r="O43" s="28"/>
      <c r="P43" s="29"/>
      <c r="Q43" s="4"/>
      <c r="R43" s="28"/>
      <c r="S43" s="29"/>
      <c r="T43" s="4"/>
      <c r="U43" s="28"/>
      <c r="V43" s="29"/>
    </row>
    <row r="44" spans="1:22" s="78" customFormat="1" outlineLevel="2">
      <c r="A44" s="68" t="s">
        <v>36</v>
      </c>
      <c r="B44" s="94">
        <v>200000</v>
      </c>
      <c r="C44" s="94">
        <f t="shared" si="2"/>
        <v>0</v>
      </c>
      <c r="D44" s="95">
        <f t="shared" si="41"/>
        <v>-200000</v>
      </c>
      <c r="E44" s="69">
        <f t="shared" si="42"/>
        <v>0</v>
      </c>
      <c r="F44" s="69">
        <f t="shared" si="43"/>
        <v>0</v>
      </c>
      <c r="G44" s="70"/>
      <c r="H44" s="71"/>
      <c r="I44" s="72"/>
      <c r="J44" s="73"/>
      <c r="K44" s="74"/>
      <c r="L44" s="75"/>
      <c r="M44" s="76"/>
      <c r="N44" s="74"/>
      <c r="O44" s="75"/>
      <c r="P44" s="76"/>
      <c r="Q44" s="77"/>
      <c r="R44" s="75"/>
      <c r="S44" s="76"/>
      <c r="T44" s="77"/>
      <c r="U44" s="75"/>
      <c r="V44" s="76"/>
    </row>
    <row r="45" spans="1:22">
      <c r="A45" s="198" t="s">
        <v>42</v>
      </c>
      <c r="B45" s="199">
        <f>SUM(B46:B47)</f>
        <v>400000</v>
      </c>
      <c r="C45" s="199">
        <f>SUM(C46:C47)</f>
        <v>0</v>
      </c>
      <c r="D45" s="199">
        <f>SUM(D46:D47)</f>
        <v>-400000</v>
      </c>
      <c r="E45" s="200">
        <f>SUM(E46:E47)</f>
        <v>0</v>
      </c>
      <c r="F45" s="200">
        <f>SUM(F46:F47)</f>
        <v>0</v>
      </c>
      <c r="G45" s="37"/>
      <c r="H45" s="211">
        <f t="shared" ref="H45:V45" si="44">SUM(H46:H47)</f>
        <v>0</v>
      </c>
      <c r="I45" s="200">
        <f t="shared" si="44"/>
        <v>0</v>
      </c>
      <c r="J45" s="200">
        <f t="shared" si="44"/>
        <v>0</v>
      </c>
      <c r="K45" s="211">
        <f t="shared" si="44"/>
        <v>0</v>
      </c>
      <c r="L45" s="200">
        <f t="shared" si="44"/>
        <v>0</v>
      </c>
      <c r="M45" s="200">
        <f t="shared" si="44"/>
        <v>0</v>
      </c>
      <c r="N45" s="211">
        <f t="shared" si="44"/>
        <v>0</v>
      </c>
      <c r="O45" s="200">
        <f t="shared" si="44"/>
        <v>0</v>
      </c>
      <c r="P45" s="200">
        <f t="shared" si="44"/>
        <v>0</v>
      </c>
      <c r="Q45" s="211">
        <f t="shared" si="44"/>
        <v>0</v>
      </c>
      <c r="R45" s="200">
        <f t="shared" si="44"/>
        <v>0</v>
      </c>
      <c r="S45" s="200">
        <f t="shared" si="44"/>
        <v>0</v>
      </c>
      <c r="T45" s="211">
        <f t="shared" si="44"/>
        <v>0</v>
      </c>
      <c r="U45" s="200">
        <f t="shared" si="44"/>
        <v>0</v>
      </c>
      <c r="V45" s="200">
        <f t="shared" si="44"/>
        <v>0</v>
      </c>
    </row>
    <row r="46" spans="1:22" s="78" customFormat="1" outlineLevel="2">
      <c r="A46" s="68" t="s">
        <v>43</v>
      </c>
      <c r="B46" s="94">
        <f>200000</f>
        <v>200000</v>
      </c>
      <c r="C46" s="94">
        <f t="shared" si="2"/>
        <v>0</v>
      </c>
      <c r="D46" s="95">
        <f t="shared" ref="D46:D47" si="45">+C46-B46</f>
        <v>-200000</v>
      </c>
      <c r="E46" s="69">
        <f t="shared" ref="E46:E47" si="46">+I46+L46+O46+R46+U46</f>
        <v>0</v>
      </c>
      <c r="F46" s="69">
        <f t="shared" ref="F46:F47" si="47">+J46+M46+P46+S46+V46</f>
        <v>0</v>
      </c>
      <c r="G46" s="70"/>
      <c r="H46" s="71"/>
      <c r="I46" s="72"/>
      <c r="J46" s="73"/>
      <c r="K46" s="74"/>
      <c r="L46" s="75"/>
      <c r="M46" s="76"/>
      <c r="N46" s="74"/>
      <c r="O46" s="75"/>
      <c r="P46" s="76"/>
      <c r="Q46" s="77"/>
      <c r="R46" s="75"/>
      <c r="S46" s="76"/>
      <c r="T46" s="77"/>
      <c r="U46" s="75"/>
      <c r="V46" s="76"/>
    </row>
    <row r="47" spans="1:22" s="78" customFormat="1" outlineLevel="2">
      <c r="A47" s="68" t="s">
        <v>36</v>
      </c>
      <c r="B47" s="94">
        <v>200000</v>
      </c>
      <c r="C47" s="94">
        <f t="shared" si="2"/>
        <v>0</v>
      </c>
      <c r="D47" s="95">
        <f t="shared" si="45"/>
        <v>-200000</v>
      </c>
      <c r="E47" s="69">
        <f t="shared" si="46"/>
        <v>0</v>
      </c>
      <c r="F47" s="69">
        <f t="shared" si="47"/>
        <v>0</v>
      </c>
      <c r="G47" s="70"/>
      <c r="H47" s="71"/>
      <c r="I47" s="72"/>
      <c r="J47" s="73"/>
      <c r="K47" s="74"/>
      <c r="L47" s="75"/>
      <c r="M47" s="76"/>
      <c r="N47" s="74"/>
      <c r="O47" s="75"/>
      <c r="P47" s="76"/>
      <c r="Q47" s="77"/>
      <c r="R47" s="75"/>
      <c r="S47" s="76"/>
      <c r="T47" s="77"/>
      <c r="U47" s="75"/>
      <c r="V47" s="76"/>
    </row>
    <row r="48" spans="1:22">
      <c r="A48" s="198" t="s">
        <v>44</v>
      </c>
      <c r="B48" s="199">
        <f>SUM(B49:B50)</f>
        <v>400000</v>
      </c>
      <c r="C48" s="199">
        <f>SUM(C49:C50)</f>
        <v>0</v>
      </c>
      <c r="D48" s="199">
        <f>SUM(D49:D50)</f>
        <v>-400000</v>
      </c>
      <c r="E48" s="200">
        <f>SUM(E49:E50)</f>
        <v>0</v>
      </c>
      <c r="F48" s="200">
        <f>SUM(F49:F50)</f>
        <v>0</v>
      </c>
      <c r="G48" s="37"/>
      <c r="H48" s="211">
        <f t="shared" ref="H48:V48" si="48">SUM(H49:H50)</f>
        <v>0</v>
      </c>
      <c r="I48" s="200">
        <f t="shared" si="48"/>
        <v>0</v>
      </c>
      <c r="J48" s="200">
        <f t="shared" si="48"/>
        <v>0</v>
      </c>
      <c r="K48" s="211">
        <f t="shared" si="48"/>
        <v>0</v>
      </c>
      <c r="L48" s="200">
        <f t="shared" si="48"/>
        <v>0</v>
      </c>
      <c r="M48" s="200">
        <f t="shared" si="48"/>
        <v>0</v>
      </c>
      <c r="N48" s="211">
        <f t="shared" si="48"/>
        <v>0</v>
      </c>
      <c r="O48" s="200">
        <f t="shared" si="48"/>
        <v>0</v>
      </c>
      <c r="P48" s="200">
        <f t="shared" si="48"/>
        <v>0</v>
      </c>
      <c r="Q48" s="211">
        <f t="shared" si="48"/>
        <v>0</v>
      </c>
      <c r="R48" s="200">
        <f t="shared" si="48"/>
        <v>0</v>
      </c>
      <c r="S48" s="200">
        <f t="shared" si="48"/>
        <v>0</v>
      </c>
      <c r="T48" s="211">
        <f t="shared" si="48"/>
        <v>0</v>
      </c>
      <c r="U48" s="200">
        <f t="shared" si="48"/>
        <v>0</v>
      </c>
      <c r="V48" s="200">
        <f t="shared" si="48"/>
        <v>0</v>
      </c>
    </row>
    <row r="49" spans="1:22" s="78" customFormat="1" outlineLevel="2">
      <c r="A49" s="68" t="s">
        <v>43</v>
      </c>
      <c r="B49" s="94">
        <f>200000</f>
        <v>200000</v>
      </c>
      <c r="C49" s="94">
        <f t="shared" si="2"/>
        <v>0</v>
      </c>
      <c r="D49" s="95">
        <f t="shared" si="15"/>
        <v>-200000</v>
      </c>
      <c r="E49" s="69">
        <f t="shared" ref="E49:E50" si="49">+I49+L49+O49+R49+U49</f>
        <v>0</v>
      </c>
      <c r="F49" s="69">
        <f t="shared" ref="F49:F50" si="50">+J49+M49+P49+S49+V49</f>
        <v>0</v>
      </c>
      <c r="G49" s="70"/>
      <c r="H49" s="71"/>
      <c r="I49" s="72"/>
      <c r="J49" s="73"/>
      <c r="K49" s="74"/>
      <c r="L49" s="75"/>
      <c r="M49" s="76"/>
      <c r="N49" s="74"/>
      <c r="O49" s="75"/>
      <c r="P49" s="76"/>
      <c r="Q49" s="77"/>
      <c r="R49" s="75"/>
      <c r="S49" s="76"/>
      <c r="T49" s="77"/>
      <c r="U49" s="75"/>
      <c r="V49" s="76"/>
    </row>
    <row r="50" spans="1:22" s="78" customFormat="1" outlineLevel="2">
      <c r="A50" s="68" t="s">
        <v>36</v>
      </c>
      <c r="B50" s="94">
        <v>200000</v>
      </c>
      <c r="C50" s="94">
        <f t="shared" si="2"/>
        <v>0</v>
      </c>
      <c r="D50" s="95">
        <f t="shared" si="15"/>
        <v>-200000</v>
      </c>
      <c r="E50" s="69">
        <f t="shared" si="49"/>
        <v>0</v>
      </c>
      <c r="F50" s="69">
        <f t="shared" si="50"/>
        <v>0</v>
      </c>
      <c r="G50" s="70"/>
      <c r="H50" s="71"/>
      <c r="I50" s="72"/>
      <c r="J50" s="73"/>
      <c r="K50" s="74"/>
      <c r="L50" s="75"/>
      <c r="M50" s="76"/>
      <c r="N50" s="74"/>
      <c r="O50" s="75"/>
      <c r="P50" s="76"/>
      <c r="Q50" s="77"/>
      <c r="R50" s="75"/>
      <c r="S50" s="76"/>
      <c r="T50" s="77"/>
      <c r="U50" s="75"/>
      <c r="V50" s="76"/>
    </row>
    <row r="51" spans="1:22" ht="18">
      <c r="A51" s="138" t="s">
        <v>45</v>
      </c>
      <c r="B51" s="102">
        <f>+B48+B39+B30+B21+B12+B3+B45+B42</f>
        <v>6090000</v>
      </c>
      <c r="C51" s="102">
        <f>+C48+C39+C30+C21+C12+C3+C45+C42</f>
        <v>0</v>
      </c>
      <c r="D51" s="102">
        <f>+D48+D39+D30+D21+D12+D3+D45+D42</f>
        <v>-6090000</v>
      </c>
      <c r="E51" s="90">
        <f>+E48+E39+E30+E21+E12+E3+E45+E42</f>
        <v>0</v>
      </c>
      <c r="F51" s="90">
        <f>+F48+F39+F30+F21+F12+F3+F45+F42</f>
        <v>0</v>
      </c>
      <c r="G51" s="38"/>
      <c r="H51" s="196">
        <f t="shared" ref="H51:V51" si="51">+H48+H39+H30+H21+H12+H3+H45+H42</f>
        <v>0</v>
      </c>
      <c r="I51" s="197">
        <f t="shared" si="51"/>
        <v>0</v>
      </c>
      <c r="J51" s="197">
        <f t="shared" si="51"/>
        <v>0</v>
      </c>
      <c r="K51" s="196">
        <f t="shared" si="51"/>
        <v>0</v>
      </c>
      <c r="L51" s="197">
        <f t="shared" si="51"/>
        <v>0</v>
      </c>
      <c r="M51" s="197">
        <f t="shared" si="51"/>
        <v>0</v>
      </c>
      <c r="N51" s="196">
        <f t="shared" si="51"/>
        <v>0</v>
      </c>
      <c r="O51" s="197">
        <f t="shared" si="51"/>
        <v>0</v>
      </c>
      <c r="P51" s="197">
        <f t="shared" si="51"/>
        <v>0</v>
      </c>
      <c r="Q51" s="196">
        <f t="shared" si="51"/>
        <v>0</v>
      </c>
      <c r="R51" s="197">
        <f t="shared" si="51"/>
        <v>0</v>
      </c>
      <c r="S51" s="197">
        <f t="shared" si="51"/>
        <v>0</v>
      </c>
      <c r="T51" s="196">
        <f t="shared" si="51"/>
        <v>0</v>
      </c>
      <c r="U51" s="197">
        <f t="shared" si="51"/>
        <v>0</v>
      </c>
      <c r="V51" s="197">
        <f t="shared" si="51"/>
        <v>0</v>
      </c>
    </row>
    <row r="53" spans="1:22" ht="18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</row>
    <row r="54" spans="1:22">
      <c r="A54" s="87" t="s">
        <v>47</v>
      </c>
      <c r="B54" s="105">
        <f>+B55+B64+B73+B82+B91+B100+B94+B97</f>
        <v>2586200</v>
      </c>
      <c r="C54" s="105">
        <f>+C55+C64+C73+C82+C91+C100+C94+C97</f>
        <v>0</v>
      </c>
      <c r="D54" s="106">
        <f>+C54-B54</f>
        <v>-2586200</v>
      </c>
    </row>
    <row r="55" spans="1:22" outlineLevel="1">
      <c r="A55" s="44" t="s">
        <v>48</v>
      </c>
      <c r="B55" s="107">
        <f>SUM(B56:B63)*1.34</f>
        <v>452920</v>
      </c>
      <c r="C55" s="107">
        <f>SUM(C56:C63)*1.34</f>
        <v>0</v>
      </c>
      <c r="D55" s="108">
        <f>+C55-B55</f>
        <v>-452920</v>
      </c>
    </row>
    <row r="56" spans="1:22" outlineLevel="2">
      <c r="A56" s="132" t="s">
        <v>14</v>
      </c>
      <c r="B56" s="93">
        <v>60000</v>
      </c>
      <c r="C56" s="93"/>
      <c r="D56" s="109">
        <f t="shared" ref="D56:D129" si="52">+C56-B56</f>
        <v>-60000</v>
      </c>
      <c r="F56" s="16"/>
      <c r="G56" s="40"/>
    </row>
    <row r="57" spans="1:22" outlineLevel="2">
      <c r="A57" s="133" t="s">
        <v>15</v>
      </c>
      <c r="B57" s="93">
        <v>47000</v>
      </c>
      <c r="C57" s="93"/>
      <c r="D57" s="109">
        <f t="shared" si="52"/>
        <v>-47000</v>
      </c>
      <c r="F57" s="16"/>
      <c r="G57" s="40"/>
    </row>
    <row r="58" spans="1:22" outlineLevel="2">
      <c r="A58" s="133" t="s">
        <v>16</v>
      </c>
      <c r="B58" s="93">
        <v>55000</v>
      </c>
      <c r="C58" s="93"/>
      <c r="D58" s="109">
        <f t="shared" si="52"/>
        <v>-55000</v>
      </c>
      <c r="F58" s="16"/>
      <c r="G58" s="40"/>
    </row>
    <row r="59" spans="1:22" s="78" customFormat="1" outlineLevel="2">
      <c r="A59" s="134" t="s">
        <v>17</v>
      </c>
      <c r="B59" s="95">
        <v>60000</v>
      </c>
      <c r="C59" s="95"/>
      <c r="D59" s="110">
        <f t="shared" si="52"/>
        <v>-60000</v>
      </c>
      <c r="E59" s="79"/>
      <c r="F59" s="79"/>
      <c r="G59" s="80"/>
      <c r="H59" s="81"/>
      <c r="I59" s="82"/>
      <c r="J59" s="82">
        <v>1</v>
      </c>
      <c r="K59" s="81"/>
      <c r="L59" s="84"/>
      <c r="M59" s="85"/>
      <c r="N59" s="81"/>
      <c r="O59" s="84"/>
      <c r="P59" s="86"/>
      <c r="Q59" s="81"/>
      <c r="R59" s="84"/>
      <c r="S59" s="86"/>
      <c r="T59" s="81"/>
      <c r="U59" s="84"/>
      <c r="V59" s="86"/>
    </row>
    <row r="60" spans="1:22" outlineLevel="2">
      <c r="A60" s="132" t="s">
        <v>18</v>
      </c>
      <c r="B60" s="93">
        <v>16000</v>
      </c>
      <c r="C60" s="93"/>
      <c r="D60" s="109">
        <f t="shared" si="52"/>
        <v>-16000</v>
      </c>
      <c r="F60" s="16"/>
      <c r="G60" s="40"/>
      <c r="J60" s="82">
        <v>2</v>
      </c>
    </row>
    <row r="61" spans="1:22" outlineLevel="2">
      <c r="A61" s="132" t="s">
        <v>49</v>
      </c>
      <c r="B61" s="93">
        <v>85000</v>
      </c>
      <c r="C61" s="93"/>
      <c r="D61" s="109">
        <f t="shared" si="52"/>
        <v>-85000</v>
      </c>
      <c r="F61" s="16"/>
      <c r="G61" s="40"/>
      <c r="J61" s="82">
        <v>3</v>
      </c>
      <c r="K61" s="6" t="s">
        <v>50</v>
      </c>
    </row>
    <row r="62" spans="1:22" s="175" customFormat="1" outlineLevel="2">
      <c r="A62" s="165" t="s">
        <v>20</v>
      </c>
      <c r="B62" s="166">
        <v>15000</v>
      </c>
      <c r="C62" s="166"/>
      <c r="D62" s="167">
        <f t="shared" ref="D62" si="53">+C62-B62</f>
        <v>-15000</v>
      </c>
      <c r="E62" s="168"/>
      <c r="F62" s="168"/>
      <c r="G62" s="169"/>
      <c r="H62" s="170"/>
      <c r="I62" s="171"/>
      <c r="J62" s="171">
        <v>4</v>
      </c>
      <c r="K62" s="170" t="s">
        <v>51</v>
      </c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64" customFormat="1" outlineLevel="2">
      <c r="A63" s="134" t="s">
        <v>21</v>
      </c>
      <c r="B63" s="155">
        <v>0</v>
      </c>
      <c r="C63" s="155"/>
      <c r="D63" s="156">
        <f t="shared" si="52"/>
        <v>0</v>
      </c>
      <c r="E63" s="157"/>
      <c r="F63" s="157"/>
      <c r="G63" s="158"/>
      <c r="H63" s="159"/>
      <c r="I63" s="160"/>
      <c r="J63" s="160"/>
      <c r="K63" s="159"/>
      <c r="L63" s="161"/>
      <c r="M63" s="162"/>
      <c r="N63" s="159"/>
      <c r="O63" s="161"/>
      <c r="P63" s="163"/>
      <c r="Q63" s="159"/>
      <c r="R63" s="161"/>
      <c r="S63" s="163"/>
      <c r="T63" s="159"/>
      <c r="U63" s="161"/>
      <c r="V63" s="163"/>
    </row>
    <row r="64" spans="1:22" outlineLevel="1">
      <c r="A64" s="58" t="s">
        <v>52</v>
      </c>
      <c r="B64" s="111">
        <f>SUM(B65:B72)*1.34</f>
        <v>495800.00000000006</v>
      </c>
      <c r="C64" s="111">
        <f>SUM(C65:C72)*1.34</f>
        <v>0</v>
      </c>
      <c r="D64" s="112">
        <f>+C64-B64</f>
        <v>-495800.00000000006</v>
      </c>
      <c r="F64" s="16"/>
      <c r="G64" s="40"/>
      <c r="J64" s="82">
        <v>5</v>
      </c>
      <c r="K64" s="6" t="s">
        <v>53</v>
      </c>
    </row>
    <row r="65" spans="1:22" outlineLevel="2">
      <c r="A65" s="133" t="s">
        <v>23</v>
      </c>
      <c r="B65" s="93">
        <v>55000</v>
      </c>
      <c r="C65" s="93"/>
      <c r="D65" s="109">
        <f t="shared" si="52"/>
        <v>-55000</v>
      </c>
      <c r="F65" s="16"/>
      <c r="G65" s="40"/>
      <c r="J65" s="82">
        <v>6</v>
      </c>
    </row>
    <row r="66" spans="1:22" s="78" customFormat="1" outlineLevel="2">
      <c r="A66" s="134" t="s">
        <v>54</v>
      </c>
      <c r="B66" s="95">
        <v>60000</v>
      </c>
      <c r="C66" s="95"/>
      <c r="D66" s="110">
        <f t="shared" si="52"/>
        <v>-60000</v>
      </c>
      <c r="E66" s="79"/>
      <c r="F66" s="79"/>
      <c r="G66" s="80"/>
      <c r="H66" s="81"/>
      <c r="I66" s="82"/>
      <c r="J66" s="82">
        <v>7</v>
      </c>
      <c r="K66" s="81" t="s">
        <v>55</v>
      </c>
      <c r="L66" s="84"/>
      <c r="M66" s="85"/>
      <c r="N66" s="81"/>
      <c r="O66" s="84"/>
      <c r="P66" s="86"/>
      <c r="Q66" s="81"/>
      <c r="R66" s="84"/>
      <c r="S66" s="86"/>
      <c r="T66" s="81"/>
      <c r="U66" s="84"/>
      <c r="V66" s="86"/>
    </row>
    <row r="67" spans="1:22" s="78" customFormat="1" outlineLevel="2">
      <c r="A67" s="134" t="s">
        <v>25</v>
      </c>
      <c r="B67" s="95">
        <v>60000</v>
      </c>
      <c r="C67" s="95"/>
      <c r="D67" s="110">
        <f t="shared" si="52"/>
        <v>-60000</v>
      </c>
      <c r="E67" s="79"/>
      <c r="F67" s="79"/>
      <c r="G67" s="80"/>
      <c r="H67" s="81"/>
      <c r="I67" s="82"/>
      <c r="J67" s="82">
        <v>8</v>
      </c>
      <c r="K67" s="81"/>
      <c r="L67" s="84"/>
      <c r="M67" s="85"/>
      <c r="N67" s="81"/>
      <c r="O67" s="84"/>
      <c r="P67" s="86"/>
      <c r="Q67" s="81"/>
      <c r="R67" s="84"/>
      <c r="S67" s="86"/>
      <c r="T67" s="81"/>
      <c r="U67" s="84"/>
      <c r="V67" s="86"/>
    </row>
    <row r="68" spans="1:22" s="78" customFormat="1" outlineLevel="2">
      <c r="A68" s="134" t="s">
        <v>26</v>
      </c>
      <c r="B68" s="95">
        <v>60000</v>
      </c>
      <c r="C68" s="95"/>
      <c r="D68" s="110">
        <f t="shared" si="52"/>
        <v>-60000</v>
      </c>
      <c r="E68" s="79"/>
      <c r="F68" s="79"/>
      <c r="G68" s="80"/>
      <c r="H68" s="81"/>
      <c r="I68" s="82"/>
      <c r="J68" s="82">
        <v>9</v>
      </c>
      <c r="K68" s="81" t="s">
        <v>56</v>
      </c>
      <c r="L68" s="154" t="s">
        <v>57</v>
      </c>
      <c r="M68" s="85"/>
      <c r="N68" s="81"/>
      <c r="O68" s="84"/>
      <c r="P68" s="86"/>
      <c r="Q68" s="81"/>
      <c r="R68" s="84"/>
      <c r="S68" s="86"/>
      <c r="T68" s="81"/>
      <c r="U68" s="84"/>
      <c r="V68" s="86"/>
    </row>
    <row r="69" spans="1:22" s="78" customFormat="1" outlineLevel="2">
      <c r="A69" s="134" t="s">
        <v>27</v>
      </c>
      <c r="B69" s="95">
        <v>80000</v>
      </c>
      <c r="C69" s="95"/>
      <c r="D69" s="110">
        <f t="shared" ref="D69" si="54">+C69-B69</f>
        <v>-80000</v>
      </c>
      <c r="E69" s="79"/>
      <c r="F69" s="79"/>
      <c r="G69" s="80"/>
      <c r="H69" s="81"/>
      <c r="I69" s="82"/>
      <c r="J69" s="82">
        <v>10</v>
      </c>
      <c r="K69" s="81"/>
      <c r="L69" s="84"/>
      <c r="M69" s="85"/>
      <c r="N69" s="81"/>
      <c r="O69" s="84"/>
      <c r="P69" s="86"/>
      <c r="Q69" s="81"/>
      <c r="R69" s="84"/>
      <c r="S69" s="86"/>
      <c r="T69" s="81"/>
      <c r="U69" s="84"/>
      <c r="V69" s="86"/>
    </row>
    <row r="70" spans="1:22" s="78" customFormat="1" outlineLevel="2">
      <c r="A70" s="134" t="s">
        <v>28</v>
      </c>
      <c r="B70" s="95">
        <v>0</v>
      </c>
      <c r="C70" s="95"/>
      <c r="D70" s="110">
        <f t="shared" si="52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>
      <c r="A71" s="134" t="s">
        <v>20</v>
      </c>
      <c r="B71" s="95">
        <v>55000</v>
      </c>
      <c r="C71" s="95"/>
      <c r="D71" s="110">
        <f t="shared" ref="D71" si="55">+C71-B71</f>
        <v>-55000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>
      <c r="A72" s="134" t="s">
        <v>21</v>
      </c>
      <c r="B72" s="95">
        <v>0</v>
      </c>
      <c r="C72" s="95"/>
      <c r="D72" s="110">
        <f t="shared" si="52"/>
        <v>0</v>
      </c>
      <c r="E72" s="79"/>
      <c r="F72" s="79"/>
      <c r="G72" s="80"/>
      <c r="H72" s="81"/>
      <c r="I72" s="82"/>
      <c r="J72" s="82">
        <v>11</v>
      </c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>
      <c r="A73" s="57" t="s">
        <v>58</v>
      </c>
      <c r="B73" s="113">
        <f>SUM(B74:B81)*1.34</f>
        <v>522600.00000000006</v>
      </c>
      <c r="C73" s="113">
        <f>SUM(C74:C81)*1.34</f>
        <v>0</v>
      </c>
      <c r="D73" s="114">
        <f>+C73-B73</f>
        <v>-522600.00000000006</v>
      </c>
      <c r="F73" s="16"/>
      <c r="G73" s="40"/>
      <c r="J73" s="82">
        <v>12</v>
      </c>
    </row>
    <row r="74" spans="1:22" outlineLevel="2">
      <c r="A74" s="133" t="s">
        <v>59</v>
      </c>
      <c r="B74" s="93">
        <v>75000</v>
      </c>
      <c r="C74" s="93"/>
      <c r="D74" s="109">
        <f t="shared" si="52"/>
        <v>-75000</v>
      </c>
      <c r="F74" s="16"/>
      <c r="G74" s="40"/>
      <c r="J74" s="83"/>
    </row>
    <row r="75" spans="1:22" s="78" customFormat="1" outlineLevel="2">
      <c r="A75" s="134" t="s">
        <v>31</v>
      </c>
      <c r="B75" s="95">
        <v>60000</v>
      </c>
      <c r="C75" s="95"/>
      <c r="D75" s="110">
        <f t="shared" si="52"/>
        <v>-60000</v>
      </c>
      <c r="E75" s="79"/>
      <c r="F75" s="79"/>
      <c r="G75" s="80"/>
      <c r="H75" s="81"/>
      <c r="I75" s="82"/>
      <c r="J75" s="83"/>
      <c r="K75" s="81"/>
      <c r="L75" s="84"/>
      <c r="M75" s="85"/>
      <c r="N75" s="81"/>
      <c r="O75" s="84"/>
      <c r="P75" s="86"/>
      <c r="Q75" s="81"/>
      <c r="R75" s="84"/>
      <c r="S75" s="86"/>
      <c r="T75" s="81"/>
      <c r="U75" s="84"/>
      <c r="V75" s="86"/>
    </row>
    <row r="76" spans="1:22" s="78" customFormat="1" outlineLevel="2">
      <c r="A76" s="134" t="s">
        <v>32</v>
      </c>
      <c r="B76" s="95">
        <v>60000</v>
      </c>
      <c r="C76" s="95"/>
      <c r="D76" s="110">
        <f t="shared" si="52"/>
        <v>-60000</v>
      </c>
      <c r="E76" s="79"/>
      <c r="F76" s="79"/>
      <c r="G76" s="80"/>
      <c r="H76" s="81"/>
      <c r="I76" s="82"/>
      <c r="J76" s="83"/>
      <c r="K76" s="81"/>
      <c r="L76" s="84"/>
      <c r="M76" s="85"/>
      <c r="N76" s="81"/>
      <c r="O76" s="84"/>
      <c r="P76" s="86"/>
      <c r="Q76" s="81"/>
      <c r="R76" s="84"/>
      <c r="S76" s="86"/>
      <c r="T76" s="81"/>
      <c r="U76" s="84"/>
      <c r="V76" s="86"/>
    </row>
    <row r="77" spans="1:22" s="78" customFormat="1" outlineLevel="2">
      <c r="A77" s="134" t="s">
        <v>33</v>
      </c>
      <c r="B77" s="95">
        <v>60000</v>
      </c>
      <c r="C77" s="95"/>
      <c r="D77" s="110">
        <f t="shared" si="52"/>
        <v>-60000</v>
      </c>
      <c r="E77" s="79"/>
      <c r="F77" s="79"/>
      <c r="G77" s="80"/>
      <c r="H77" s="81"/>
      <c r="I77" s="82"/>
      <c r="J77" s="83"/>
      <c r="K77" s="81"/>
      <c r="L77" s="84"/>
      <c r="M77" s="85"/>
      <c r="N77" s="81"/>
      <c r="O77" s="84"/>
      <c r="P77" s="86"/>
      <c r="Q77" s="81"/>
      <c r="R77" s="84"/>
      <c r="S77" s="86"/>
      <c r="T77" s="81"/>
      <c r="U77" s="84"/>
      <c r="V77" s="86"/>
    </row>
    <row r="78" spans="1:22" s="78" customFormat="1" outlineLevel="2">
      <c r="A78" s="134" t="s">
        <v>27</v>
      </c>
      <c r="B78" s="95">
        <v>80000</v>
      </c>
      <c r="C78" s="95"/>
      <c r="D78" s="110">
        <f t="shared" ref="D78" si="56">+C78-B78</f>
        <v>-80000</v>
      </c>
      <c r="E78" s="79"/>
      <c r="F78" s="79"/>
      <c r="G78" s="80"/>
      <c r="H78" s="81"/>
      <c r="I78" s="82"/>
      <c r="J78" s="83"/>
      <c r="K78" s="81"/>
      <c r="L78" s="84"/>
      <c r="M78" s="85"/>
      <c r="N78" s="81"/>
      <c r="O78" s="84"/>
      <c r="P78" s="86"/>
      <c r="Q78" s="81"/>
      <c r="R78" s="84"/>
      <c r="S78" s="86"/>
      <c r="T78" s="81"/>
      <c r="U78" s="84"/>
      <c r="V78" s="86"/>
    </row>
    <row r="79" spans="1:22" s="78" customFormat="1" outlineLevel="2">
      <c r="A79" s="134" t="s">
        <v>28</v>
      </c>
      <c r="B79" s="95">
        <v>0</v>
      </c>
      <c r="C79" s="95"/>
      <c r="D79" s="110">
        <f t="shared" si="52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>
      <c r="A80" s="134" t="s">
        <v>20</v>
      </c>
      <c r="B80" s="95">
        <v>55000</v>
      </c>
      <c r="C80" s="95"/>
      <c r="D80" s="110">
        <f t="shared" ref="D80" si="57">+C80-B80</f>
        <v>-55000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>
      <c r="A81" s="134" t="s">
        <v>21</v>
      </c>
      <c r="B81" s="95">
        <v>0</v>
      </c>
      <c r="C81" s="95"/>
      <c r="D81" s="110">
        <f t="shared" si="52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>
      <c r="A82" s="50" t="s">
        <v>60</v>
      </c>
      <c r="B82" s="115">
        <f>SUM(B83:B90)*1.34</f>
        <v>515900.00000000006</v>
      </c>
      <c r="C82" s="115">
        <f>SUM(C83:C90)*1.34</f>
        <v>0</v>
      </c>
      <c r="D82" s="116">
        <f>+C82-B82</f>
        <v>-515900.00000000006</v>
      </c>
      <c r="F82" s="16"/>
      <c r="G82" s="40"/>
    </row>
    <row r="83" spans="1:22" s="78" customFormat="1" outlineLevel="2">
      <c r="A83" s="134" t="s">
        <v>61</v>
      </c>
      <c r="B83" s="95">
        <v>70000</v>
      </c>
      <c r="C83" s="95"/>
      <c r="D83" s="110">
        <f t="shared" si="52"/>
        <v>-70000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s="78" customFormat="1" outlineLevel="2">
      <c r="A84" s="134" t="s">
        <v>36</v>
      </c>
      <c r="B84" s="95">
        <v>60000</v>
      </c>
      <c r="C84" s="95"/>
      <c r="D84" s="110">
        <f t="shared" si="52"/>
        <v>-60000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>
      <c r="A85" s="134" t="s">
        <v>25</v>
      </c>
      <c r="B85" s="95">
        <v>60000</v>
      </c>
      <c r="C85" s="95"/>
      <c r="D85" s="110">
        <f t="shared" si="52"/>
        <v>-60000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>
      <c r="A86" s="134" t="s">
        <v>26</v>
      </c>
      <c r="B86" s="95">
        <v>60000</v>
      </c>
      <c r="C86" s="95"/>
      <c r="D86" s="110">
        <f t="shared" si="52"/>
        <v>-60000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>
      <c r="A87" s="134" t="s">
        <v>37</v>
      </c>
      <c r="B87" s="95">
        <v>80000</v>
      </c>
      <c r="C87" s="95"/>
      <c r="D87" s="110">
        <f t="shared" ref="D87" si="58">+C87-B87</f>
        <v>-80000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>
      <c r="A88" s="134" t="s">
        <v>28</v>
      </c>
      <c r="B88" s="95">
        <v>0</v>
      </c>
      <c r="C88" s="95"/>
      <c r="D88" s="110">
        <f t="shared" si="52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>
      <c r="A89" s="134" t="s">
        <v>20</v>
      </c>
      <c r="B89" s="95">
        <v>55000</v>
      </c>
      <c r="C89" s="95"/>
      <c r="D89" s="110">
        <f t="shared" ref="D89" si="59">+C89-B89</f>
        <v>-55000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>
      <c r="A90" s="134" t="s">
        <v>21</v>
      </c>
      <c r="B90" s="95">
        <v>0</v>
      </c>
      <c r="C90" s="95"/>
      <c r="D90" s="110">
        <f t="shared" si="52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>
      <c r="A91" s="135" t="s">
        <v>62</v>
      </c>
      <c r="B91" s="117">
        <f>SUM(B92:B93)*1.34</f>
        <v>176880</v>
      </c>
      <c r="C91" s="117">
        <f>SUM(C92:C93)*1.34</f>
        <v>0</v>
      </c>
      <c r="D91" s="118">
        <f t="shared" si="52"/>
        <v>-176880</v>
      </c>
      <c r="F91" s="16"/>
      <c r="G91" s="40"/>
    </row>
    <row r="92" spans="1:22" outlineLevel="2">
      <c r="A92" s="133" t="s">
        <v>39</v>
      </c>
      <c r="B92" s="93">
        <v>72000</v>
      </c>
      <c r="C92" s="93"/>
      <c r="D92" s="119">
        <f t="shared" si="52"/>
        <v>-72000</v>
      </c>
      <c r="F92" s="16"/>
      <c r="G92" s="40"/>
    </row>
    <row r="93" spans="1:22" s="78" customFormat="1" outlineLevel="2">
      <c r="A93" s="134" t="s">
        <v>36</v>
      </c>
      <c r="B93" s="95">
        <v>60000</v>
      </c>
      <c r="C93" s="95"/>
      <c r="D93" s="110">
        <f t="shared" si="52"/>
        <v>-60000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>
      <c r="A94" s="136" t="s">
        <v>63</v>
      </c>
      <c r="B94" s="120">
        <f>SUM(B95:B96)*1.34</f>
        <v>100500</v>
      </c>
      <c r="C94" s="120">
        <f>SUM(C95:C96)*1.34</f>
        <v>0</v>
      </c>
      <c r="D94" s="121">
        <f t="shared" ref="D94:D99" si="60">+C94-B94</f>
        <v>-100500</v>
      </c>
      <c r="F94" s="16"/>
      <c r="G94" s="40"/>
    </row>
    <row r="95" spans="1:22" outlineLevel="2">
      <c r="A95" s="1" t="s">
        <v>41</v>
      </c>
      <c r="B95" s="93">
        <v>15000</v>
      </c>
      <c r="C95" s="93"/>
      <c r="D95" s="119">
        <f t="shared" si="60"/>
        <v>-15000</v>
      </c>
      <c r="F95" s="16"/>
      <c r="G95" s="40"/>
    </row>
    <row r="96" spans="1:22" s="78" customFormat="1" outlineLevel="2">
      <c r="A96" s="68" t="s">
        <v>36</v>
      </c>
      <c r="B96" s="95">
        <v>60000</v>
      </c>
      <c r="C96" s="95"/>
      <c r="D96" s="110">
        <f t="shared" si="60"/>
        <v>-60000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>
      <c r="A97" s="202" t="s">
        <v>64</v>
      </c>
      <c r="B97" s="203">
        <f>SUM(B98:B99)*1.34</f>
        <v>160800</v>
      </c>
      <c r="C97" s="203">
        <f>SUM(C98:C99)*1.34</f>
        <v>0</v>
      </c>
      <c r="D97" s="204">
        <f t="shared" si="60"/>
        <v>-160800</v>
      </c>
      <c r="F97" s="16"/>
      <c r="G97" s="40"/>
    </row>
    <row r="98" spans="1:22" s="78" customFormat="1" outlineLevel="2">
      <c r="A98" s="68" t="s">
        <v>43</v>
      </c>
      <c r="B98" s="95">
        <v>60000</v>
      </c>
      <c r="C98" s="95"/>
      <c r="D98" s="110">
        <f t="shared" si="60"/>
        <v>-60000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>
      <c r="A99" s="68" t="s">
        <v>36</v>
      </c>
      <c r="B99" s="95">
        <v>60000</v>
      </c>
      <c r="C99" s="95"/>
      <c r="D99" s="110">
        <f t="shared" si="60"/>
        <v>-60000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>
      <c r="A100" s="202" t="s">
        <v>65</v>
      </c>
      <c r="B100" s="203">
        <f>SUM(B101:B102)*1.34</f>
        <v>160800</v>
      </c>
      <c r="C100" s="203">
        <f>SUM(C101:C102)*1.34</f>
        <v>0</v>
      </c>
      <c r="D100" s="204">
        <f t="shared" si="52"/>
        <v>-160800</v>
      </c>
      <c r="F100" s="16"/>
      <c r="G100" s="40"/>
    </row>
    <row r="101" spans="1:22" s="78" customFormat="1" outlineLevel="2">
      <c r="A101" s="68" t="s">
        <v>43</v>
      </c>
      <c r="B101" s="95">
        <v>60000</v>
      </c>
      <c r="C101" s="95"/>
      <c r="D101" s="110">
        <f t="shared" si="52"/>
        <v>-60000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>
      <c r="A102" s="68" t="s">
        <v>36</v>
      </c>
      <c r="B102" s="95">
        <v>60000</v>
      </c>
      <c r="C102" s="95"/>
      <c r="D102" s="110">
        <f t="shared" si="52"/>
        <v>-60000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>
      <c r="A103" s="89" t="s">
        <v>66</v>
      </c>
      <c r="B103" s="122">
        <f>SUM(B104:B111)</f>
        <v>913500</v>
      </c>
      <c r="C103" s="122">
        <f>SUM(C104:C111)</f>
        <v>0</v>
      </c>
      <c r="D103" s="123">
        <f>+C103-B103</f>
        <v>-913500</v>
      </c>
    </row>
    <row r="104" spans="1:22" outlineLevel="1">
      <c r="A104" s="44" t="s">
        <v>67</v>
      </c>
      <c r="B104" s="141">
        <f>+B3*0.15</f>
        <v>178500</v>
      </c>
      <c r="C104" s="141">
        <f>+C3*0.15</f>
        <v>0</v>
      </c>
      <c r="D104" s="142">
        <f t="shared" si="52"/>
        <v>-178500</v>
      </c>
    </row>
    <row r="105" spans="1:22" outlineLevel="1">
      <c r="A105" s="58" t="s">
        <v>68</v>
      </c>
      <c r="B105" s="141">
        <f>+B12*0.15</f>
        <v>165000</v>
      </c>
      <c r="C105" s="141">
        <f>+C12*0.15</f>
        <v>0</v>
      </c>
      <c r="D105" s="142">
        <f t="shared" si="52"/>
        <v>-165000</v>
      </c>
    </row>
    <row r="106" spans="1:22" outlineLevel="1">
      <c r="A106" s="57" t="s">
        <v>69</v>
      </c>
      <c r="B106" s="141">
        <f>+B21*0.15</f>
        <v>165000</v>
      </c>
      <c r="C106" s="141">
        <f>+C21*0.15</f>
        <v>0</v>
      </c>
      <c r="D106" s="142">
        <f t="shared" si="52"/>
        <v>-165000</v>
      </c>
    </row>
    <row r="107" spans="1:22" outlineLevel="1">
      <c r="A107" s="50" t="s">
        <v>70</v>
      </c>
      <c r="B107" s="141">
        <f>+B30*0.15</f>
        <v>165000</v>
      </c>
      <c r="C107" s="141">
        <f>+C30*0.15</f>
        <v>0</v>
      </c>
      <c r="D107" s="142">
        <f t="shared" si="52"/>
        <v>-165000</v>
      </c>
    </row>
    <row r="108" spans="1:22" outlineLevel="1">
      <c r="A108" s="67" t="s">
        <v>71</v>
      </c>
      <c r="B108" s="141">
        <f>+B39*0.15</f>
        <v>60000</v>
      </c>
      <c r="C108" s="141">
        <f>+C39*0.15</f>
        <v>0</v>
      </c>
      <c r="D108" s="142">
        <f t="shared" si="52"/>
        <v>-60000</v>
      </c>
    </row>
    <row r="109" spans="1:22" outlineLevel="1">
      <c r="A109" s="47" t="s">
        <v>72</v>
      </c>
      <c r="B109" s="141">
        <f>+B42*0.15</f>
        <v>60000</v>
      </c>
      <c r="C109" s="141">
        <f>+C42*0.15</f>
        <v>0</v>
      </c>
      <c r="D109" s="142">
        <f t="shared" ref="D109:D110" si="61">+C109-B109</f>
        <v>-60000</v>
      </c>
    </row>
    <row r="110" spans="1:22" outlineLevel="1">
      <c r="A110" s="198" t="s">
        <v>73</v>
      </c>
      <c r="B110" s="141">
        <f>+B45*0.15</f>
        <v>60000</v>
      </c>
      <c r="C110" s="141">
        <f>+C45*0.15</f>
        <v>0</v>
      </c>
      <c r="D110" s="142">
        <f t="shared" si="61"/>
        <v>-60000</v>
      </c>
    </row>
    <row r="111" spans="1:22" outlineLevel="1">
      <c r="A111" s="198" t="s">
        <v>74</v>
      </c>
      <c r="B111" s="141">
        <f>+B48*0.15</f>
        <v>60000</v>
      </c>
      <c r="C111" s="141">
        <f>+C48*0.15</f>
        <v>0</v>
      </c>
      <c r="D111" s="142">
        <f t="shared" si="52"/>
        <v>-60000</v>
      </c>
    </row>
    <row r="112" spans="1:22">
      <c r="A112" s="88" t="s">
        <v>75</v>
      </c>
      <c r="B112" s="124">
        <f>SUM(B113:B120)</f>
        <v>100000</v>
      </c>
      <c r="C112" s="124">
        <f>SUM(C113:C120)</f>
        <v>0</v>
      </c>
      <c r="D112" s="125">
        <f>+C112-B112</f>
        <v>-100000</v>
      </c>
    </row>
    <row r="113" spans="1:4" outlineLevel="1">
      <c r="A113" s="44" t="s">
        <v>76</v>
      </c>
      <c r="B113" s="111">
        <v>30000</v>
      </c>
      <c r="C113" s="111">
        <v>0</v>
      </c>
      <c r="D113" s="112">
        <f t="shared" si="52"/>
        <v>-30000</v>
      </c>
    </row>
    <row r="114" spans="1:4" outlineLevel="1">
      <c r="A114" s="58" t="s">
        <v>77</v>
      </c>
      <c r="B114" s="111">
        <v>20000</v>
      </c>
      <c r="C114" s="111">
        <v>0</v>
      </c>
      <c r="D114" s="112">
        <f t="shared" si="52"/>
        <v>-20000</v>
      </c>
    </row>
    <row r="115" spans="1:4" outlineLevel="1">
      <c r="A115" s="57" t="s">
        <v>78</v>
      </c>
      <c r="B115" s="111">
        <v>20000</v>
      </c>
      <c r="C115" s="111">
        <v>0</v>
      </c>
      <c r="D115" s="111">
        <f t="shared" si="52"/>
        <v>-20000</v>
      </c>
    </row>
    <row r="116" spans="1:4" outlineLevel="1">
      <c r="A116" s="50" t="s">
        <v>79</v>
      </c>
      <c r="B116" s="111">
        <v>30000</v>
      </c>
      <c r="C116" s="111">
        <v>0</v>
      </c>
      <c r="D116" s="111">
        <f t="shared" si="52"/>
        <v>-30000</v>
      </c>
    </row>
    <row r="117" spans="1:4" outlineLevel="1">
      <c r="A117" s="67" t="s">
        <v>80</v>
      </c>
      <c r="B117" s="111">
        <v>0</v>
      </c>
      <c r="C117" s="111">
        <v>0</v>
      </c>
      <c r="D117" s="111">
        <f t="shared" si="52"/>
        <v>0</v>
      </c>
    </row>
    <row r="118" spans="1:4" outlineLevel="1">
      <c r="A118" s="47" t="s">
        <v>81</v>
      </c>
      <c r="B118" s="111">
        <v>0</v>
      </c>
      <c r="C118" s="111">
        <v>0</v>
      </c>
      <c r="D118" s="111">
        <f t="shared" ref="D118:D119" si="62">+C118-B118</f>
        <v>0</v>
      </c>
    </row>
    <row r="119" spans="1:4" outlineLevel="1">
      <c r="A119" s="198" t="s">
        <v>82</v>
      </c>
      <c r="B119" s="111">
        <v>0</v>
      </c>
      <c r="C119" s="111">
        <v>0</v>
      </c>
      <c r="D119" s="111">
        <f t="shared" si="62"/>
        <v>0</v>
      </c>
    </row>
    <row r="120" spans="1:4" outlineLevel="1">
      <c r="A120" s="198" t="s">
        <v>83</v>
      </c>
      <c r="B120" s="111">
        <v>0</v>
      </c>
      <c r="C120" s="111">
        <v>0</v>
      </c>
      <c r="D120" s="111">
        <f t="shared" si="52"/>
        <v>0</v>
      </c>
    </row>
    <row r="121" spans="1:4">
      <c r="A121" s="150" t="s">
        <v>84</v>
      </c>
      <c r="B121" s="151">
        <f>SUM(B122:B129)</f>
        <v>609000</v>
      </c>
      <c r="C121" s="151">
        <f t="shared" ref="C121" si="63">SUM(C122:C129)</f>
        <v>0</v>
      </c>
      <c r="D121" s="151">
        <f>+C121-B121</f>
        <v>-609000</v>
      </c>
    </row>
    <row r="122" spans="1:4" outlineLevel="1">
      <c r="A122" s="44" t="s">
        <v>85</v>
      </c>
      <c r="B122" s="152">
        <f>+B3/10</f>
        <v>119000</v>
      </c>
      <c r="C122" s="152">
        <f>+C3/10</f>
        <v>0</v>
      </c>
      <c r="D122" s="153">
        <f t="shared" si="52"/>
        <v>-119000</v>
      </c>
    </row>
    <row r="123" spans="1:4" outlineLevel="1">
      <c r="A123" s="58" t="s">
        <v>86</v>
      </c>
      <c r="B123" s="152">
        <f>+B12/10</f>
        <v>110000</v>
      </c>
      <c r="C123" s="152">
        <f>+C12/10</f>
        <v>0</v>
      </c>
      <c r="D123" s="153">
        <f t="shared" si="52"/>
        <v>-110000</v>
      </c>
    </row>
    <row r="124" spans="1:4" outlineLevel="1">
      <c r="A124" s="57" t="s">
        <v>87</v>
      </c>
      <c r="B124" s="152">
        <f>+B21/10</f>
        <v>110000</v>
      </c>
      <c r="C124" s="152">
        <f>+C21/10</f>
        <v>0</v>
      </c>
      <c r="D124" s="152">
        <f t="shared" si="52"/>
        <v>-110000</v>
      </c>
    </row>
    <row r="125" spans="1:4" outlineLevel="1">
      <c r="A125" s="50" t="s">
        <v>88</v>
      </c>
      <c r="B125" s="152">
        <f>+B30/10</f>
        <v>110000</v>
      </c>
      <c r="C125" s="152">
        <f>+C30/10</f>
        <v>0</v>
      </c>
      <c r="D125" s="152">
        <f t="shared" si="52"/>
        <v>-110000</v>
      </c>
    </row>
    <row r="126" spans="1:4" outlineLevel="1">
      <c r="A126" s="67" t="s">
        <v>89</v>
      </c>
      <c r="B126" s="152">
        <f>+B39/10</f>
        <v>40000</v>
      </c>
      <c r="C126" s="152">
        <f>+C39/10</f>
        <v>0</v>
      </c>
      <c r="D126" s="152">
        <f t="shared" si="52"/>
        <v>-40000</v>
      </c>
    </row>
    <row r="127" spans="1:4" outlineLevel="1">
      <c r="A127" s="47" t="s">
        <v>90</v>
      </c>
      <c r="B127" s="152">
        <f>+B42/10</f>
        <v>40000</v>
      </c>
      <c r="C127" s="152">
        <f>+C42/10</f>
        <v>0</v>
      </c>
      <c r="D127" s="152">
        <f t="shared" ref="D127:D128" si="64">+C127-B127</f>
        <v>-40000</v>
      </c>
    </row>
    <row r="128" spans="1:4" outlineLevel="1">
      <c r="A128" s="198" t="s">
        <v>91</v>
      </c>
      <c r="B128" s="152">
        <f>+B45/10</f>
        <v>40000</v>
      </c>
      <c r="C128" s="152">
        <f>+C45/10</f>
        <v>0</v>
      </c>
      <c r="D128" s="152">
        <f t="shared" si="64"/>
        <v>-40000</v>
      </c>
    </row>
    <row r="129" spans="1:7" outlineLevel="1">
      <c r="A129" s="198" t="s">
        <v>92</v>
      </c>
      <c r="B129" s="152">
        <f>+B48/10</f>
        <v>40000</v>
      </c>
      <c r="C129" s="152">
        <f>+C48/10</f>
        <v>0</v>
      </c>
      <c r="D129" s="152">
        <f t="shared" si="52"/>
        <v>-40000</v>
      </c>
    </row>
    <row r="130" spans="1:7" ht="18">
      <c r="A130" s="139" t="s">
        <v>93</v>
      </c>
      <c r="B130" s="126">
        <f t="shared" ref="B130:D131" si="65">+B112+B103+B54+B121</f>
        <v>4208700</v>
      </c>
      <c r="C130" s="126">
        <f t="shared" si="65"/>
        <v>0</v>
      </c>
      <c r="D130" s="126">
        <f t="shared" si="65"/>
        <v>-4208700</v>
      </c>
      <c r="E130" s="15"/>
      <c r="F130" s="10"/>
      <c r="G130" s="41"/>
    </row>
    <row r="131" spans="1:7">
      <c r="A131" s="44" t="s">
        <v>94</v>
      </c>
      <c r="B131" s="140">
        <f t="shared" si="65"/>
        <v>780420</v>
      </c>
      <c r="C131" s="140">
        <f t="shared" si="65"/>
        <v>0</v>
      </c>
      <c r="D131" s="140">
        <f t="shared" si="65"/>
        <v>-780420</v>
      </c>
      <c r="E131" s="15"/>
      <c r="F131" s="10"/>
      <c r="G131" s="41"/>
    </row>
    <row r="132" spans="1:7">
      <c r="A132" s="58" t="s">
        <v>95</v>
      </c>
      <c r="B132" s="140">
        <f>+B114+B105+B64+B123</f>
        <v>790800</v>
      </c>
      <c r="C132" s="140">
        <f>+C114+C105+C64+C123</f>
        <v>0</v>
      </c>
      <c r="D132" s="140">
        <f>+D114+D105+D64+D123</f>
        <v>-790800</v>
      </c>
      <c r="E132" s="15"/>
      <c r="F132" s="10"/>
      <c r="G132" s="41"/>
    </row>
    <row r="133" spans="1:7">
      <c r="A133" s="57" t="s">
        <v>96</v>
      </c>
      <c r="B133" s="140">
        <f>+B115+B106+B73+B124</f>
        <v>817600</v>
      </c>
      <c r="C133" s="140">
        <f>+C115+C106+C73+C124</f>
        <v>0</v>
      </c>
      <c r="D133" s="140">
        <f>+D115+D106+D73+D124</f>
        <v>-817600</v>
      </c>
      <c r="E133" s="15"/>
      <c r="F133" s="10"/>
      <c r="G133" s="41"/>
    </row>
    <row r="134" spans="1:7">
      <c r="A134" s="50" t="s">
        <v>97</v>
      </c>
      <c r="B134" s="140">
        <f>+B116+B107+B82+B125</f>
        <v>820900</v>
      </c>
      <c r="C134" s="140">
        <f>+C116+C107+C82+C125</f>
        <v>0</v>
      </c>
      <c r="D134" s="140">
        <f>+D116+D107+D82+D125</f>
        <v>-820900</v>
      </c>
      <c r="E134" s="15"/>
      <c r="F134" s="10"/>
      <c r="G134" s="41"/>
    </row>
    <row r="135" spans="1:7">
      <c r="A135" s="67" t="s">
        <v>98</v>
      </c>
      <c r="B135" s="140">
        <f>+B117+B108+B91+B126</f>
        <v>276880</v>
      </c>
      <c r="C135" s="140">
        <f>+C117+C108+C91+C126</f>
        <v>0</v>
      </c>
      <c r="D135" s="140">
        <f>+D117+D108+D91+D126</f>
        <v>-276880</v>
      </c>
      <c r="E135" s="15"/>
      <c r="F135" s="10"/>
      <c r="G135" s="41"/>
    </row>
    <row r="136" spans="1:7">
      <c r="A136" s="47" t="s">
        <v>99</v>
      </c>
      <c r="B136" s="140">
        <f>+B127+B118+B109+B94</f>
        <v>200500</v>
      </c>
      <c r="C136" s="140">
        <f>+C127+C118+C109+C94</f>
        <v>0</v>
      </c>
      <c r="D136" s="140">
        <f>+D119+D110+D99+D128</f>
        <v>-160000</v>
      </c>
      <c r="E136" s="15"/>
      <c r="F136" s="10"/>
      <c r="G136" s="41"/>
    </row>
    <row r="137" spans="1:7">
      <c r="A137" s="198" t="s">
        <v>100</v>
      </c>
      <c r="B137" s="140">
        <f>+B128+B119+B110+B97</f>
        <v>260800</v>
      </c>
      <c r="C137" s="140">
        <f>+C128+C119+C110+C97</f>
        <v>0</v>
      </c>
      <c r="D137" s="140">
        <f>+D119+D110+D99+D128</f>
        <v>-160000</v>
      </c>
      <c r="E137" s="15"/>
      <c r="F137" s="10"/>
      <c r="G137" s="41"/>
    </row>
    <row r="138" spans="1:7">
      <c r="A138" s="198" t="s">
        <v>101</v>
      </c>
      <c r="B138" s="140">
        <f>+B129+B120+B111+B100</f>
        <v>260800</v>
      </c>
      <c r="C138" s="140">
        <f>+C129+C120+C111+C100</f>
        <v>0</v>
      </c>
      <c r="D138" s="140">
        <f>+D120+D111+D100+D129</f>
        <v>-260800</v>
      </c>
      <c r="E138" s="15"/>
      <c r="F138" s="10"/>
      <c r="G138" s="41"/>
    </row>
    <row r="139" spans="1:7">
      <c r="A139" s="7"/>
      <c r="B139" s="127"/>
      <c r="C139" s="127"/>
      <c r="D139" s="128"/>
      <c r="E139" s="15"/>
      <c r="F139" s="10"/>
      <c r="G139" s="41"/>
    </row>
    <row r="140" spans="1:7">
      <c r="A140" s="8" t="s">
        <v>102</v>
      </c>
      <c r="B140" s="129">
        <f>+B51-B130</f>
        <v>1881300</v>
      </c>
      <c r="C140" s="129">
        <f>+C51-C130</f>
        <v>0</v>
      </c>
      <c r="D140" s="129">
        <f>+D51-D130</f>
        <v>-1881300</v>
      </c>
      <c r="E140" s="19"/>
      <c r="F140" s="20"/>
      <c r="G140" s="42"/>
    </row>
    <row r="141" spans="1:7" outlineLevel="1">
      <c r="A141" s="44" t="s">
        <v>103</v>
      </c>
      <c r="B141" s="143">
        <f>+B3-B131</f>
        <v>409580</v>
      </c>
      <c r="C141" s="143">
        <f>+C3-C131</f>
        <v>0</v>
      </c>
      <c r="D141" s="143">
        <f>+D3-D131</f>
        <v>-409580</v>
      </c>
      <c r="E141" s="19"/>
      <c r="F141" s="20"/>
      <c r="G141" s="42"/>
    </row>
    <row r="142" spans="1:7" outlineLevel="1">
      <c r="A142" s="58" t="s">
        <v>104</v>
      </c>
      <c r="B142" s="143">
        <f>+B12-B132</f>
        <v>309200</v>
      </c>
      <c r="C142" s="143">
        <f>+C12-C132</f>
        <v>0</v>
      </c>
      <c r="D142" s="143">
        <f>+D12-D132</f>
        <v>-309200</v>
      </c>
      <c r="E142" s="19"/>
      <c r="F142" s="20"/>
      <c r="G142" s="42"/>
    </row>
    <row r="143" spans="1:7" outlineLevel="1">
      <c r="A143" s="57" t="s">
        <v>105</v>
      </c>
      <c r="B143" s="143">
        <f>+B21-B133</f>
        <v>282400</v>
      </c>
      <c r="C143" s="143">
        <f>+C21-C133</f>
        <v>0</v>
      </c>
      <c r="D143" s="143">
        <f>+D21-D133</f>
        <v>-282400</v>
      </c>
      <c r="E143" s="19"/>
      <c r="F143" s="20"/>
      <c r="G143" s="42"/>
    </row>
    <row r="144" spans="1:7" outlineLevel="1">
      <c r="A144" s="50" t="s">
        <v>106</v>
      </c>
      <c r="B144" s="143">
        <f>+B30-B134</f>
        <v>279100</v>
      </c>
      <c r="C144" s="143">
        <f>+C30-C134</f>
        <v>0</v>
      </c>
      <c r="D144" s="143">
        <f>+D30-D134</f>
        <v>-279100</v>
      </c>
      <c r="E144" s="19"/>
      <c r="F144" s="20"/>
      <c r="G144" s="42"/>
    </row>
    <row r="145" spans="1:7" outlineLevel="1">
      <c r="A145" s="61" t="s">
        <v>107</v>
      </c>
      <c r="B145" s="143">
        <f>+B39-B135</f>
        <v>123120</v>
      </c>
      <c r="C145" s="143">
        <f>+C39-C135</f>
        <v>0</v>
      </c>
      <c r="D145" s="143">
        <f>+D39-D135</f>
        <v>-123120</v>
      </c>
      <c r="E145" s="19"/>
      <c r="F145" s="20"/>
      <c r="G145" s="42"/>
    </row>
    <row r="146" spans="1:7" outlineLevel="1">
      <c r="A146" s="62" t="s">
        <v>108</v>
      </c>
      <c r="B146" s="143">
        <f>+B42-B137</f>
        <v>139200</v>
      </c>
      <c r="C146" s="143">
        <f>+C42-C137</f>
        <v>0</v>
      </c>
      <c r="D146" s="143">
        <f>+D47-D137</f>
        <v>-40000</v>
      </c>
      <c r="E146" s="19"/>
      <c r="F146" s="20"/>
      <c r="G146" s="42"/>
    </row>
    <row r="147" spans="1:7" outlineLevel="1">
      <c r="A147" s="201" t="s">
        <v>109</v>
      </c>
      <c r="B147" s="143">
        <f>+B45-B137</f>
        <v>139200</v>
      </c>
      <c r="C147" s="143">
        <f>+C45-C137</f>
        <v>0</v>
      </c>
      <c r="D147" s="143">
        <f>+D47-D137</f>
        <v>-40000</v>
      </c>
      <c r="E147" s="19"/>
      <c r="F147" s="20"/>
      <c r="G147" s="42"/>
    </row>
    <row r="148" spans="1:7" outlineLevel="1">
      <c r="A148" s="201" t="s">
        <v>110</v>
      </c>
      <c r="B148" s="143">
        <f>+B48-B138</f>
        <v>139200</v>
      </c>
      <c r="C148" s="143">
        <f>+C48-C138</f>
        <v>0</v>
      </c>
      <c r="D148" s="143">
        <f>+D48-D138</f>
        <v>-139200</v>
      </c>
      <c r="E148" s="19"/>
      <c r="F148" s="20"/>
      <c r="G148" s="42"/>
    </row>
    <row r="149" spans="1:7">
      <c r="D149" s="131"/>
      <c r="E149" s="21"/>
      <c r="F149" s="22"/>
      <c r="G149" s="43"/>
    </row>
    <row r="150" spans="1:7">
      <c r="A150" t="s">
        <v>111</v>
      </c>
      <c r="B150" s="9">
        <f>+B51/B130-1</f>
        <v>0.44700263739396973</v>
      </c>
      <c r="C150" s="9" t="e">
        <f>+C51/C130-1</f>
        <v>#DIV/0!</v>
      </c>
    </row>
  </sheetData>
  <mergeCells count="5">
    <mergeCell ref="H1:J1"/>
    <mergeCell ref="K1:M1"/>
    <mergeCell ref="N1:P1"/>
    <mergeCell ref="Q1:S1"/>
    <mergeCell ref="T1:V1"/>
  </mergeCells>
  <conditionalFormatting sqref="D4:D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{3979525A-A927-4930-B3B6-7FDDEA061AE5}</x14:id>
        </ext>
      </extLst>
    </cfRule>
  </conditionalFormatting>
  <conditionalFormatting sqref="D13:D2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{395D64D6-ED65-4FEF-9429-4E8C59227DF5}</x14:id>
        </ext>
      </extLst>
    </cfRule>
  </conditionalFormatting>
  <conditionalFormatting sqref="D22:D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{113DD273-AB60-41D9-A301-CEC7410200E6}</x14:id>
        </ext>
      </extLst>
    </cfRule>
  </conditionalFormatting>
  <conditionalFormatting sqref="D31:D3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{1A189362-786C-4D2B-8B57-0B3DEEABF81F}</x14:id>
        </ext>
      </extLst>
    </cfRule>
  </conditionalFormatting>
  <conditionalFormatting sqref="D35:D3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{2BB4CBF1-39C8-43E8-B57D-DBFD297F6591}</x14:id>
        </ext>
      </extLst>
    </cfRule>
  </conditionalFormatting>
  <conditionalFormatting sqref="D40:D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{6FF81AC9-6B25-4DAC-8D8F-DD491379876F}</x14:id>
        </ext>
      </extLst>
    </cfRule>
  </conditionalFormatting>
  <conditionalFormatting sqref="D43:D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{8D20C6BD-0BF7-467D-9DEE-2BE9DE7767A9}</x14:id>
        </ext>
      </extLst>
    </cfRule>
  </conditionalFormatting>
  <conditionalFormatting sqref="D46:D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{3F67121D-AC45-41F8-A27E-7CD3C24B5BC5}</x14:id>
        </ext>
      </extLst>
    </cfRule>
  </conditionalFormatting>
  <conditionalFormatting sqref="D49:D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{DDFF8F8E-D302-4FE7-A2C7-63F9E6BCAE54}</x14:id>
        </ext>
      </extLst>
    </cfRule>
  </conditionalFormatting>
  <conditionalFormatting sqref="D104:D111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{1A70C1DD-58D5-4961-82C8-2EC51BA0B556}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79525A-A927-4930-B3B6-7FDDEA061A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395D64D6-ED65-4FEF-9429-4E8C59227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113DD273-AB60-41D9-A301-CEC7410200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1A189362-786C-4D2B-8B57-0B3DEEABF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2BB4CBF1-39C8-43E8-B57D-DBFD297F65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6FF81AC9-6B25-4DAC-8D8F-DD49137987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8D20C6BD-0BF7-467D-9DEE-2BE9DE7767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3F67121D-AC45-41F8-A27E-7CD3C24B5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DDFF8F8E-D302-4FE7-A2C7-63F9E6BCAE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  <x14:conditionalFormatting xmlns:xm="http://schemas.microsoft.com/office/excel/2006/main">
          <x14:cfRule type="dataBar" id="{1A70C1DD-58D5-4961-82C8-2EC51BA0B5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D104:D111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0"/>
  <sheetViews>
    <sheetView zoomScale="90" zoomScaleNormal="90" workbookViewId="0">
      <pane ySplit="2" topLeftCell="A59" activePane="bottomLeft" state="frozen"/>
      <selection pane="bottomLeft"/>
    </sheetView>
  </sheetViews>
  <sheetFormatPr defaultRowHeight="14.25" outlineLevelRow="2"/>
  <cols>
    <col min="1" max="1" width="35.28515625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</cols>
  <sheetData>
    <row r="1" spans="1:22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>
      <c r="A3" s="44" t="s">
        <v>13</v>
      </c>
      <c r="B3" s="91">
        <f>SUM(B4:B11)</f>
        <v>915000</v>
      </c>
      <c r="C3" s="91">
        <f>SUM(C4:C11)</f>
        <v>753882</v>
      </c>
      <c r="D3" s="91">
        <f>SUM(D4:D11)</f>
        <v>-161118</v>
      </c>
      <c r="E3" s="46">
        <f>SUM(E4:E11)</f>
        <v>701</v>
      </c>
      <c r="F3" s="46">
        <f>SUM(F4:F11)</f>
        <v>997.05000000000007</v>
      </c>
      <c r="G3" s="36"/>
      <c r="H3" s="45">
        <f t="shared" ref="H3:V3" si="0">SUM(H4:H11)</f>
        <v>166363</v>
      </c>
      <c r="I3" s="46">
        <f t="shared" si="0"/>
        <v>139</v>
      </c>
      <c r="J3" s="46">
        <f t="shared" si="0"/>
        <v>224.89999999999998</v>
      </c>
      <c r="K3" s="45">
        <f t="shared" si="0"/>
        <v>180001</v>
      </c>
      <c r="L3" s="46">
        <f t="shared" si="0"/>
        <v>143</v>
      </c>
      <c r="M3" s="46">
        <f t="shared" si="0"/>
        <v>241.8</v>
      </c>
      <c r="N3" s="45">
        <f t="shared" si="0"/>
        <v>159140</v>
      </c>
      <c r="O3" s="46">
        <f t="shared" si="0"/>
        <v>123</v>
      </c>
      <c r="P3" s="46">
        <f t="shared" si="0"/>
        <v>205.35</v>
      </c>
      <c r="Q3" s="45">
        <f t="shared" si="0"/>
        <v>248378</v>
      </c>
      <c r="R3" s="46">
        <f t="shared" si="0"/>
        <v>296</v>
      </c>
      <c r="S3" s="46">
        <f t="shared" si="0"/>
        <v>325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>
      <c r="A4" s="132" t="s">
        <v>14</v>
      </c>
      <c r="B4" s="92">
        <v>200000</v>
      </c>
      <c r="C4" s="92">
        <f>+H4+K4+N4+Q4+T4</f>
        <v>203197</v>
      </c>
      <c r="D4" s="93">
        <f t="shared" ref="D4:D11" si="1">+C4-B4</f>
        <v>3197</v>
      </c>
      <c r="E4" s="18">
        <f>+I4+L4+O4+R4+U4</f>
        <v>213</v>
      </c>
      <c r="F4" s="18">
        <f>+J4+M4+P4+S4+V4</f>
        <v>300.45</v>
      </c>
      <c r="G4" s="37"/>
      <c r="H4" s="3">
        <v>59212</v>
      </c>
      <c r="I4" s="24">
        <v>64</v>
      </c>
      <c r="J4" s="25">
        <v>86.2</v>
      </c>
      <c r="K4" s="2">
        <v>45535</v>
      </c>
      <c r="L4" s="28">
        <v>48</v>
      </c>
      <c r="M4" s="29">
        <v>69.999999999999986</v>
      </c>
      <c r="N4" s="2">
        <v>32413</v>
      </c>
      <c r="O4" s="28">
        <v>33</v>
      </c>
      <c r="P4" s="29">
        <v>48.350000000000023</v>
      </c>
      <c r="Q4" s="4">
        <v>66037</v>
      </c>
      <c r="R4" s="28">
        <v>68</v>
      </c>
      <c r="S4" s="29">
        <v>95.899999999999977</v>
      </c>
      <c r="T4" s="4"/>
      <c r="U4" s="28"/>
      <c r="V4" s="29"/>
    </row>
    <row r="5" spans="1:22" outlineLevel="2">
      <c r="A5" s="133" t="s">
        <v>15</v>
      </c>
      <c r="B5" s="92">
        <v>200000</v>
      </c>
      <c r="C5" s="92">
        <f t="shared" ref="C5:C50" si="2">+H5+K5+N5+Q5+T5</f>
        <v>150551</v>
      </c>
      <c r="D5" s="93">
        <f t="shared" si="1"/>
        <v>-49449</v>
      </c>
      <c r="E5" s="18">
        <f t="shared" ref="E5:F11" si="3">+I5+L5+O5+R5+U5</f>
        <v>124</v>
      </c>
      <c r="F5" s="18">
        <f t="shared" si="3"/>
        <v>223.3</v>
      </c>
      <c r="G5" s="37"/>
      <c r="H5" s="3">
        <v>17941</v>
      </c>
      <c r="I5" s="24">
        <v>14</v>
      </c>
      <c r="J5" s="25">
        <v>28</v>
      </c>
      <c r="K5" s="2">
        <v>29704</v>
      </c>
      <c r="L5" s="28">
        <v>24</v>
      </c>
      <c r="M5" s="29">
        <v>44</v>
      </c>
      <c r="N5" s="2">
        <v>51750</v>
      </c>
      <c r="O5" s="28">
        <v>43</v>
      </c>
      <c r="P5" s="29">
        <v>75</v>
      </c>
      <c r="Q5" s="4">
        <v>51156</v>
      </c>
      <c r="R5" s="28">
        <v>43</v>
      </c>
      <c r="S5" s="29">
        <v>76.300000000000011</v>
      </c>
      <c r="T5" s="4"/>
      <c r="U5" s="28"/>
      <c r="V5" s="29"/>
    </row>
    <row r="6" spans="1:22" outlineLevel="2">
      <c r="A6" s="133" t="s">
        <v>16</v>
      </c>
      <c r="B6" s="92">
        <v>200000</v>
      </c>
      <c r="C6" s="92">
        <f t="shared" si="2"/>
        <v>160581</v>
      </c>
      <c r="D6" s="93">
        <f t="shared" si="1"/>
        <v>-39419</v>
      </c>
      <c r="E6" s="18">
        <f t="shared" si="3"/>
        <v>131</v>
      </c>
      <c r="F6" s="18">
        <f t="shared" si="3"/>
        <v>240</v>
      </c>
      <c r="G6" s="37"/>
      <c r="H6" s="3">
        <v>43428</v>
      </c>
      <c r="I6" s="24">
        <v>35</v>
      </c>
      <c r="J6" s="25">
        <v>65.5</v>
      </c>
      <c r="K6" s="2">
        <v>53294</v>
      </c>
      <c r="L6" s="28">
        <v>43</v>
      </c>
      <c r="M6" s="29">
        <v>78</v>
      </c>
      <c r="N6" s="2">
        <v>16478</v>
      </c>
      <c r="O6" s="28">
        <v>15</v>
      </c>
      <c r="P6" s="29">
        <v>23.699999999999989</v>
      </c>
      <c r="Q6" s="4">
        <v>47381</v>
      </c>
      <c r="R6" s="28">
        <v>38</v>
      </c>
      <c r="S6" s="29">
        <v>72.800000000000011</v>
      </c>
      <c r="T6" s="4"/>
      <c r="U6" s="28"/>
      <c r="V6" s="29"/>
    </row>
    <row r="7" spans="1:22" s="78" customFormat="1" outlineLevel="2">
      <c r="A7" s="134" t="s">
        <v>17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71"/>
      <c r="I7" s="72"/>
      <c r="J7" s="73"/>
      <c r="K7" s="74"/>
      <c r="L7" s="75"/>
      <c r="M7" s="76"/>
      <c r="N7" s="74"/>
      <c r="O7" s="75"/>
      <c r="P7" s="76"/>
      <c r="Q7" s="77"/>
      <c r="R7" s="75"/>
      <c r="S7" s="76"/>
      <c r="T7" s="77"/>
      <c r="U7" s="75"/>
      <c r="V7" s="76"/>
    </row>
    <row r="8" spans="1:22" outlineLevel="2">
      <c r="A8" s="132" t="s">
        <v>18</v>
      </c>
      <c r="B8" s="92">
        <f>450000*0.2</f>
        <v>90000</v>
      </c>
      <c r="C8" s="92">
        <f t="shared" si="2"/>
        <v>7428</v>
      </c>
      <c r="D8" s="93">
        <f t="shared" si="1"/>
        <v>-82572</v>
      </c>
      <c r="E8" s="18">
        <f t="shared" si="3"/>
        <v>38</v>
      </c>
      <c r="F8" s="18">
        <f t="shared" si="3"/>
        <v>6.2</v>
      </c>
      <c r="G8" s="37"/>
      <c r="H8" s="5">
        <v>0</v>
      </c>
      <c r="I8" s="24"/>
      <c r="J8" s="25"/>
      <c r="K8" s="2">
        <v>0</v>
      </c>
      <c r="L8" s="28">
        <v>0</v>
      </c>
      <c r="M8" s="29">
        <v>0</v>
      </c>
      <c r="N8" s="2">
        <v>391</v>
      </c>
      <c r="O8" s="28">
        <v>2</v>
      </c>
      <c r="P8" s="29">
        <v>0.2</v>
      </c>
      <c r="Q8" s="4">
        <v>7037</v>
      </c>
      <c r="R8" s="28">
        <v>36</v>
      </c>
      <c r="S8" s="29">
        <v>6</v>
      </c>
      <c r="T8" s="4"/>
      <c r="U8" s="28"/>
      <c r="V8" s="29"/>
    </row>
    <row r="9" spans="1:22" outlineLevel="2">
      <c r="A9" s="132" t="s">
        <v>19</v>
      </c>
      <c r="B9" s="92">
        <f>450000*0.5</f>
        <v>225000</v>
      </c>
      <c r="C9" s="92">
        <f t="shared" si="2"/>
        <v>232125</v>
      </c>
      <c r="D9" s="93">
        <f t="shared" si="1"/>
        <v>7125</v>
      </c>
      <c r="E9" s="18">
        <f t="shared" si="3"/>
        <v>195</v>
      </c>
      <c r="F9" s="18">
        <f t="shared" si="3"/>
        <v>227.1</v>
      </c>
      <c r="G9" s="37"/>
      <c r="H9" s="5">
        <v>45782</v>
      </c>
      <c r="I9" s="24">
        <v>26</v>
      </c>
      <c r="J9" s="25">
        <v>45.2</v>
      </c>
      <c r="K9" s="2">
        <v>51468</v>
      </c>
      <c r="L9" s="28">
        <v>28</v>
      </c>
      <c r="M9" s="29">
        <v>49.8</v>
      </c>
      <c r="N9" s="2">
        <v>58108</v>
      </c>
      <c r="O9" s="28">
        <v>30</v>
      </c>
      <c r="P9" s="29">
        <v>58.099999999999994</v>
      </c>
      <c r="Q9" s="4">
        <v>76767</v>
      </c>
      <c r="R9" s="28">
        <v>111</v>
      </c>
      <c r="S9" s="29">
        <v>74</v>
      </c>
      <c r="T9" s="4"/>
      <c r="U9" s="28"/>
      <c r="V9" s="29"/>
    </row>
    <row r="10" spans="1:22" s="78" customFormat="1" outlineLevel="2">
      <c r="A10" s="134" t="s">
        <v>20</v>
      </c>
      <c r="B10" s="94">
        <v>0</v>
      </c>
      <c r="C10" s="94">
        <f t="shared" si="2"/>
        <v>0</v>
      </c>
      <c r="D10" s="95">
        <f t="shared" si="1"/>
        <v>0</v>
      </c>
      <c r="E10" s="69">
        <f t="shared" si="3"/>
        <v>0</v>
      </c>
      <c r="F10" s="69">
        <f t="shared" si="3"/>
        <v>0</v>
      </c>
      <c r="G10" s="70"/>
      <c r="H10" s="71"/>
      <c r="I10" s="72"/>
      <c r="J10" s="73"/>
      <c r="K10" s="74"/>
      <c r="L10" s="75"/>
      <c r="M10" s="76"/>
      <c r="N10" s="74"/>
      <c r="O10" s="75"/>
      <c r="P10" s="76"/>
      <c r="Q10" s="77"/>
      <c r="R10" s="75"/>
      <c r="S10" s="76"/>
      <c r="T10" s="77"/>
      <c r="U10" s="75"/>
      <c r="V10" s="76"/>
    </row>
    <row r="11" spans="1:22" s="78" customFormat="1" outlineLevel="2">
      <c r="A11" s="134" t="s">
        <v>21</v>
      </c>
      <c r="B11" s="94">
        <v>0</v>
      </c>
      <c r="C11" s="94">
        <f t="shared" si="2"/>
        <v>0</v>
      </c>
      <c r="D11" s="95">
        <f t="shared" si="1"/>
        <v>0</v>
      </c>
      <c r="E11" s="69">
        <f t="shared" si="3"/>
        <v>0</v>
      </c>
      <c r="F11" s="69">
        <f t="shared" si="3"/>
        <v>0</v>
      </c>
      <c r="G11" s="70"/>
      <c r="H11" s="71"/>
      <c r="I11" s="72"/>
      <c r="J11" s="73"/>
      <c r="K11" s="74"/>
      <c r="L11" s="75"/>
      <c r="M11" s="76"/>
      <c r="N11" s="74"/>
      <c r="O11" s="75"/>
      <c r="P11" s="76"/>
      <c r="Q11" s="77"/>
      <c r="R11" s="75"/>
      <c r="S11" s="76"/>
      <c r="T11" s="77"/>
      <c r="U11" s="75"/>
      <c r="V11" s="76"/>
    </row>
    <row r="12" spans="1:22">
      <c r="A12" s="58" t="s">
        <v>22</v>
      </c>
      <c r="B12" s="96">
        <f>SUM(B13:B20)</f>
        <v>170000</v>
      </c>
      <c r="C12" s="96">
        <f t="shared" ref="C12:D12" si="4">SUM(C13:C20)</f>
        <v>100994</v>
      </c>
      <c r="D12" s="96">
        <f t="shared" si="4"/>
        <v>-69006</v>
      </c>
      <c r="E12" s="54">
        <f>SUM(E13:E20)</f>
        <v>153</v>
      </c>
      <c r="F12" s="54">
        <f>SUM(F13:F20)</f>
        <v>177</v>
      </c>
      <c r="G12" s="37"/>
      <c r="H12" s="53">
        <f t="shared" ref="H12" si="5">SUM(H13:H20)</f>
        <v>22762</v>
      </c>
      <c r="I12" s="54">
        <f>SUM(I13:I20)</f>
        <v>42</v>
      </c>
      <c r="J12" s="54">
        <f>SUM(J13:J20)</f>
        <v>39.5</v>
      </c>
      <c r="K12" s="53">
        <f t="shared" ref="K12" si="6">SUM(K13:K20)</f>
        <v>24240</v>
      </c>
      <c r="L12" s="54">
        <f>SUM(L13:L20)</f>
        <v>33</v>
      </c>
      <c r="M12" s="54">
        <f>SUM(M13:M20)</f>
        <v>42.7</v>
      </c>
      <c r="N12" s="53">
        <f t="shared" ref="N12" si="7">SUM(N13:N20)</f>
        <v>25523</v>
      </c>
      <c r="O12" s="54">
        <f>SUM(O13:O20)</f>
        <v>40</v>
      </c>
      <c r="P12" s="54">
        <f>SUM(P13:P20)</f>
        <v>45.3</v>
      </c>
      <c r="Q12" s="53">
        <f t="shared" ref="Q12" si="8">SUM(Q13:Q20)</f>
        <v>28469</v>
      </c>
      <c r="R12" s="54">
        <f>SUM(R13:R20)</f>
        <v>38</v>
      </c>
      <c r="S12" s="54">
        <f>SUM(S13:S20)</f>
        <v>49.5</v>
      </c>
      <c r="T12" s="53">
        <f t="shared" ref="T12" si="9">SUM(T13:T20)</f>
        <v>0</v>
      </c>
      <c r="U12" s="54">
        <f>SUM(U13:U20)</f>
        <v>0</v>
      </c>
      <c r="V12" s="54">
        <f>SUM(V13:V20)</f>
        <v>0</v>
      </c>
    </row>
    <row r="13" spans="1:22" outlineLevel="2">
      <c r="A13" s="133" t="s">
        <v>23</v>
      </c>
      <c r="B13" s="97">
        <f>200000*0.85</f>
        <v>170000</v>
      </c>
      <c r="C13" s="92">
        <f t="shared" si="2"/>
        <v>100994</v>
      </c>
      <c r="D13" s="93">
        <f t="shared" ref="D13:D20" si="10">+C13-B13</f>
        <v>-69006</v>
      </c>
      <c r="E13" s="18">
        <f t="shared" ref="E13:F20" si="11">+I13+L13+O13+R13+U13</f>
        <v>153</v>
      </c>
      <c r="F13" s="18">
        <f t="shared" si="11"/>
        <v>177</v>
      </c>
      <c r="G13" s="37"/>
      <c r="H13" s="3">
        <v>22762</v>
      </c>
      <c r="I13" s="24">
        <v>42</v>
      </c>
      <c r="J13" s="25">
        <v>39.5</v>
      </c>
      <c r="K13" s="2">
        <v>24240</v>
      </c>
      <c r="L13" s="28">
        <v>33</v>
      </c>
      <c r="M13" s="29">
        <v>42.7</v>
      </c>
      <c r="N13" s="2">
        <v>25523</v>
      </c>
      <c r="O13" s="28">
        <v>40</v>
      </c>
      <c r="P13" s="29">
        <v>45.3</v>
      </c>
      <c r="Q13" s="4">
        <v>28469</v>
      </c>
      <c r="R13" s="28">
        <v>38</v>
      </c>
      <c r="S13" s="29">
        <v>49.5</v>
      </c>
      <c r="T13" s="4"/>
      <c r="U13" s="28"/>
      <c r="V13" s="29"/>
    </row>
    <row r="14" spans="1:22" s="78" customFormat="1" outlineLevel="2">
      <c r="A14" s="134" t="s">
        <v>24</v>
      </c>
      <c r="B14" s="94">
        <v>0</v>
      </c>
      <c r="C14" s="94">
        <f t="shared" si="2"/>
        <v>0</v>
      </c>
      <c r="D14" s="95">
        <f t="shared" si="10"/>
        <v>0</v>
      </c>
      <c r="E14" s="69">
        <f t="shared" si="11"/>
        <v>0</v>
      </c>
      <c r="F14" s="69">
        <f t="shared" si="11"/>
        <v>0</v>
      </c>
      <c r="G14" s="70"/>
      <c r="H14" s="71"/>
      <c r="I14" s="72"/>
      <c r="J14" s="73"/>
      <c r="K14" s="74"/>
      <c r="L14" s="75"/>
      <c r="M14" s="76"/>
      <c r="N14" s="74"/>
      <c r="O14" s="75"/>
      <c r="P14" s="76"/>
      <c r="Q14" s="77"/>
      <c r="R14" s="75"/>
      <c r="S14" s="76"/>
      <c r="T14" s="77"/>
      <c r="U14" s="75"/>
      <c r="V14" s="76"/>
    </row>
    <row r="15" spans="1:22" s="78" customFormat="1" outlineLevel="2">
      <c r="A15" s="134" t="s">
        <v>25</v>
      </c>
      <c r="B15" s="94">
        <v>0</v>
      </c>
      <c r="C15" s="94">
        <f t="shared" si="2"/>
        <v>0</v>
      </c>
      <c r="D15" s="95">
        <f t="shared" si="10"/>
        <v>0</v>
      </c>
      <c r="E15" s="69">
        <f t="shared" si="11"/>
        <v>0</v>
      </c>
      <c r="F15" s="69">
        <f t="shared" si="11"/>
        <v>0</v>
      </c>
      <c r="G15" s="70"/>
      <c r="H15" s="71"/>
      <c r="I15" s="72"/>
      <c r="J15" s="73"/>
      <c r="K15" s="74"/>
      <c r="L15" s="75"/>
      <c r="M15" s="76"/>
      <c r="N15" s="74"/>
      <c r="O15" s="75"/>
      <c r="P15" s="76"/>
      <c r="Q15" s="77"/>
      <c r="R15" s="75"/>
      <c r="S15" s="76"/>
      <c r="T15" s="77"/>
      <c r="U15" s="75"/>
      <c r="V15" s="76"/>
    </row>
    <row r="16" spans="1:22" s="78" customFormat="1" outlineLevel="2">
      <c r="A16" s="134" t="s">
        <v>26</v>
      </c>
      <c r="B16" s="94">
        <v>0</v>
      </c>
      <c r="C16" s="94">
        <f t="shared" si="2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71"/>
      <c r="I16" s="72"/>
      <c r="J16" s="73"/>
      <c r="K16" s="74"/>
      <c r="L16" s="75"/>
      <c r="M16" s="76"/>
      <c r="N16" s="74"/>
      <c r="O16" s="75"/>
      <c r="P16" s="76"/>
      <c r="Q16" s="77"/>
      <c r="R16" s="75"/>
      <c r="S16" s="76"/>
      <c r="T16" s="77"/>
      <c r="U16" s="75"/>
      <c r="V16" s="76"/>
    </row>
    <row r="17" spans="1:22" s="78" customFormat="1" outlineLevel="2">
      <c r="A17" s="134" t="s">
        <v>27</v>
      </c>
      <c r="B17" s="94">
        <v>0</v>
      </c>
      <c r="C17" s="94">
        <f t="shared" si="2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71"/>
      <c r="I17" s="72"/>
      <c r="J17" s="73"/>
      <c r="K17" s="74"/>
      <c r="L17" s="75"/>
      <c r="M17" s="76"/>
      <c r="N17" s="74"/>
      <c r="O17" s="75"/>
      <c r="P17" s="76"/>
      <c r="Q17" s="77"/>
      <c r="R17" s="75"/>
      <c r="S17" s="76"/>
      <c r="T17" s="77"/>
      <c r="U17" s="75"/>
      <c r="V17" s="76"/>
    </row>
    <row r="18" spans="1:22" s="78" customFormat="1" outlineLevel="2">
      <c r="A18" s="134" t="s">
        <v>28</v>
      </c>
      <c r="B18" s="94">
        <v>0</v>
      </c>
      <c r="C18" s="94">
        <f t="shared" si="2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71"/>
      <c r="I18" s="72"/>
      <c r="J18" s="73"/>
      <c r="K18" s="74"/>
      <c r="L18" s="75"/>
      <c r="M18" s="76"/>
      <c r="N18" s="74"/>
      <c r="O18" s="75"/>
      <c r="P18" s="76"/>
      <c r="Q18" s="77"/>
      <c r="R18" s="75"/>
      <c r="S18" s="76"/>
      <c r="T18" s="77"/>
      <c r="U18" s="75"/>
      <c r="V18" s="76"/>
    </row>
    <row r="19" spans="1:22" s="78" customFormat="1" outlineLevel="2">
      <c r="A19" s="134" t="s">
        <v>20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71"/>
      <c r="I19" s="72"/>
      <c r="J19" s="73"/>
      <c r="K19" s="74"/>
      <c r="L19" s="75"/>
      <c r="M19" s="76"/>
      <c r="N19" s="74"/>
      <c r="O19" s="75"/>
      <c r="P19" s="76"/>
      <c r="Q19" s="77"/>
      <c r="R19" s="75"/>
      <c r="S19" s="76"/>
      <c r="T19" s="77"/>
      <c r="U19" s="75"/>
      <c r="V19" s="76"/>
    </row>
    <row r="20" spans="1:22" s="78" customFormat="1" outlineLevel="2">
      <c r="A20" s="134" t="s">
        <v>21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71"/>
      <c r="I20" s="72"/>
      <c r="J20" s="73"/>
      <c r="K20" s="74"/>
      <c r="L20" s="75"/>
      <c r="M20" s="76"/>
      <c r="N20" s="74"/>
      <c r="O20" s="75"/>
      <c r="P20" s="76"/>
      <c r="Q20" s="77"/>
      <c r="R20" s="75"/>
      <c r="S20" s="76"/>
      <c r="T20" s="77"/>
      <c r="U20" s="75"/>
      <c r="V20" s="76"/>
    </row>
    <row r="21" spans="1:22">
      <c r="A21" s="57" t="s">
        <v>29</v>
      </c>
      <c r="B21" s="98">
        <f>SUM(B22:B29)</f>
        <v>170000</v>
      </c>
      <c r="C21" s="98">
        <f>SUM(C22:C29)</f>
        <v>105887</v>
      </c>
      <c r="D21" s="98">
        <f>SUM(D22:D29)</f>
        <v>-64113</v>
      </c>
      <c r="E21" s="56">
        <f>SUM(E22:E29)</f>
        <v>126</v>
      </c>
      <c r="F21" s="56">
        <f>SUM(F22:F29)</f>
        <v>185.4</v>
      </c>
      <c r="G21" s="37"/>
      <c r="H21" s="55">
        <f t="shared" ref="H21:V21" si="12">SUM(H22:H29)</f>
        <v>35359</v>
      </c>
      <c r="I21" s="56">
        <f t="shared" si="12"/>
        <v>39</v>
      </c>
      <c r="J21" s="56">
        <f t="shared" si="12"/>
        <v>62</v>
      </c>
      <c r="K21" s="55">
        <f t="shared" si="12"/>
        <v>24050</v>
      </c>
      <c r="L21" s="56">
        <f t="shared" si="12"/>
        <v>27</v>
      </c>
      <c r="M21" s="56">
        <f t="shared" si="12"/>
        <v>42.099999999999994</v>
      </c>
      <c r="N21" s="55">
        <f t="shared" si="12"/>
        <v>18629</v>
      </c>
      <c r="O21" s="56">
        <f t="shared" si="12"/>
        <v>25</v>
      </c>
      <c r="P21" s="56">
        <f t="shared" si="12"/>
        <v>32.400000000000006</v>
      </c>
      <c r="Q21" s="55">
        <f t="shared" si="12"/>
        <v>27849</v>
      </c>
      <c r="R21" s="56">
        <f t="shared" si="12"/>
        <v>35</v>
      </c>
      <c r="S21" s="56">
        <f t="shared" si="12"/>
        <v>48.900000000000006</v>
      </c>
      <c r="T21" s="55">
        <f t="shared" si="12"/>
        <v>0</v>
      </c>
      <c r="U21" s="56">
        <f t="shared" si="12"/>
        <v>0</v>
      </c>
      <c r="V21" s="56">
        <f t="shared" si="12"/>
        <v>0</v>
      </c>
    </row>
    <row r="22" spans="1:22" outlineLevel="2">
      <c r="A22" s="132" t="s">
        <v>30</v>
      </c>
      <c r="B22" s="97">
        <f>200000*0.85</f>
        <v>170000</v>
      </c>
      <c r="C22" s="92">
        <f t="shared" si="2"/>
        <v>105887</v>
      </c>
      <c r="D22" s="93">
        <f t="shared" ref="D22:D50" si="13">+C22-B22</f>
        <v>-64113</v>
      </c>
      <c r="E22" s="18">
        <f t="shared" ref="E22:F29" si="14">+I22+L22+O22+R22+U22</f>
        <v>126</v>
      </c>
      <c r="F22" s="18">
        <f t="shared" si="14"/>
        <v>185.4</v>
      </c>
      <c r="G22" s="37"/>
      <c r="H22" s="3">
        <v>35359</v>
      </c>
      <c r="I22" s="24">
        <v>39</v>
      </c>
      <c r="J22" s="25">
        <v>62</v>
      </c>
      <c r="K22" s="2">
        <v>24050</v>
      </c>
      <c r="L22" s="28">
        <v>27</v>
      </c>
      <c r="M22" s="29">
        <v>42.099999999999994</v>
      </c>
      <c r="N22" s="2">
        <v>18629</v>
      </c>
      <c r="O22" s="28">
        <v>25</v>
      </c>
      <c r="P22" s="29">
        <v>32.400000000000006</v>
      </c>
      <c r="Q22" s="4">
        <v>27849</v>
      </c>
      <c r="R22" s="28">
        <v>35</v>
      </c>
      <c r="S22" s="29">
        <v>48.900000000000006</v>
      </c>
      <c r="T22" s="4"/>
      <c r="U22" s="28"/>
      <c r="V22" s="29"/>
    </row>
    <row r="23" spans="1:22" s="78" customFormat="1" outlineLevel="2">
      <c r="A23" s="134" t="s">
        <v>31</v>
      </c>
      <c r="B23" s="94">
        <v>0</v>
      </c>
      <c r="C23" s="94">
        <f t="shared" si="2"/>
        <v>0</v>
      </c>
      <c r="D23" s="95">
        <f t="shared" si="13"/>
        <v>0</v>
      </c>
      <c r="E23" s="69">
        <f t="shared" si="14"/>
        <v>0</v>
      </c>
      <c r="F23" s="69">
        <f t="shared" si="14"/>
        <v>0</v>
      </c>
      <c r="G23" s="70"/>
      <c r="H23" s="71"/>
      <c r="I23" s="72"/>
      <c r="J23" s="73"/>
      <c r="K23" s="74"/>
      <c r="L23" s="75"/>
      <c r="M23" s="76"/>
      <c r="N23" s="74"/>
      <c r="O23" s="75"/>
      <c r="P23" s="76"/>
      <c r="Q23" s="77"/>
      <c r="R23" s="75"/>
      <c r="S23" s="76"/>
      <c r="T23" s="77"/>
      <c r="U23" s="75"/>
      <c r="V23" s="76"/>
    </row>
    <row r="24" spans="1:22" s="78" customFormat="1" outlineLevel="2">
      <c r="A24" s="134" t="s">
        <v>32</v>
      </c>
      <c r="B24" s="94">
        <v>0</v>
      </c>
      <c r="C24" s="94">
        <f t="shared" si="2"/>
        <v>0</v>
      </c>
      <c r="D24" s="95">
        <f t="shared" si="13"/>
        <v>0</v>
      </c>
      <c r="E24" s="69">
        <f t="shared" si="14"/>
        <v>0</v>
      </c>
      <c r="F24" s="69">
        <f t="shared" si="14"/>
        <v>0</v>
      </c>
      <c r="G24" s="70"/>
      <c r="H24" s="71"/>
      <c r="I24" s="72"/>
      <c r="J24" s="73"/>
      <c r="K24" s="74"/>
      <c r="L24" s="75"/>
      <c r="M24" s="76"/>
      <c r="N24" s="74"/>
      <c r="O24" s="75"/>
      <c r="P24" s="76"/>
      <c r="Q24" s="77"/>
      <c r="R24" s="75"/>
      <c r="S24" s="76"/>
      <c r="T24" s="77"/>
      <c r="U24" s="75"/>
      <c r="V24" s="76"/>
    </row>
    <row r="25" spans="1:22" s="78" customFormat="1" outlineLevel="2">
      <c r="A25" s="134" t="s">
        <v>33</v>
      </c>
      <c r="B25" s="94">
        <v>0</v>
      </c>
      <c r="C25" s="94">
        <f t="shared" si="2"/>
        <v>0</v>
      </c>
      <c r="D25" s="95">
        <f t="shared" si="13"/>
        <v>0</v>
      </c>
      <c r="E25" s="69">
        <f t="shared" si="14"/>
        <v>0</v>
      </c>
      <c r="F25" s="69">
        <f t="shared" si="14"/>
        <v>0</v>
      </c>
      <c r="G25" s="70"/>
      <c r="H25" s="71"/>
      <c r="I25" s="72"/>
      <c r="J25" s="73"/>
      <c r="K25" s="74"/>
      <c r="L25" s="75"/>
      <c r="M25" s="76"/>
      <c r="N25" s="74"/>
      <c r="O25" s="75"/>
      <c r="P25" s="76"/>
      <c r="Q25" s="77"/>
      <c r="R25" s="75"/>
      <c r="S25" s="76"/>
      <c r="T25" s="77"/>
      <c r="U25" s="75"/>
      <c r="V25" s="76"/>
    </row>
    <row r="26" spans="1:22" s="78" customFormat="1" outlineLevel="2">
      <c r="A26" s="134" t="s">
        <v>27</v>
      </c>
      <c r="B26" s="94">
        <v>0</v>
      </c>
      <c r="C26" s="94">
        <f t="shared" si="2"/>
        <v>0</v>
      </c>
      <c r="D26" s="95">
        <f t="shared" si="13"/>
        <v>0</v>
      </c>
      <c r="E26" s="69">
        <f t="shared" si="14"/>
        <v>0</v>
      </c>
      <c r="F26" s="69">
        <f t="shared" si="14"/>
        <v>0</v>
      </c>
      <c r="G26" s="70"/>
      <c r="H26" s="71"/>
      <c r="I26" s="72"/>
      <c r="J26" s="73"/>
      <c r="K26" s="74"/>
      <c r="L26" s="75"/>
      <c r="M26" s="76"/>
      <c r="N26" s="74"/>
      <c r="O26" s="75"/>
      <c r="P26" s="76"/>
      <c r="Q26" s="77"/>
      <c r="R26" s="75"/>
      <c r="S26" s="76"/>
      <c r="T26" s="77"/>
      <c r="U26" s="75"/>
      <c r="V26" s="76"/>
    </row>
    <row r="27" spans="1:22" s="78" customFormat="1" outlineLevel="2">
      <c r="A27" s="134" t="s">
        <v>28</v>
      </c>
      <c r="B27" s="94">
        <v>0</v>
      </c>
      <c r="C27" s="94">
        <f t="shared" si="2"/>
        <v>0</v>
      </c>
      <c r="D27" s="95">
        <f t="shared" si="13"/>
        <v>0</v>
      </c>
      <c r="E27" s="69">
        <f t="shared" si="14"/>
        <v>0</v>
      </c>
      <c r="F27" s="69">
        <f t="shared" si="14"/>
        <v>0</v>
      </c>
      <c r="G27" s="70"/>
      <c r="H27" s="71"/>
      <c r="I27" s="72"/>
      <c r="J27" s="73"/>
      <c r="K27" s="74"/>
      <c r="L27" s="75"/>
      <c r="M27" s="76"/>
      <c r="N27" s="74"/>
      <c r="O27" s="75"/>
      <c r="P27" s="76"/>
      <c r="Q27" s="77"/>
      <c r="R27" s="75"/>
      <c r="S27" s="76"/>
      <c r="T27" s="77"/>
      <c r="U27" s="75"/>
      <c r="V27" s="76"/>
    </row>
    <row r="28" spans="1:22" s="78" customFormat="1" outlineLevel="2">
      <c r="A28" s="134" t="s">
        <v>20</v>
      </c>
      <c r="B28" s="94">
        <v>0</v>
      </c>
      <c r="C28" s="94">
        <f t="shared" si="2"/>
        <v>0</v>
      </c>
      <c r="D28" s="95">
        <f t="shared" si="13"/>
        <v>0</v>
      </c>
      <c r="E28" s="69">
        <f t="shared" si="14"/>
        <v>0</v>
      </c>
      <c r="F28" s="69">
        <f t="shared" si="14"/>
        <v>0</v>
      </c>
      <c r="G28" s="70"/>
      <c r="H28" s="71"/>
      <c r="I28" s="72"/>
      <c r="J28" s="73"/>
      <c r="K28" s="74"/>
      <c r="L28" s="75"/>
      <c r="M28" s="76"/>
      <c r="N28" s="74"/>
      <c r="O28" s="75"/>
      <c r="P28" s="76"/>
      <c r="Q28" s="77"/>
      <c r="R28" s="75"/>
      <c r="S28" s="76"/>
      <c r="T28" s="77"/>
      <c r="U28" s="75"/>
      <c r="V28" s="76"/>
    </row>
    <row r="29" spans="1:22" s="78" customFormat="1" outlineLevel="2">
      <c r="A29" s="134" t="s">
        <v>21</v>
      </c>
      <c r="B29" s="94">
        <v>0</v>
      </c>
      <c r="C29" s="94">
        <f t="shared" si="2"/>
        <v>0</v>
      </c>
      <c r="D29" s="95">
        <f t="shared" si="13"/>
        <v>0</v>
      </c>
      <c r="E29" s="69">
        <f t="shared" si="14"/>
        <v>0</v>
      </c>
      <c r="F29" s="69">
        <f t="shared" si="14"/>
        <v>0</v>
      </c>
      <c r="G29" s="70"/>
      <c r="H29" s="71"/>
      <c r="I29" s="72"/>
      <c r="J29" s="73"/>
      <c r="K29" s="74"/>
      <c r="L29" s="75"/>
      <c r="M29" s="76"/>
      <c r="N29" s="74"/>
      <c r="O29" s="75"/>
      <c r="P29" s="76"/>
      <c r="Q29" s="77"/>
      <c r="R29" s="75"/>
      <c r="S29" s="76"/>
      <c r="T29" s="77"/>
      <c r="U29" s="75"/>
      <c r="V29" s="76"/>
    </row>
    <row r="30" spans="1:22">
      <c r="A30" s="50" t="s">
        <v>34</v>
      </c>
      <c r="B30" s="99">
        <f>SUM(B31:B38)</f>
        <v>0</v>
      </c>
      <c r="C30" s="99">
        <f t="shared" ref="C30:D30" si="15">SUM(C31:C38)</f>
        <v>0</v>
      </c>
      <c r="D30" s="99">
        <f t="shared" si="15"/>
        <v>0</v>
      </c>
      <c r="E30" s="52">
        <f>SUM(E31:E38)</f>
        <v>0</v>
      </c>
      <c r="F30" s="52">
        <f>SUM(F31:F38)</f>
        <v>0</v>
      </c>
      <c r="G30" s="37"/>
      <c r="H30" s="51">
        <f t="shared" ref="H30" si="16">SUM(H31:H38)</f>
        <v>0</v>
      </c>
      <c r="I30" s="52">
        <f>SUM(I31:I38)</f>
        <v>0</v>
      </c>
      <c r="J30" s="52">
        <f>SUM(J31:J38)</f>
        <v>0</v>
      </c>
      <c r="K30" s="51">
        <f t="shared" ref="K30" si="17">SUM(K31:K38)</f>
        <v>0</v>
      </c>
      <c r="L30" s="52">
        <f>SUM(L31:L38)</f>
        <v>0</v>
      </c>
      <c r="M30" s="52">
        <f>SUM(M31:M38)</f>
        <v>0</v>
      </c>
      <c r="N30" s="51">
        <f t="shared" ref="N30" si="18">SUM(N31:N38)</f>
        <v>0</v>
      </c>
      <c r="O30" s="52">
        <f>SUM(O31:O38)</f>
        <v>0</v>
      </c>
      <c r="P30" s="52">
        <f>SUM(P31:P38)</f>
        <v>0</v>
      </c>
      <c r="Q30" s="51">
        <f t="shared" ref="Q30" si="19">SUM(Q31:Q38)</f>
        <v>0</v>
      </c>
      <c r="R30" s="52">
        <f>SUM(R31:R38)</f>
        <v>0</v>
      </c>
      <c r="S30" s="52">
        <f>SUM(S31:S38)</f>
        <v>0</v>
      </c>
      <c r="T30" s="51">
        <f t="shared" ref="T30" si="20">SUM(T31:T38)</f>
        <v>0</v>
      </c>
      <c r="U30" s="52">
        <f>SUM(U31:U38)</f>
        <v>0</v>
      </c>
      <c r="V30" s="52">
        <f>SUM(V31:V38)</f>
        <v>0</v>
      </c>
    </row>
    <row r="31" spans="1:22" s="78" customFormat="1" outlineLevel="2">
      <c r="A31" s="134" t="s">
        <v>35</v>
      </c>
      <c r="B31" s="94">
        <v>0</v>
      </c>
      <c r="C31" s="94">
        <f t="shared" si="2"/>
        <v>0</v>
      </c>
      <c r="D31" s="95">
        <f t="shared" si="13"/>
        <v>0</v>
      </c>
      <c r="E31" s="69">
        <f t="shared" ref="E31:F38" si="21">+I31+L31+O31+R31+U31</f>
        <v>0</v>
      </c>
      <c r="F31" s="69">
        <f t="shared" si="21"/>
        <v>0</v>
      </c>
      <c r="G31" s="70"/>
      <c r="H31" s="71"/>
      <c r="I31" s="72"/>
      <c r="J31" s="73"/>
      <c r="K31" s="74"/>
      <c r="L31" s="75"/>
      <c r="M31" s="76"/>
      <c r="N31" s="74"/>
      <c r="O31" s="75"/>
      <c r="P31" s="76"/>
      <c r="Q31" s="77"/>
      <c r="R31" s="75"/>
      <c r="S31" s="76"/>
      <c r="T31" s="77"/>
      <c r="U31" s="75"/>
      <c r="V31" s="76"/>
    </row>
    <row r="32" spans="1:22" s="78" customFormat="1" outlineLevel="2">
      <c r="A32" s="134" t="s">
        <v>36</v>
      </c>
      <c r="B32" s="94">
        <v>0</v>
      </c>
      <c r="C32" s="94">
        <f t="shared" si="2"/>
        <v>0</v>
      </c>
      <c r="D32" s="95">
        <f t="shared" si="13"/>
        <v>0</v>
      </c>
      <c r="E32" s="69">
        <f t="shared" si="21"/>
        <v>0</v>
      </c>
      <c r="F32" s="69">
        <f t="shared" si="21"/>
        <v>0</v>
      </c>
      <c r="G32" s="70"/>
      <c r="H32" s="71"/>
      <c r="I32" s="72"/>
      <c r="J32" s="73"/>
      <c r="K32" s="74"/>
      <c r="L32" s="75"/>
      <c r="M32" s="76"/>
      <c r="N32" s="74"/>
      <c r="O32" s="75"/>
      <c r="P32" s="76"/>
      <c r="Q32" s="77"/>
      <c r="R32" s="75"/>
      <c r="S32" s="76"/>
      <c r="T32" s="77"/>
      <c r="U32" s="75"/>
      <c r="V32" s="76"/>
    </row>
    <row r="33" spans="1:22" s="78" customFormat="1" outlineLevel="2">
      <c r="A33" s="134" t="s">
        <v>25</v>
      </c>
      <c r="B33" s="94">
        <v>0</v>
      </c>
      <c r="C33" s="94">
        <f t="shared" si="2"/>
        <v>0</v>
      </c>
      <c r="D33" s="95">
        <f t="shared" si="13"/>
        <v>0</v>
      </c>
      <c r="E33" s="69">
        <f t="shared" si="21"/>
        <v>0</v>
      </c>
      <c r="F33" s="69">
        <f t="shared" si="21"/>
        <v>0</v>
      </c>
      <c r="G33" s="70"/>
      <c r="H33" s="71"/>
      <c r="I33" s="72"/>
      <c r="J33" s="73"/>
      <c r="K33" s="74"/>
      <c r="L33" s="75"/>
      <c r="M33" s="76"/>
      <c r="N33" s="74"/>
      <c r="O33" s="75"/>
      <c r="P33" s="76"/>
      <c r="Q33" s="77"/>
      <c r="R33" s="75"/>
      <c r="S33" s="76"/>
      <c r="T33" s="77"/>
      <c r="U33" s="75"/>
      <c r="V33" s="76"/>
    </row>
    <row r="34" spans="1:22" s="78" customFormat="1" outlineLevel="2">
      <c r="A34" s="134" t="s">
        <v>26</v>
      </c>
      <c r="B34" s="94">
        <v>0</v>
      </c>
      <c r="C34" s="94">
        <f t="shared" si="2"/>
        <v>0</v>
      </c>
      <c r="D34" s="95">
        <f t="shared" si="13"/>
        <v>0</v>
      </c>
      <c r="E34" s="69">
        <f t="shared" si="21"/>
        <v>0</v>
      </c>
      <c r="F34" s="69">
        <f t="shared" si="21"/>
        <v>0</v>
      </c>
      <c r="G34" s="70"/>
      <c r="H34" s="71"/>
      <c r="I34" s="72"/>
      <c r="J34" s="73"/>
      <c r="K34" s="74"/>
      <c r="L34" s="75"/>
      <c r="M34" s="76"/>
      <c r="N34" s="74"/>
      <c r="O34" s="75"/>
      <c r="P34" s="76"/>
      <c r="Q34" s="77"/>
      <c r="R34" s="75"/>
      <c r="S34" s="76"/>
      <c r="T34" s="77"/>
      <c r="U34" s="75"/>
      <c r="V34" s="76"/>
    </row>
    <row r="35" spans="1:22" s="78" customFormat="1" outlineLevel="2">
      <c r="A35" s="134" t="s">
        <v>37</v>
      </c>
      <c r="B35" s="94">
        <v>0</v>
      </c>
      <c r="C35" s="94">
        <f t="shared" si="2"/>
        <v>0</v>
      </c>
      <c r="D35" s="95">
        <f t="shared" si="13"/>
        <v>0</v>
      </c>
      <c r="E35" s="69">
        <f t="shared" si="21"/>
        <v>0</v>
      </c>
      <c r="F35" s="69">
        <f t="shared" si="21"/>
        <v>0</v>
      </c>
      <c r="G35" s="70"/>
      <c r="H35" s="214"/>
      <c r="I35" s="72"/>
      <c r="J35" s="73"/>
      <c r="K35" s="74"/>
      <c r="L35" s="75"/>
      <c r="M35" s="76"/>
      <c r="N35" s="74"/>
      <c r="O35" s="75"/>
      <c r="P35" s="76"/>
      <c r="Q35" s="77"/>
      <c r="R35" s="75"/>
      <c r="S35" s="76"/>
      <c r="T35" s="77"/>
      <c r="U35" s="75"/>
      <c r="V35" s="76"/>
    </row>
    <row r="36" spans="1:22" s="78" customFormat="1" outlineLevel="2">
      <c r="A36" s="134" t="s">
        <v>28</v>
      </c>
      <c r="B36" s="94">
        <v>0</v>
      </c>
      <c r="C36" s="94">
        <f t="shared" si="2"/>
        <v>0</v>
      </c>
      <c r="D36" s="95">
        <f t="shared" si="13"/>
        <v>0</v>
      </c>
      <c r="E36" s="69">
        <f t="shared" si="21"/>
        <v>0</v>
      </c>
      <c r="F36" s="69">
        <f t="shared" si="21"/>
        <v>0</v>
      </c>
      <c r="G36" s="70"/>
      <c r="H36" s="71"/>
      <c r="I36" s="72"/>
      <c r="J36" s="73"/>
      <c r="K36" s="74"/>
      <c r="L36" s="75"/>
      <c r="M36" s="76"/>
      <c r="N36" s="74"/>
      <c r="O36" s="75"/>
      <c r="P36" s="76"/>
      <c r="Q36" s="77"/>
      <c r="R36" s="75"/>
      <c r="S36" s="76"/>
      <c r="T36" s="77"/>
      <c r="U36" s="75"/>
      <c r="V36" s="76"/>
    </row>
    <row r="37" spans="1:22" s="78" customFormat="1" outlineLevel="2">
      <c r="A37" s="134" t="s">
        <v>20</v>
      </c>
      <c r="B37" s="94">
        <v>0</v>
      </c>
      <c r="C37" s="94">
        <f t="shared" si="2"/>
        <v>0</v>
      </c>
      <c r="D37" s="95">
        <f t="shared" si="13"/>
        <v>0</v>
      </c>
      <c r="E37" s="69">
        <f t="shared" si="21"/>
        <v>0</v>
      </c>
      <c r="F37" s="69">
        <f t="shared" si="21"/>
        <v>0</v>
      </c>
      <c r="G37" s="70"/>
      <c r="H37" s="71"/>
      <c r="I37" s="72"/>
      <c r="J37" s="73"/>
      <c r="K37" s="74"/>
      <c r="L37" s="75"/>
      <c r="M37" s="76"/>
      <c r="N37" s="74"/>
      <c r="O37" s="75"/>
      <c r="P37" s="76"/>
      <c r="Q37" s="77"/>
      <c r="R37" s="75"/>
      <c r="S37" s="76"/>
      <c r="T37" s="77"/>
      <c r="U37" s="75"/>
      <c r="V37" s="76"/>
    </row>
    <row r="38" spans="1:22" s="78" customFormat="1" outlineLevel="2">
      <c r="A38" s="134" t="s">
        <v>21</v>
      </c>
      <c r="B38" s="94">
        <v>0</v>
      </c>
      <c r="C38" s="94">
        <f t="shared" si="2"/>
        <v>0</v>
      </c>
      <c r="D38" s="95">
        <f t="shared" si="13"/>
        <v>0</v>
      </c>
      <c r="E38" s="69">
        <f t="shared" si="21"/>
        <v>0</v>
      </c>
      <c r="F38" s="69">
        <f t="shared" si="21"/>
        <v>0</v>
      </c>
      <c r="G38" s="70"/>
      <c r="H38" s="71"/>
      <c r="I38" s="72"/>
      <c r="J38" s="73"/>
      <c r="K38" s="74"/>
      <c r="L38" s="75"/>
      <c r="M38" s="76"/>
      <c r="N38" s="74"/>
      <c r="O38" s="75"/>
      <c r="P38" s="76"/>
      <c r="Q38" s="77"/>
      <c r="R38" s="75"/>
      <c r="S38" s="76"/>
      <c r="T38" s="77"/>
      <c r="U38" s="75"/>
      <c r="V38" s="76"/>
    </row>
    <row r="39" spans="1:22">
      <c r="A39" s="67" t="s">
        <v>38</v>
      </c>
      <c r="B39" s="100">
        <f>SUM(B40:B41)</f>
        <v>170000</v>
      </c>
      <c r="C39" s="100">
        <f>SUM(C40:C41)</f>
        <v>18487</v>
      </c>
      <c r="D39" s="100">
        <f>SUM(D40:D41)</f>
        <v>-151513</v>
      </c>
      <c r="E39" s="60">
        <f>SUM(E40:E41)</f>
        <v>33</v>
      </c>
      <c r="F39" s="60">
        <f>SUM(F40:F41)</f>
        <v>32.25</v>
      </c>
      <c r="G39" s="37"/>
      <c r="H39" s="59">
        <f t="shared" ref="H39:V39" si="22">SUM(H40:H41)</f>
        <v>16682</v>
      </c>
      <c r="I39" s="60">
        <f t="shared" si="22"/>
        <v>33</v>
      </c>
      <c r="J39" s="60">
        <f t="shared" si="22"/>
        <v>29.15</v>
      </c>
      <c r="K39" s="59">
        <f t="shared" si="22"/>
        <v>10932</v>
      </c>
      <c r="L39" s="60">
        <f t="shared" si="22"/>
        <v>20</v>
      </c>
      <c r="M39" s="60">
        <f t="shared" si="22"/>
        <v>19.100000000000001</v>
      </c>
      <c r="N39" s="59">
        <f t="shared" si="22"/>
        <v>15826</v>
      </c>
      <c r="O39" s="60">
        <f t="shared" si="22"/>
        <v>30</v>
      </c>
      <c r="P39" s="60">
        <f t="shared" si="22"/>
        <v>27.849999999999994</v>
      </c>
      <c r="Q39" s="59">
        <f t="shared" si="22"/>
        <v>-24953</v>
      </c>
      <c r="R39" s="60">
        <f t="shared" si="22"/>
        <v>-50</v>
      </c>
      <c r="S39" s="60">
        <f t="shared" si="22"/>
        <v>-43.849999999999994</v>
      </c>
      <c r="T39" s="59">
        <f t="shared" si="22"/>
        <v>0</v>
      </c>
      <c r="U39" s="60">
        <f t="shared" si="22"/>
        <v>0</v>
      </c>
      <c r="V39" s="60">
        <f t="shared" si="22"/>
        <v>0</v>
      </c>
    </row>
    <row r="40" spans="1:22" outlineLevel="2">
      <c r="A40" s="133" t="s">
        <v>39</v>
      </c>
      <c r="B40" s="97">
        <f>200000*0.85</f>
        <v>170000</v>
      </c>
      <c r="C40" s="92">
        <f t="shared" si="2"/>
        <v>18487</v>
      </c>
      <c r="D40" s="93">
        <f t="shared" si="13"/>
        <v>-151513</v>
      </c>
      <c r="E40" s="18">
        <f t="shared" ref="E40:F41" si="23">+I40+L40+O40+R40+U40</f>
        <v>33</v>
      </c>
      <c r="F40" s="18">
        <f t="shared" si="23"/>
        <v>32.25</v>
      </c>
      <c r="G40" s="37"/>
      <c r="H40" s="3">
        <v>16682</v>
      </c>
      <c r="I40" s="24">
        <v>33</v>
      </c>
      <c r="J40" s="25">
        <v>29.15</v>
      </c>
      <c r="K40" s="2">
        <v>10932</v>
      </c>
      <c r="L40" s="28">
        <v>20</v>
      </c>
      <c r="M40" s="29">
        <v>19.100000000000001</v>
      </c>
      <c r="N40" s="2">
        <v>15826</v>
      </c>
      <c r="O40" s="28">
        <v>30</v>
      </c>
      <c r="P40" s="29">
        <v>27.849999999999994</v>
      </c>
      <c r="Q40" s="4">
        <v>-24953</v>
      </c>
      <c r="R40" s="28">
        <v>-50</v>
      </c>
      <c r="S40" s="29">
        <v>-43.849999999999994</v>
      </c>
      <c r="T40" s="4"/>
      <c r="U40" s="28"/>
      <c r="V40" s="29"/>
    </row>
    <row r="41" spans="1:22" s="78" customFormat="1" outlineLevel="2">
      <c r="A41" s="134" t="s">
        <v>36</v>
      </c>
      <c r="B41" s="94">
        <v>0</v>
      </c>
      <c r="C41" s="94">
        <f t="shared" si="2"/>
        <v>0</v>
      </c>
      <c r="D41" s="95">
        <f t="shared" si="13"/>
        <v>0</v>
      </c>
      <c r="E41" s="69">
        <f t="shared" si="23"/>
        <v>0</v>
      </c>
      <c r="F41" s="69">
        <f t="shared" si="23"/>
        <v>0</v>
      </c>
      <c r="G41" s="70"/>
      <c r="H41" s="71"/>
      <c r="I41" s="72"/>
      <c r="J41" s="73"/>
      <c r="K41" s="74"/>
      <c r="L41" s="75"/>
      <c r="M41" s="76"/>
      <c r="N41" s="74"/>
      <c r="O41" s="75"/>
      <c r="P41" s="76"/>
      <c r="Q41" s="77"/>
      <c r="R41" s="75"/>
      <c r="S41" s="76"/>
      <c r="T41" s="77"/>
      <c r="U41" s="75"/>
      <c r="V41" s="76"/>
    </row>
    <row r="42" spans="1:22">
      <c r="A42" s="47" t="s">
        <v>40</v>
      </c>
      <c r="B42" s="101">
        <f>SUM(B43:B44)</f>
        <v>85000</v>
      </c>
      <c r="C42" s="101">
        <f>SUM(C43:C44)</f>
        <v>57508</v>
      </c>
      <c r="D42" s="101">
        <f>SUM(D43:D44)</f>
        <v>-27492</v>
      </c>
      <c r="E42" s="49">
        <f>SUM(E43:E44)</f>
        <v>75</v>
      </c>
      <c r="F42" s="49">
        <f>SUM(F43:F44)</f>
        <v>100.5</v>
      </c>
      <c r="G42" s="37"/>
      <c r="H42" s="48">
        <f t="shared" ref="H42:V42" si="24">SUM(H43:H44)</f>
        <v>14734</v>
      </c>
      <c r="I42" s="49">
        <f t="shared" si="24"/>
        <v>17</v>
      </c>
      <c r="J42" s="49">
        <f t="shared" si="24"/>
        <v>25.2</v>
      </c>
      <c r="K42" s="48">
        <f t="shared" si="24"/>
        <v>8458</v>
      </c>
      <c r="L42" s="49">
        <f t="shared" si="24"/>
        <v>16</v>
      </c>
      <c r="M42" s="49">
        <f t="shared" si="24"/>
        <v>15.2</v>
      </c>
      <c r="N42" s="48">
        <f t="shared" si="24"/>
        <v>19963</v>
      </c>
      <c r="O42" s="49">
        <f t="shared" si="24"/>
        <v>23</v>
      </c>
      <c r="P42" s="49">
        <f t="shared" si="24"/>
        <v>35.000000000000007</v>
      </c>
      <c r="Q42" s="48">
        <f t="shared" si="24"/>
        <v>14353</v>
      </c>
      <c r="R42" s="49">
        <f t="shared" si="24"/>
        <v>19</v>
      </c>
      <c r="S42" s="49">
        <f t="shared" si="24"/>
        <v>25.099999999999994</v>
      </c>
      <c r="T42" s="48">
        <f t="shared" si="24"/>
        <v>0</v>
      </c>
      <c r="U42" s="49">
        <f t="shared" si="24"/>
        <v>0</v>
      </c>
      <c r="V42" s="49">
        <f t="shared" si="24"/>
        <v>0</v>
      </c>
    </row>
    <row r="43" spans="1:22" outlineLevel="2">
      <c r="A43" s="1" t="s">
        <v>41</v>
      </c>
      <c r="B43" s="97">
        <f>200000/2*0.85</f>
        <v>85000</v>
      </c>
      <c r="C43" s="92">
        <f t="shared" si="2"/>
        <v>57508</v>
      </c>
      <c r="D43" s="93">
        <f t="shared" ref="D43:D44" si="25">+C43-B43</f>
        <v>-27492</v>
      </c>
      <c r="E43" s="18">
        <f t="shared" ref="E43:F44" si="26">+I43+L43+O43+R43+U43</f>
        <v>75</v>
      </c>
      <c r="F43" s="18">
        <f t="shared" si="26"/>
        <v>100.5</v>
      </c>
      <c r="G43" s="37"/>
      <c r="H43" s="3">
        <v>14734</v>
      </c>
      <c r="I43" s="24">
        <v>17</v>
      </c>
      <c r="J43" s="25">
        <v>25.2</v>
      </c>
      <c r="K43" s="2">
        <v>8458</v>
      </c>
      <c r="L43" s="28">
        <v>16</v>
      </c>
      <c r="M43" s="29">
        <v>15.2</v>
      </c>
      <c r="N43" s="2">
        <v>19963</v>
      </c>
      <c r="O43" s="28">
        <v>23</v>
      </c>
      <c r="P43" s="29">
        <v>35.000000000000007</v>
      </c>
      <c r="Q43" s="4">
        <v>14353</v>
      </c>
      <c r="R43" s="28">
        <v>19</v>
      </c>
      <c r="S43" s="29">
        <v>25.099999999999994</v>
      </c>
      <c r="T43" s="4"/>
      <c r="U43" s="28"/>
      <c r="V43" s="29"/>
    </row>
    <row r="44" spans="1:22" s="78" customFormat="1" outlineLevel="2">
      <c r="A44" s="68" t="s">
        <v>36</v>
      </c>
      <c r="B44" s="94">
        <v>0</v>
      </c>
      <c r="C44" s="94">
        <f t="shared" si="2"/>
        <v>0</v>
      </c>
      <c r="D44" s="95">
        <f t="shared" si="25"/>
        <v>0</v>
      </c>
      <c r="E44" s="69">
        <f t="shared" si="26"/>
        <v>0</v>
      </c>
      <c r="F44" s="69">
        <f t="shared" si="26"/>
        <v>0</v>
      </c>
      <c r="G44" s="70"/>
      <c r="H44" s="71"/>
      <c r="I44" s="72"/>
      <c r="J44" s="73"/>
      <c r="K44" s="74"/>
      <c r="L44" s="75"/>
      <c r="M44" s="76"/>
      <c r="N44" s="74"/>
      <c r="O44" s="75"/>
      <c r="P44" s="76"/>
      <c r="Q44" s="77"/>
      <c r="R44" s="75"/>
      <c r="S44" s="76"/>
      <c r="T44" s="77"/>
      <c r="U44" s="75"/>
      <c r="V44" s="76"/>
    </row>
    <row r="45" spans="1:22">
      <c r="A45" s="198" t="s">
        <v>42</v>
      </c>
      <c r="B45" s="199">
        <f>SUM(B46:B47)</f>
        <v>0</v>
      </c>
      <c r="C45" s="199">
        <f>SUM(C46:C47)</f>
        <v>0</v>
      </c>
      <c r="D45" s="199">
        <f>SUM(D46:D47)</f>
        <v>0</v>
      </c>
      <c r="E45" s="200">
        <f>SUM(E46:E47)</f>
        <v>0</v>
      </c>
      <c r="F45" s="200">
        <f>SUM(F46:F47)</f>
        <v>0</v>
      </c>
      <c r="G45" s="37"/>
      <c r="H45" s="48">
        <f t="shared" ref="H45:V45" si="27">SUM(H46:H47)</f>
        <v>0</v>
      </c>
      <c r="I45" s="49">
        <f t="shared" si="27"/>
        <v>0</v>
      </c>
      <c r="J45" s="49">
        <f t="shared" si="27"/>
        <v>0</v>
      </c>
      <c r="K45" s="48">
        <f t="shared" si="27"/>
        <v>0</v>
      </c>
      <c r="L45" s="49">
        <f t="shared" si="27"/>
        <v>0</v>
      </c>
      <c r="M45" s="49">
        <f t="shared" si="27"/>
        <v>0</v>
      </c>
      <c r="N45" s="48">
        <f t="shared" si="27"/>
        <v>0</v>
      </c>
      <c r="O45" s="49">
        <f t="shared" si="27"/>
        <v>0</v>
      </c>
      <c r="P45" s="49">
        <f t="shared" si="27"/>
        <v>0</v>
      </c>
      <c r="Q45" s="48">
        <f t="shared" si="27"/>
        <v>0</v>
      </c>
      <c r="R45" s="49">
        <f t="shared" si="27"/>
        <v>0</v>
      </c>
      <c r="S45" s="49">
        <f t="shared" si="27"/>
        <v>0</v>
      </c>
      <c r="T45" s="48">
        <f t="shared" si="27"/>
        <v>0</v>
      </c>
      <c r="U45" s="49">
        <f t="shared" si="27"/>
        <v>0</v>
      </c>
      <c r="V45" s="49">
        <f t="shared" si="27"/>
        <v>0</v>
      </c>
    </row>
    <row r="46" spans="1:22" s="78" customFormat="1" outlineLevel="2">
      <c r="A46" s="68" t="s">
        <v>43</v>
      </c>
      <c r="B46" s="94">
        <v>0</v>
      </c>
      <c r="C46" s="94">
        <f t="shared" si="2"/>
        <v>0</v>
      </c>
      <c r="D46" s="95">
        <f t="shared" ref="D46:D47" si="28">+C46-B46</f>
        <v>0</v>
      </c>
      <c r="E46" s="69">
        <f t="shared" ref="E46:F47" si="29">+I46+L46+O46+R46+U46</f>
        <v>0</v>
      </c>
      <c r="F46" s="69">
        <f t="shared" si="29"/>
        <v>0</v>
      </c>
      <c r="G46" s="70"/>
      <c r="H46" s="71"/>
      <c r="I46" s="72"/>
      <c r="J46" s="73"/>
      <c r="K46" s="74"/>
      <c r="L46" s="75"/>
      <c r="M46" s="76"/>
      <c r="N46" s="74"/>
      <c r="O46" s="75"/>
      <c r="P46" s="76"/>
      <c r="Q46" s="77"/>
      <c r="R46" s="75"/>
      <c r="S46" s="76"/>
      <c r="T46" s="77"/>
      <c r="U46" s="75"/>
      <c r="V46" s="76"/>
    </row>
    <row r="47" spans="1:22" s="78" customFormat="1" outlineLevel="2">
      <c r="A47" s="68" t="s">
        <v>36</v>
      </c>
      <c r="B47" s="94">
        <v>0</v>
      </c>
      <c r="C47" s="94">
        <f t="shared" si="2"/>
        <v>0</v>
      </c>
      <c r="D47" s="95">
        <f t="shared" si="28"/>
        <v>0</v>
      </c>
      <c r="E47" s="69">
        <f t="shared" si="29"/>
        <v>0</v>
      </c>
      <c r="F47" s="69">
        <f t="shared" si="29"/>
        <v>0</v>
      </c>
      <c r="G47" s="70"/>
      <c r="H47" s="71"/>
      <c r="I47" s="72"/>
      <c r="J47" s="73"/>
      <c r="K47" s="74"/>
      <c r="L47" s="75"/>
      <c r="M47" s="76"/>
      <c r="N47" s="74"/>
      <c r="O47" s="75"/>
      <c r="P47" s="76"/>
      <c r="Q47" s="77"/>
      <c r="R47" s="75"/>
      <c r="S47" s="76"/>
      <c r="T47" s="77"/>
      <c r="U47" s="75"/>
      <c r="V47" s="76"/>
    </row>
    <row r="48" spans="1:22">
      <c r="A48" s="198" t="s">
        <v>44</v>
      </c>
      <c r="B48" s="199">
        <f>SUM(B49:B50)</f>
        <v>0</v>
      </c>
      <c r="C48" s="199">
        <f>SUM(C49:C50)</f>
        <v>0</v>
      </c>
      <c r="D48" s="199">
        <f>SUM(D49:D50)</f>
        <v>0</v>
      </c>
      <c r="E48" s="200">
        <f>SUM(E49:E50)</f>
        <v>0</v>
      </c>
      <c r="F48" s="200">
        <f>SUM(F49:F50)</f>
        <v>0</v>
      </c>
      <c r="G48" s="37"/>
      <c r="H48" s="48">
        <f t="shared" ref="H48:V48" si="30">SUM(H49:H50)</f>
        <v>0</v>
      </c>
      <c r="I48" s="49">
        <f t="shared" si="30"/>
        <v>0</v>
      </c>
      <c r="J48" s="49">
        <f t="shared" si="30"/>
        <v>0</v>
      </c>
      <c r="K48" s="48">
        <f t="shared" si="30"/>
        <v>0</v>
      </c>
      <c r="L48" s="49">
        <f t="shared" si="30"/>
        <v>0</v>
      </c>
      <c r="M48" s="49">
        <f t="shared" si="30"/>
        <v>0</v>
      </c>
      <c r="N48" s="48">
        <f t="shared" si="30"/>
        <v>0</v>
      </c>
      <c r="O48" s="49">
        <f t="shared" si="30"/>
        <v>0</v>
      </c>
      <c r="P48" s="49">
        <f t="shared" si="30"/>
        <v>0</v>
      </c>
      <c r="Q48" s="48">
        <f t="shared" si="30"/>
        <v>0</v>
      </c>
      <c r="R48" s="49">
        <f t="shared" si="30"/>
        <v>0</v>
      </c>
      <c r="S48" s="49">
        <f t="shared" si="30"/>
        <v>0</v>
      </c>
      <c r="T48" s="48">
        <f t="shared" si="30"/>
        <v>0</v>
      </c>
      <c r="U48" s="49">
        <f t="shared" si="30"/>
        <v>0</v>
      </c>
      <c r="V48" s="49">
        <f t="shared" si="30"/>
        <v>0</v>
      </c>
    </row>
    <row r="49" spans="1:22" s="78" customFormat="1" outlineLevel="2">
      <c r="A49" s="68" t="s">
        <v>43</v>
      </c>
      <c r="B49" s="94">
        <v>0</v>
      </c>
      <c r="C49" s="94">
        <f t="shared" si="2"/>
        <v>0</v>
      </c>
      <c r="D49" s="95">
        <f t="shared" si="13"/>
        <v>0</v>
      </c>
      <c r="E49" s="69">
        <f t="shared" ref="E49:F50" si="31">+I49+L49+O49+R49+U49</f>
        <v>0</v>
      </c>
      <c r="F49" s="69">
        <f t="shared" si="31"/>
        <v>0</v>
      </c>
      <c r="G49" s="70"/>
      <c r="H49" s="71"/>
      <c r="I49" s="72"/>
      <c r="J49" s="73"/>
      <c r="K49" s="74"/>
      <c r="L49" s="75"/>
      <c r="M49" s="76"/>
      <c r="N49" s="74"/>
      <c r="O49" s="75"/>
      <c r="P49" s="76"/>
      <c r="Q49" s="77"/>
      <c r="R49" s="75"/>
      <c r="S49" s="76"/>
      <c r="T49" s="77"/>
      <c r="U49" s="75"/>
      <c r="V49" s="76"/>
    </row>
    <row r="50" spans="1:22" s="78" customFormat="1" outlineLevel="2">
      <c r="A50" s="68" t="s">
        <v>36</v>
      </c>
      <c r="B50" s="94">
        <v>0</v>
      </c>
      <c r="C50" s="94">
        <f t="shared" si="2"/>
        <v>0</v>
      </c>
      <c r="D50" s="95">
        <f t="shared" si="13"/>
        <v>0</v>
      </c>
      <c r="E50" s="69">
        <f t="shared" si="31"/>
        <v>0</v>
      </c>
      <c r="F50" s="69">
        <f t="shared" si="31"/>
        <v>0</v>
      </c>
      <c r="G50" s="70"/>
      <c r="H50" s="71"/>
      <c r="I50" s="72"/>
      <c r="J50" s="73"/>
      <c r="K50" s="74"/>
      <c r="L50" s="75"/>
      <c r="M50" s="76"/>
      <c r="N50" s="74"/>
      <c r="O50" s="75"/>
      <c r="P50" s="76"/>
      <c r="Q50" s="77"/>
      <c r="R50" s="75"/>
      <c r="S50" s="76"/>
      <c r="T50" s="77"/>
      <c r="U50" s="75"/>
      <c r="V50" s="76"/>
    </row>
    <row r="51" spans="1:22" ht="18">
      <c r="A51" s="138" t="s">
        <v>45</v>
      </c>
      <c r="B51" s="102">
        <f>+B48+B39+B30+B21+B12+B3+B45+B42</f>
        <v>1510000</v>
      </c>
      <c r="C51" s="102">
        <f>+C48+C39+C30+C21+C12+C3+C45+C42</f>
        <v>1036758</v>
      </c>
      <c r="D51" s="102">
        <f>+D48+D39+D30+D21+D12+D3+D45+D42</f>
        <v>-473242</v>
      </c>
      <c r="E51" s="90">
        <f>+E48+E39+E30+E21+E12+E3+E45+E42</f>
        <v>1088</v>
      </c>
      <c r="F51" s="90">
        <f>+F48+F39+F30+F21+F12+F3+F45+F42</f>
        <v>1492.2</v>
      </c>
      <c r="G51" s="38"/>
      <c r="H51" s="196">
        <f t="shared" ref="H51:V51" si="32">+H48+H39+H30+H21+H12+H3+H45+H42</f>
        <v>255900</v>
      </c>
      <c r="I51" s="197">
        <f t="shared" si="32"/>
        <v>270</v>
      </c>
      <c r="J51" s="197">
        <f t="shared" si="32"/>
        <v>380.74999999999994</v>
      </c>
      <c r="K51" s="196">
        <f t="shared" si="32"/>
        <v>247681</v>
      </c>
      <c r="L51" s="197">
        <f t="shared" si="32"/>
        <v>239</v>
      </c>
      <c r="M51" s="197">
        <f t="shared" si="32"/>
        <v>360.90000000000003</v>
      </c>
      <c r="N51" s="196">
        <f t="shared" si="32"/>
        <v>239081</v>
      </c>
      <c r="O51" s="197">
        <f t="shared" si="32"/>
        <v>241</v>
      </c>
      <c r="P51" s="197">
        <f t="shared" si="32"/>
        <v>345.9</v>
      </c>
      <c r="Q51" s="196">
        <f t="shared" si="32"/>
        <v>294096</v>
      </c>
      <c r="R51" s="197">
        <f t="shared" si="32"/>
        <v>338</v>
      </c>
      <c r="S51" s="197">
        <f t="shared" si="32"/>
        <v>404.65</v>
      </c>
      <c r="T51" s="196">
        <f t="shared" si="32"/>
        <v>0</v>
      </c>
      <c r="U51" s="197">
        <f t="shared" si="32"/>
        <v>0</v>
      </c>
      <c r="V51" s="197">
        <f t="shared" si="32"/>
        <v>0</v>
      </c>
    </row>
    <row r="53" spans="1:22" ht="18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  <c r="J53" s="176"/>
    </row>
    <row r="54" spans="1:22">
      <c r="A54" s="87" t="s">
        <v>47</v>
      </c>
      <c r="B54" s="105">
        <f>+B55+B64+B73+B82+B91+B100+B94+B97</f>
        <v>663300</v>
      </c>
      <c r="C54" s="105">
        <f>+C55+C64+C73+C82+C91+C100+C94+C97</f>
        <v>667320</v>
      </c>
      <c r="D54" s="106">
        <f>+C54-B54</f>
        <v>4020</v>
      </c>
    </row>
    <row r="55" spans="1:22" outlineLevel="1">
      <c r="A55" s="44" t="s">
        <v>48</v>
      </c>
      <c r="B55" s="107">
        <f>SUM(B56:B63)*1.34</f>
        <v>372520</v>
      </c>
      <c r="C55" s="107">
        <f>SUM(C56:C63)*1.34</f>
        <v>372520</v>
      </c>
      <c r="D55" s="108">
        <f>+C55-B55</f>
        <v>0</v>
      </c>
    </row>
    <row r="56" spans="1:22" outlineLevel="2">
      <c r="A56" s="132" t="s">
        <v>14</v>
      </c>
      <c r="B56" s="93">
        <v>60000</v>
      </c>
      <c r="C56" s="93">
        <f t="shared" ref="C56:C58" si="33">+B56</f>
        <v>60000</v>
      </c>
      <c r="D56" s="109">
        <f t="shared" ref="D56:D129" si="34">+C56-B56</f>
        <v>0</v>
      </c>
      <c r="F56" s="16"/>
      <c r="G56" s="40"/>
    </row>
    <row r="57" spans="1:22" outlineLevel="2">
      <c r="A57" s="133" t="s">
        <v>15</v>
      </c>
      <c r="B57" s="93">
        <v>47000</v>
      </c>
      <c r="C57" s="93">
        <f t="shared" si="33"/>
        <v>47000</v>
      </c>
      <c r="D57" s="109">
        <f t="shared" si="34"/>
        <v>0</v>
      </c>
      <c r="F57" s="16"/>
      <c r="G57" s="40"/>
    </row>
    <row r="58" spans="1:22" outlineLevel="2">
      <c r="A58" s="133" t="s">
        <v>16</v>
      </c>
      <c r="B58" s="93">
        <v>55000</v>
      </c>
      <c r="C58" s="93">
        <f t="shared" si="33"/>
        <v>55000</v>
      </c>
      <c r="D58" s="109">
        <f t="shared" si="34"/>
        <v>0</v>
      </c>
      <c r="F58" s="16"/>
      <c r="G58" s="40"/>
    </row>
    <row r="59" spans="1:22" s="78" customFormat="1" outlineLevel="2">
      <c r="A59" s="134" t="s">
        <v>17</v>
      </c>
      <c r="B59" s="95">
        <v>0</v>
      </c>
      <c r="C59" s="95">
        <v>0</v>
      </c>
      <c r="D59" s="110">
        <f t="shared" si="34"/>
        <v>0</v>
      </c>
      <c r="E59" s="79"/>
      <c r="F59" s="79"/>
      <c r="G59" s="80"/>
      <c r="H59" s="81"/>
      <c r="I59" s="82"/>
      <c r="J59" s="82"/>
      <c r="K59" s="81"/>
      <c r="L59" s="84"/>
      <c r="M59" s="85"/>
      <c r="N59" s="81"/>
      <c r="O59" s="84"/>
      <c r="P59" s="86"/>
      <c r="Q59" s="81"/>
      <c r="R59" s="84"/>
      <c r="S59" s="86"/>
      <c r="T59" s="81"/>
      <c r="U59" s="84"/>
      <c r="V59" s="86"/>
    </row>
    <row r="60" spans="1:22" outlineLevel="2">
      <c r="A60" s="132" t="s">
        <v>18</v>
      </c>
      <c r="B60" s="93">
        <v>16000</v>
      </c>
      <c r="C60" s="93">
        <f>+B60</f>
        <v>16000</v>
      </c>
      <c r="D60" s="109">
        <f t="shared" si="34"/>
        <v>0</v>
      </c>
      <c r="F60" s="16"/>
      <c r="G60" s="40"/>
      <c r="J60" s="82"/>
    </row>
    <row r="61" spans="1:22" outlineLevel="2">
      <c r="A61" s="132" t="s">
        <v>49</v>
      </c>
      <c r="B61" s="93">
        <v>85000</v>
      </c>
      <c r="C61" s="93">
        <f>+B61</f>
        <v>85000</v>
      </c>
      <c r="D61" s="109">
        <f t="shared" si="34"/>
        <v>0</v>
      </c>
      <c r="F61" s="16"/>
      <c r="G61" s="40"/>
      <c r="J61" s="82"/>
    </row>
    <row r="62" spans="1:22" s="175" customFormat="1" outlineLevel="2">
      <c r="A62" s="165" t="s">
        <v>20</v>
      </c>
      <c r="B62" s="166">
        <v>15000</v>
      </c>
      <c r="C62" s="166">
        <f>+B62</f>
        <v>15000</v>
      </c>
      <c r="D62" s="167">
        <f t="shared" si="34"/>
        <v>0</v>
      </c>
      <c r="E62" s="168"/>
      <c r="F62" s="168"/>
      <c r="G62" s="169"/>
      <c r="H62" s="170"/>
      <c r="I62" s="171"/>
      <c r="J62" s="171"/>
      <c r="K62" s="170"/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64" customFormat="1" outlineLevel="2">
      <c r="A63" s="134" t="s">
        <v>21</v>
      </c>
      <c r="B63" s="155">
        <v>0</v>
      </c>
      <c r="C63" s="155">
        <v>0</v>
      </c>
      <c r="D63" s="156">
        <f t="shared" si="34"/>
        <v>0</v>
      </c>
      <c r="E63" s="157"/>
      <c r="F63" s="157"/>
      <c r="G63" s="158"/>
      <c r="H63" s="159"/>
      <c r="I63" s="160"/>
      <c r="J63" s="160"/>
      <c r="K63" s="159"/>
      <c r="L63" s="161"/>
      <c r="M63" s="162"/>
      <c r="N63" s="159"/>
      <c r="O63" s="161"/>
      <c r="P63" s="163"/>
      <c r="Q63" s="159"/>
      <c r="R63" s="161"/>
      <c r="S63" s="163"/>
      <c r="T63" s="159"/>
      <c r="U63" s="161"/>
      <c r="V63" s="163"/>
    </row>
    <row r="64" spans="1:22" outlineLevel="1">
      <c r="A64" s="58" t="s">
        <v>52</v>
      </c>
      <c r="B64" s="111">
        <f>SUM(B65:B72)*1.34</f>
        <v>73700</v>
      </c>
      <c r="C64" s="111">
        <f>SUM(C65:C72)*1.34</f>
        <v>73700</v>
      </c>
      <c r="D64" s="112">
        <f>+C64-B64</f>
        <v>0</v>
      </c>
      <c r="F64" s="16"/>
      <c r="G64" s="40"/>
      <c r="J64" s="82"/>
    </row>
    <row r="65" spans="1:22" outlineLevel="2">
      <c r="A65" s="133" t="s">
        <v>23</v>
      </c>
      <c r="B65" s="93">
        <v>55000</v>
      </c>
      <c r="C65" s="93">
        <f>+B65</f>
        <v>55000</v>
      </c>
      <c r="D65" s="109">
        <f t="shared" si="34"/>
        <v>0</v>
      </c>
      <c r="F65" s="16"/>
      <c r="G65" s="40"/>
      <c r="J65" s="82"/>
    </row>
    <row r="66" spans="1:22" s="78" customFormat="1" outlineLevel="2">
      <c r="A66" s="134" t="s">
        <v>54</v>
      </c>
      <c r="B66" s="95">
        <v>0</v>
      </c>
      <c r="C66" s="95">
        <v>0</v>
      </c>
      <c r="D66" s="110">
        <f t="shared" si="34"/>
        <v>0</v>
      </c>
      <c r="E66" s="79"/>
      <c r="F66" s="79"/>
      <c r="G66" s="80"/>
      <c r="H66" s="81"/>
      <c r="I66" s="82"/>
      <c r="J66" s="82"/>
      <c r="K66" s="81"/>
      <c r="L66" s="84"/>
      <c r="M66" s="85"/>
      <c r="N66" s="81"/>
      <c r="O66" s="84"/>
      <c r="P66" s="86"/>
      <c r="Q66" s="81"/>
      <c r="R66" s="84"/>
      <c r="S66" s="86"/>
      <c r="T66" s="81"/>
      <c r="U66" s="84"/>
      <c r="V66" s="86"/>
    </row>
    <row r="67" spans="1:22" s="78" customFormat="1" outlineLevel="2">
      <c r="A67" s="134" t="s">
        <v>25</v>
      </c>
      <c r="B67" s="95">
        <v>0</v>
      </c>
      <c r="C67" s="95">
        <v>0</v>
      </c>
      <c r="D67" s="110">
        <f t="shared" si="34"/>
        <v>0</v>
      </c>
      <c r="E67" s="79"/>
      <c r="F67" s="79"/>
      <c r="G67" s="80"/>
      <c r="H67" s="81"/>
      <c r="I67" s="82"/>
      <c r="J67" s="82"/>
      <c r="K67" s="81"/>
      <c r="L67" s="84"/>
      <c r="M67" s="85"/>
      <c r="N67" s="81"/>
      <c r="O67" s="84"/>
      <c r="P67" s="86"/>
      <c r="Q67" s="81"/>
      <c r="R67" s="84"/>
      <c r="S67" s="86"/>
      <c r="T67" s="81"/>
      <c r="U67" s="84"/>
      <c r="V67" s="86"/>
    </row>
    <row r="68" spans="1:22" s="78" customFormat="1" outlineLevel="2">
      <c r="A68" s="134" t="s">
        <v>26</v>
      </c>
      <c r="B68" s="95">
        <v>0</v>
      </c>
      <c r="C68" s="95">
        <v>0</v>
      </c>
      <c r="D68" s="110">
        <f t="shared" si="34"/>
        <v>0</v>
      </c>
      <c r="E68" s="79"/>
      <c r="F68" s="79"/>
      <c r="G68" s="80"/>
      <c r="H68" s="81"/>
      <c r="I68" s="82"/>
      <c r="J68" s="82"/>
      <c r="K68" s="81"/>
      <c r="L68" s="154"/>
      <c r="M68" s="85"/>
      <c r="N68" s="81"/>
      <c r="O68" s="84"/>
      <c r="P68" s="86"/>
      <c r="Q68" s="81"/>
      <c r="R68" s="84"/>
      <c r="S68" s="86"/>
      <c r="T68" s="81"/>
      <c r="U68" s="84"/>
      <c r="V68" s="86"/>
    </row>
    <row r="69" spans="1:22" s="78" customFormat="1" outlineLevel="2">
      <c r="A69" s="134" t="s">
        <v>27</v>
      </c>
      <c r="B69" s="95">
        <v>0</v>
      </c>
      <c r="C69" s="95">
        <v>0</v>
      </c>
      <c r="D69" s="110">
        <f t="shared" si="34"/>
        <v>0</v>
      </c>
      <c r="E69" s="79"/>
      <c r="F69" s="79"/>
      <c r="G69" s="80"/>
      <c r="H69" s="81"/>
      <c r="I69" s="82"/>
      <c r="J69" s="82"/>
      <c r="K69" s="81"/>
      <c r="L69" s="84"/>
      <c r="M69" s="85"/>
      <c r="N69" s="81"/>
      <c r="O69" s="84"/>
      <c r="P69" s="86"/>
      <c r="Q69" s="81"/>
      <c r="R69" s="84"/>
      <c r="S69" s="86"/>
      <c r="T69" s="81"/>
      <c r="U69" s="84"/>
      <c r="V69" s="86"/>
    </row>
    <row r="70" spans="1:22" s="78" customFormat="1" outlineLevel="2">
      <c r="A70" s="134" t="s">
        <v>28</v>
      </c>
      <c r="B70" s="95">
        <v>0</v>
      </c>
      <c r="C70" s="95">
        <v>0</v>
      </c>
      <c r="D70" s="110">
        <f t="shared" si="34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>
      <c r="A71" s="134" t="s">
        <v>20</v>
      </c>
      <c r="B71" s="95">
        <v>0</v>
      </c>
      <c r="C71" s="95">
        <v>0</v>
      </c>
      <c r="D71" s="110">
        <f t="shared" si="34"/>
        <v>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>
      <c r="A72" s="134" t="s">
        <v>21</v>
      </c>
      <c r="B72" s="95">
        <v>0</v>
      </c>
      <c r="C72" s="95">
        <v>0</v>
      </c>
      <c r="D72" s="110">
        <f t="shared" si="34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>
      <c r="A73" s="57" t="s">
        <v>58</v>
      </c>
      <c r="B73" s="113">
        <f>SUM(B74:B81)*1.34</f>
        <v>100500</v>
      </c>
      <c r="C73" s="113">
        <f>SUM(C74:C81)*1.34</f>
        <v>104520</v>
      </c>
      <c r="D73" s="114">
        <f>+C73-B73</f>
        <v>4020</v>
      </c>
      <c r="F73" s="16"/>
      <c r="G73" s="40"/>
      <c r="J73" s="82"/>
    </row>
    <row r="74" spans="1:22" outlineLevel="2">
      <c r="A74" s="133" t="s">
        <v>59</v>
      </c>
      <c r="B74" s="93">
        <v>75000</v>
      </c>
      <c r="C74" s="93">
        <v>78000</v>
      </c>
      <c r="D74" s="109">
        <f t="shared" si="34"/>
        <v>3000</v>
      </c>
      <c r="F74" s="16"/>
      <c r="G74" s="40"/>
      <c r="J74" s="83"/>
    </row>
    <row r="75" spans="1:22" s="78" customFormat="1" outlineLevel="2">
      <c r="A75" s="134" t="s">
        <v>31</v>
      </c>
      <c r="B75" s="95">
        <v>0</v>
      </c>
      <c r="C75" s="95">
        <v>0</v>
      </c>
      <c r="D75" s="110">
        <f t="shared" si="34"/>
        <v>0</v>
      </c>
      <c r="E75" s="79"/>
      <c r="F75" s="79"/>
      <c r="G75" s="80"/>
      <c r="H75" s="81"/>
      <c r="I75" s="82"/>
      <c r="J75" s="83"/>
      <c r="K75" s="81"/>
      <c r="L75" s="84"/>
      <c r="M75" s="85"/>
      <c r="N75" s="81"/>
      <c r="O75" s="84"/>
      <c r="P75" s="86"/>
      <c r="Q75" s="81"/>
      <c r="R75" s="84"/>
      <c r="S75" s="86"/>
      <c r="T75" s="81"/>
      <c r="U75" s="84"/>
      <c r="V75" s="86"/>
    </row>
    <row r="76" spans="1:22" s="78" customFormat="1" outlineLevel="2">
      <c r="A76" s="134" t="s">
        <v>32</v>
      </c>
      <c r="B76" s="95">
        <v>0</v>
      </c>
      <c r="C76" s="95">
        <v>0</v>
      </c>
      <c r="D76" s="110">
        <f t="shared" si="34"/>
        <v>0</v>
      </c>
      <c r="E76" s="79"/>
      <c r="F76" s="79"/>
      <c r="G76" s="80"/>
      <c r="H76" s="81"/>
      <c r="I76" s="82"/>
      <c r="J76" s="83"/>
      <c r="K76" s="81"/>
      <c r="L76" s="84"/>
      <c r="M76" s="85"/>
      <c r="N76" s="81"/>
      <c r="O76" s="84"/>
      <c r="P76" s="86"/>
      <c r="Q76" s="81"/>
      <c r="R76" s="84"/>
      <c r="S76" s="86"/>
      <c r="T76" s="81"/>
      <c r="U76" s="84"/>
      <c r="V76" s="86"/>
    </row>
    <row r="77" spans="1:22" s="78" customFormat="1" outlineLevel="2">
      <c r="A77" s="134" t="s">
        <v>33</v>
      </c>
      <c r="B77" s="95">
        <v>0</v>
      </c>
      <c r="C77" s="95">
        <v>0</v>
      </c>
      <c r="D77" s="110">
        <f t="shared" si="34"/>
        <v>0</v>
      </c>
      <c r="E77" s="79"/>
      <c r="F77" s="79"/>
      <c r="G77" s="80"/>
      <c r="H77" s="81"/>
      <c r="I77" s="82"/>
      <c r="J77" s="83"/>
      <c r="K77" s="81"/>
      <c r="L77" s="84"/>
      <c r="M77" s="85"/>
      <c r="N77" s="81"/>
      <c r="O77" s="84"/>
      <c r="P77" s="86"/>
      <c r="Q77" s="81"/>
      <c r="R77" s="84"/>
      <c r="S77" s="86"/>
      <c r="T77" s="81"/>
      <c r="U77" s="84"/>
      <c r="V77" s="86"/>
    </row>
    <row r="78" spans="1:22" s="78" customFormat="1" outlineLevel="2">
      <c r="A78" s="134" t="s">
        <v>27</v>
      </c>
      <c r="B78" s="95">
        <v>0</v>
      </c>
      <c r="C78" s="95">
        <v>0</v>
      </c>
      <c r="D78" s="110">
        <f t="shared" si="34"/>
        <v>0</v>
      </c>
      <c r="E78" s="79"/>
      <c r="F78" s="79"/>
      <c r="G78" s="80"/>
      <c r="H78" s="81"/>
      <c r="I78" s="82"/>
      <c r="J78" s="83"/>
      <c r="K78" s="81"/>
      <c r="L78" s="84"/>
      <c r="M78" s="85"/>
      <c r="N78" s="81"/>
      <c r="O78" s="84"/>
      <c r="P78" s="86"/>
      <c r="Q78" s="81"/>
      <c r="R78" s="84"/>
      <c r="S78" s="86"/>
      <c r="T78" s="81"/>
      <c r="U78" s="84"/>
      <c r="V78" s="86"/>
    </row>
    <row r="79" spans="1:22" s="78" customFormat="1" outlineLevel="2">
      <c r="A79" s="134" t="s">
        <v>28</v>
      </c>
      <c r="B79" s="95">
        <v>0</v>
      </c>
      <c r="C79" s="95">
        <v>0</v>
      </c>
      <c r="D79" s="110">
        <f t="shared" si="34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>
      <c r="A80" s="134" t="s">
        <v>20</v>
      </c>
      <c r="B80" s="95">
        <v>0</v>
      </c>
      <c r="C80" s="95">
        <v>0</v>
      </c>
      <c r="D80" s="110">
        <f t="shared" si="34"/>
        <v>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>
      <c r="A81" s="134" t="s">
        <v>21</v>
      </c>
      <c r="B81" s="95">
        <v>0</v>
      </c>
      <c r="C81" s="95">
        <v>0</v>
      </c>
      <c r="D81" s="110">
        <f t="shared" si="34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>
      <c r="A82" s="50" t="s">
        <v>60</v>
      </c>
      <c r="B82" s="115">
        <f>SUM(B83:B90)*1.34</f>
        <v>0</v>
      </c>
      <c r="C82" s="115">
        <f>SUM(C83:C90)*1.34</f>
        <v>0</v>
      </c>
      <c r="D82" s="116">
        <f>+C82-B82</f>
        <v>0</v>
      </c>
      <c r="F82" s="16"/>
      <c r="G82" s="40"/>
    </row>
    <row r="83" spans="1:22" s="78" customFormat="1" outlineLevel="2">
      <c r="A83" s="134" t="s">
        <v>61</v>
      </c>
      <c r="B83" s="95">
        <v>0</v>
      </c>
      <c r="C83" s="95">
        <v>0</v>
      </c>
      <c r="D83" s="110">
        <f t="shared" si="34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s="78" customFormat="1" outlineLevel="2">
      <c r="A84" s="134" t="s">
        <v>36</v>
      </c>
      <c r="B84" s="95">
        <v>0</v>
      </c>
      <c r="C84" s="95">
        <v>0</v>
      </c>
      <c r="D84" s="110">
        <f t="shared" si="34"/>
        <v>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>
      <c r="A85" s="134" t="s">
        <v>25</v>
      </c>
      <c r="B85" s="95">
        <v>0</v>
      </c>
      <c r="C85" s="95">
        <v>0</v>
      </c>
      <c r="D85" s="110">
        <f t="shared" si="34"/>
        <v>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>
      <c r="A86" s="134" t="s">
        <v>26</v>
      </c>
      <c r="B86" s="95">
        <v>0</v>
      </c>
      <c r="C86" s="95">
        <v>0</v>
      </c>
      <c r="D86" s="110">
        <f t="shared" si="34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>
      <c r="A87" s="134" t="s">
        <v>37</v>
      </c>
      <c r="B87" s="95">
        <v>0</v>
      </c>
      <c r="C87" s="95">
        <v>0</v>
      </c>
      <c r="D87" s="110">
        <f t="shared" si="34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>
      <c r="A88" s="134" t="s">
        <v>28</v>
      </c>
      <c r="B88" s="95">
        <v>0</v>
      </c>
      <c r="C88" s="95">
        <v>0</v>
      </c>
      <c r="D88" s="110">
        <f t="shared" si="34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>
      <c r="A89" s="134" t="s">
        <v>20</v>
      </c>
      <c r="B89" s="95">
        <v>0</v>
      </c>
      <c r="C89" s="95">
        <v>0</v>
      </c>
      <c r="D89" s="110">
        <f t="shared" si="34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>
      <c r="A90" s="134" t="s">
        <v>21</v>
      </c>
      <c r="B90" s="95">
        <v>0</v>
      </c>
      <c r="C90" s="95">
        <v>0</v>
      </c>
      <c r="D90" s="110">
        <f t="shared" si="34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>
      <c r="A91" s="135" t="s">
        <v>62</v>
      </c>
      <c r="B91" s="117">
        <f>SUM(B92:B93)*1.34</f>
        <v>96480</v>
      </c>
      <c r="C91" s="117">
        <f>SUM(C92:C93)*1.34</f>
        <v>96480</v>
      </c>
      <c r="D91" s="118">
        <f t="shared" si="34"/>
        <v>0</v>
      </c>
      <c r="F91" s="16"/>
      <c r="G91" s="40"/>
    </row>
    <row r="92" spans="1:22" outlineLevel="2">
      <c r="A92" s="133" t="s">
        <v>39</v>
      </c>
      <c r="B92" s="93">
        <v>72000</v>
      </c>
      <c r="C92" s="93">
        <f>+B92</f>
        <v>72000</v>
      </c>
      <c r="D92" s="119">
        <f t="shared" si="34"/>
        <v>0</v>
      </c>
      <c r="F92" s="16"/>
      <c r="G92" s="40"/>
    </row>
    <row r="93" spans="1:22" s="78" customFormat="1" outlineLevel="2">
      <c r="A93" s="134" t="s">
        <v>36</v>
      </c>
      <c r="B93" s="95">
        <v>0</v>
      </c>
      <c r="C93" s="95">
        <v>0</v>
      </c>
      <c r="D93" s="110">
        <f t="shared" si="34"/>
        <v>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>
      <c r="A94" s="136" t="s">
        <v>63</v>
      </c>
      <c r="B94" s="120">
        <f>SUM(B95:B96)*1.34</f>
        <v>20100</v>
      </c>
      <c r="C94" s="120">
        <f>SUM(C95:C96)*1.34</f>
        <v>20100</v>
      </c>
      <c r="D94" s="121">
        <f t="shared" si="34"/>
        <v>0</v>
      </c>
      <c r="F94" s="16"/>
      <c r="G94" s="40"/>
    </row>
    <row r="95" spans="1:22" outlineLevel="2">
      <c r="A95" s="1" t="s">
        <v>41</v>
      </c>
      <c r="B95" s="93">
        <v>15000</v>
      </c>
      <c r="C95" s="93">
        <f>+B95</f>
        <v>15000</v>
      </c>
      <c r="D95" s="119">
        <f t="shared" si="34"/>
        <v>0</v>
      </c>
      <c r="F95" s="16"/>
      <c r="G95" s="40"/>
    </row>
    <row r="96" spans="1:22" s="78" customFormat="1" outlineLevel="2">
      <c r="A96" s="68" t="s">
        <v>36</v>
      </c>
      <c r="B96" s="95">
        <v>0</v>
      </c>
      <c r="C96" s="95">
        <v>0</v>
      </c>
      <c r="D96" s="110">
        <f t="shared" si="34"/>
        <v>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>
      <c r="A97" s="202" t="s">
        <v>64</v>
      </c>
      <c r="B97" s="203">
        <f>SUM(B98:B99)*1.34</f>
        <v>0</v>
      </c>
      <c r="C97" s="203">
        <f>SUM(C98:C99)*1.34</f>
        <v>0</v>
      </c>
      <c r="D97" s="204">
        <f t="shared" si="34"/>
        <v>0</v>
      </c>
      <c r="F97" s="16"/>
      <c r="G97" s="40"/>
    </row>
    <row r="98" spans="1:22" s="78" customFormat="1" outlineLevel="2">
      <c r="A98" s="68" t="s">
        <v>43</v>
      </c>
      <c r="B98" s="95">
        <v>0</v>
      </c>
      <c r="C98" s="95">
        <v>0</v>
      </c>
      <c r="D98" s="110">
        <f t="shared" si="34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>
      <c r="A99" s="68" t="s">
        <v>36</v>
      </c>
      <c r="B99" s="95">
        <v>0</v>
      </c>
      <c r="C99" s="95">
        <v>0</v>
      </c>
      <c r="D99" s="110">
        <f t="shared" si="34"/>
        <v>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>
      <c r="A100" s="202" t="s">
        <v>65</v>
      </c>
      <c r="B100" s="203">
        <f>SUM(B101:B102)*1.34</f>
        <v>0</v>
      </c>
      <c r="C100" s="203">
        <f>SUM(C101:C102)*1.34</f>
        <v>0</v>
      </c>
      <c r="D100" s="204">
        <f t="shared" si="34"/>
        <v>0</v>
      </c>
      <c r="F100" s="16"/>
      <c r="G100" s="40"/>
    </row>
    <row r="101" spans="1:22" s="78" customFormat="1" outlineLevel="2">
      <c r="A101" s="205" t="s">
        <v>43</v>
      </c>
      <c r="B101" s="206">
        <v>0</v>
      </c>
      <c r="C101" s="206">
        <v>0</v>
      </c>
      <c r="D101" s="207">
        <f t="shared" si="34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>
      <c r="A102" s="205" t="s">
        <v>36</v>
      </c>
      <c r="B102" s="206">
        <v>0</v>
      </c>
      <c r="C102" s="206">
        <v>0</v>
      </c>
      <c r="D102" s="207">
        <f t="shared" si="34"/>
        <v>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>
      <c r="A103" s="208" t="s">
        <v>66</v>
      </c>
      <c r="B103" s="209">
        <f>SUM(B104:B111)</f>
        <v>226500</v>
      </c>
      <c r="C103" s="209">
        <f>SUM(C104:C111)</f>
        <v>155513.69999999998</v>
      </c>
      <c r="D103" s="210">
        <f>+C103-B103</f>
        <v>-70986.300000000017</v>
      </c>
    </row>
    <row r="104" spans="1:22" outlineLevel="1">
      <c r="A104" s="44" t="s">
        <v>67</v>
      </c>
      <c r="B104" s="141">
        <f>+B3*0.15</f>
        <v>137250</v>
      </c>
      <c r="C104" s="141">
        <f>+C3*0.15</f>
        <v>113082.3</v>
      </c>
      <c r="D104" s="142">
        <f t="shared" si="34"/>
        <v>-24167.699999999997</v>
      </c>
    </row>
    <row r="105" spans="1:22" outlineLevel="1">
      <c r="A105" s="58" t="s">
        <v>68</v>
      </c>
      <c r="B105" s="141">
        <f>+B12*0.15</f>
        <v>25500</v>
      </c>
      <c r="C105" s="141">
        <f>+C12*0.15</f>
        <v>15149.099999999999</v>
      </c>
      <c r="D105" s="142">
        <f t="shared" si="34"/>
        <v>-10350.900000000001</v>
      </c>
    </row>
    <row r="106" spans="1:22" outlineLevel="1">
      <c r="A106" s="57" t="s">
        <v>69</v>
      </c>
      <c r="B106" s="141">
        <f>+B21*0.15</f>
        <v>25500</v>
      </c>
      <c r="C106" s="141">
        <f>+C21*0.15</f>
        <v>15883.05</v>
      </c>
      <c r="D106" s="142">
        <f t="shared" si="34"/>
        <v>-9616.9500000000007</v>
      </c>
    </row>
    <row r="107" spans="1:22" outlineLevel="1">
      <c r="A107" s="50" t="s">
        <v>70</v>
      </c>
      <c r="B107" s="141">
        <f>+B30*0.15</f>
        <v>0</v>
      </c>
      <c r="C107" s="141">
        <f>+C30*0.15</f>
        <v>0</v>
      </c>
      <c r="D107" s="142">
        <f t="shared" si="34"/>
        <v>0</v>
      </c>
    </row>
    <row r="108" spans="1:22" outlineLevel="1">
      <c r="A108" s="67" t="s">
        <v>71</v>
      </c>
      <c r="B108" s="141">
        <f>+B39*0.15</f>
        <v>25500</v>
      </c>
      <c r="C108" s="141">
        <f>+C39*0.15</f>
        <v>2773.0499999999997</v>
      </c>
      <c r="D108" s="142">
        <f t="shared" si="34"/>
        <v>-22726.95</v>
      </c>
    </row>
    <row r="109" spans="1:22" outlineLevel="1">
      <c r="A109" s="47" t="s">
        <v>72</v>
      </c>
      <c r="B109" s="141">
        <f>+B42*0.15</f>
        <v>12750</v>
      </c>
      <c r="C109" s="141">
        <f>+C42*0.15</f>
        <v>8626.1999999999989</v>
      </c>
      <c r="D109" s="142">
        <f t="shared" si="34"/>
        <v>-4123.8000000000011</v>
      </c>
    </row>
    <row r="110" spans="1:22" outlineLevel="1">
      <c r="A110" s="198" t="s">
        <v>73</v>
      </c>
      <c r="B110" s="141">
        <f>+B45*0.15</f>
        <v>0</v>
      </c>
      <c r="C110" s="141">
        <f>+C45*0.15</f>
        <v>0</v>
      </c>
      <c r="D110" s="142">
        <f t="shared" si="34"/>
        <v>0</v>
      </c>
    </row>
    <row r="111" spans="1:22" outlineLevel="1">
      <c r="A111" s="198" t="s">
        <v>74</v>
      </c>
      <c r="B111" s="141">
        <f>+B48*0.15</f>
        <v>0</v>
      </c>
      <c r="C111" s="141">
        <f>+C48*0.15</f>
        <v>0</v>
      </c>
      <c r="D111" s="142">
        <f t="shared" si="34"/>
        <v>0</v>
      </c>
    </row>
    <row r="112" spans="1:22">
      <c r="A112" s="88" t="s">
        <v>75</v>
      </c>
      <c r="B112" s="124">
        <f>SUM(B113:B120)</f>
        <v>70000</v>
      </c>
      <c r="C112" s="124">
        <f>SUM(C113:C120)</f>
        <v>70000</v>
      </c>
      <c r="D112" s="125">
        <f>+C112-B112</f>
        <v>0</v>
      </c>
    </row>
    <row r="113" spans="1:4" outlineLevel="1">
      <c r="A113" s="44" t="s">
        <v>76</v>
      </c>
      <c r="B113" s="111">
        <v>30000</v>
      </c>
      <c r="C113" s="111">
        <f t="shared" ref="C113:C120" si="35">+B113</f>
        <v>30000</v>
      </c>
      <c r="D113" s="112">
        <f t="shared" si="34"/>
        <v>0</v>
      </c>
    </row>
    <row r="114" spans="1:4" outlineLevel="1">
      <c r="A114" s="58" t="s">
        <v>77</v>
      </c>
      <c r="B114" s="111">
        <v>20000</v>
      </c>
      <c r="C114" s="111">
        <f t="shared" si="35"/>
        <v>20000</v>
      </c>
      <c r="D114" s="112">
        <f t="shared" si="34"/>
        <v>0</v>
      </c>
    </row>
    <row r="115" spans="1:4" outlineLevel="1">
      <c r="A115" s="57" t="s">
        <v>78</v>
      </c>
      <c r="B115" s="111">
        <v>20000</v>
      </c>
      <c r="C115" s="111">
        <f t="shared" si="35"/>
        <v>20000</v>
      </c>
      <c r="D115" s="111">
        <f t="shared" si="34"/>
        <v>0</v>
      </c>
    </row>
    <row r="116" spans="1:4" outlineLevel="1">
      <c r="A116" s="50" t="s">
        <v>79</v>
      </c>
      <c r="B116" s="111">
        <v>0</v>
      </c>
      <c r="C116" s="111">
        <f t="shared" si="35"/>
        <v>0</v>
      </c>
      <c r="D116" s="111">
        <f t="shared" si="34"/>
        <v>0</v>
      </c>
    </row>
    <row r="117" spans="1:4" outlineLevel="1">
      <c r="A117" s="67" t="s">
        <v>80</v>
      </c>
      <c r="B117" s="111">
        <v>0</v>
      </c>
      <c r="C117" s="111">
        <f t="shared" si="35"/>
        <v>0</v>
      </c>
      <c r="D117" s="111">
        <f t="shared" si="34"/>
        <v>0</v>
      </c>
    </row>
    <row r="118" spans="1:4" outlineLevel="1">
      <c r="A118" s="47" t="s">
        <v>81</v>
      </c>
      <c r="B118" s="111">
        <v>0</v>
      </c>
      <c r="C118" s="111">
        <f t="shared" si="35"/>
        <v>0</v>
      </c>
      <c r="D118" s="111">
        <f t="shared" si="34"/>
        <v>0</v>
      </c>
    </row>
    <row r="119" spans="1:4" outlineLevel="1">
      <c r="A119" s="198" t="s">
        <v>82</v>
      </c>
      <c r="B119" s="111">
        <v>0</v>
      </c>
      <c r="C119" s="111">
        <f t="shared" si="35"/>
        <v>0</v>
      </c>
      <c r="D119" s="111">
        <f t="shared" si="34"/>
        <v>0</v>
      </c>
    </row>
    <row r="120" spans="1:4" outlineLevel="1">
      <c r="A120" s="198" t="s">
        <v>83</v>
      </c>
      <c r="B120" s="111">
        <v>0</v>
      </c>
      <c r="C120" s="111">
        <f t="shared" si="35"/>
        <v>0</v>
      </c>
      <c r="D120" s="111">
        <f t="shared" si="34"/>
        <v>0</v>
      </c>
    </row>
    <row r="121" spans="1:4">
      <c r="A121" s="150" t="s">
        <v>84</v>
      </c>
      <c r="B121" s="151">
        <f>SUM(B122:B129)</f>
        <v>151000</v>
      </c>
      <c r="C121" s="151">
        <f t="shared" ref="C121" si="36">SUM(C122:C129)</f>
        <v>103675.79999999999</v>
      </c>
      <c r="D121" s="151">
        <f>+C121-B121</f>
        <v>-47324.200000000012</v>
      </c>
    </row>
    <row r="122" spans="1:4" outlineLevel="1">
      <c r="A122" s="44" t="s">
        <v>85</v>
      </c>
      <c r="B122" s="152">
        <f>+B3/10</f>
        <v>91500</v>
      </c>
      <c r="C122" s="152">
        <f>+C3/10</f>
        <v>75388.2</v>
      </c>
      <c r="D122" s="153">
        <f t="shared" si="34"/>
        <v>-16111.800000000003</v>
      </c>
    </row>
    <row r="123" spans="1:4" outlineLevel="1">
      <c r="A123" s="58" t="s">
        <v>86</v>
      </c>
      <c r="B123" s="152">
        <f>+B12/10</f>
        <v>17000</v>
      </c>
      <c r="C123" s="152">
        <f>+C12/10</f>
        <v>10099.4</v>
      </c>
      <c r="D123" s="153">
        <f t="shared" si="34"/>
        <v>-6900.6</v>
      </c>
    </row>
    <row r="124" spans="1:4" outlineLevel="1">
      <c r="A124" s="57" t="s">
        <v>87</v>
      </c>
      <c r="B124" s="152">
        <f>+B21/10</f>
        <v>17000</v>
      </c>
      <c r="C124" s="152">
        <f>+C21/10</f>
        <v>10588.7</v>
      </c>
      <c r="D124" s="152">
        <f t="shared" si="34"/>
        <v>-6411.2999999999993</v>
      </c>
    </row>
    <row r="125" spans="1:4" outlineLevel="1">
      <c r="A125" s="50" t="s">
        <v>88</v>
      </c>
      <c r="B125" s="152">
        <f>+B30/10</f>
        <v>0</v>
      </c>
      <c r="C125" s="152">
        <f>+C30/10</f>
        <v>0</v>
      </c>
      <c r="D125" s="152">
        <f t="shared" si="34"/>
        <v>0</v>
      </c>
    </row>
    <row r="126" spans="1:4" outlineLevel="1">
      <c r="A126" s="67" t="s">
        <v>89</v>
      </c>
      <c r="B126" s="152">
        <f>+B39/10</f>
        <v>17000</v>
      </c>
      <c r="C126" s="152">
        <f>+C39/10</f>
        <v>1848.7</v>
      </c>
      <c r="D126" s="152">
        <f t="shared" si="34"/>
        <v>-15151.3</v>
      </c>
    </row>
    <row r="127" spans="1:4" outlineLevel="1">
      <c r="A127" s="47" t="s">
        <v>90</v>
      </c>
      <c r="B127" s="152">
        <f>+B42/10</f>
        <v>8500</v>
      </c>
      <c r="C127" s="152">
        <f>+C42/10</f>
        <v>5750.8</v>
      </c>
      <c r="D127" s="152">
        <f t="shared" si="34"/>
        <v>-2749.2</v>
      </c>
    </row>
    <row r="128" spans="1:4" outlineLevel="1">
      <c r="A128" s="198" t="s">
        <v>91</v>
      </c>
      <c r="B128" s="152">
        <f>+B45/10</f>
        <v>0</v>
      </c>
      <c r="C128" s="152">
        <f>+C45/10</f>
        <v>0</v>
      </c>
      <c r="D128" s="152">
        <f t="shared" si="34"/>
        <v>0</v>
      </c>
    </row>
    <row r="129" spans="1:7" outlineLevel="1">
      <c r="A129" s="198" t="s">
        <v>92</v>
      </c>
      <c r="B129" s="152">
        <f>+B48/10</f>
        <v>0</v>
      </c>
      <c r="C129" s="152">
        <f>+C48/10</f>
        <v>0</v>
      </c>
      <c r="D129" s="152">
        <f t="shared" si="34"/>
        <v>0</v>
      </c>
    </row>
    <row r="130" spans="1:7" ht="18">
      <c r="A130" s="139" t="s">
        <v>93</v>
      </c>
      <c r="B130" s="126">
        <f t="shared" ref="B130:D131" si="37">+B112+B103+B54+B121</f>
        <v>1110800</v>
      </c>
      <c r="C130" s="126">
        <f t="shared" si="37"/>
        <v>996509.5</v>
      </c>
      <c r="D130" s="126">
        <f t="shared" si="37"/>
        <v>-114290.50000000003</v>
      </c>
      <c r="E130" s="15"/>
      <c r="F130" s="10"/>
      <c r="G130" s="41"/>
    </row>
    <row r="131" spans="1:7" outlineLevel="1">
      <c r="A131" s="44" t="s">
        <v>94</v>
      </c>
      <c r="B131" s="140">
        <f t="shared" si="37"/>
        <v>631270</v>
      </c>
      <c r="C131" s="140">
        <f t="shared" si="37"/>
        <v>590990.5</v>
      </c>
      <c r="D131" s="140">
        <f t="shared" si="37"/>
        <v>-40279.5</v>
      </c>
      <c r="E131" s="15"/>
      <c r="F131" s="10"/>
      <c r="G131" s="41"/>
    </row>
    <row r="132" spans="1:7" outlineLevel="1">
      <c r="A132" s="58" t="s">
        <v>95</v>
      </c>
      <c r="B132" s="140">
        <f>+B114+B105+B64+B123</f>
        <v>136200</v>
      </c>
      <c r="C132" s="140">
        <f>+C114+C105+C64+C123</f>
        <v>118948.5</v>
      </c>
      <c r="D132" s="140">
        <f>+D114+D105+D64+D123</f>
        <v>-17251.5</v>
      </c>
      <c r="E132" s="15"/>
      <c r="F132" s="10"/>
      <c r="G132" s="41"/>
    </row>
    <row r="133" spans="1:7" outlineLevel="1">
      <c r="A133" s="57" t="s">
        <v>96</v>
      </c>
      <c r="B133" s="140">
        <f>+B115+B106+B73+B124</f>
        <v>163000</v>
      </c>
      <c r="C133" s="140">
        <f>+C115+C106+C73+C124</f>
        <v>150991.75</v>
      </c>
      <c r="D133" s="140">
        <f>+D115+D106+D73+D124</f>
        <v>-12008.25</v>
      </c>
      <c r="E133" s="15"/>
      <c r="F133" s="10"/>
      <c r="G133" s="41"/>
    </row>
    <row r="134" spans="1:7" outlineLevel="1">
      <c r="A134" s="50" t="s">
        <v>97</v>
      </c>
      <c r="B134" s="140">
        <f>+B116+B107+B82+B125</f>
        <v>0</v>
      </c>
      <c r="C134" s="140">
        <f>+C116+C107+C82+C125</f>
        <v>0</v>
      </c>
      <c r="D134" s="140">
        <f>+D116+D107+D82+D125</f>
        <v>0</v>
      </c>
      <c r="E134" s="15"/>
      <c r="F134" s="10"/>
      <c r="G134" s="41"/>
    </row>
    <row r="135" spans="1:7" outlineLevel="1">
      <c r="A135" s="67" t="s">
        <v>98</v>
      </c>
      <c r="B135" s="140">
        <f>+B117+B108+B91+B126</f>
        <v>138980</v>
      </c>
      <c r="C135" s="140">
        <f>+C117+C108+C91+C126</f>
        <v>101101.75</v>
      </c>
      <c r="D135" s="140">
        <f>+D117+D108+D91+D126</f>
        <v>-37878.25</v>
      </c>
      <c r="E135" s="15"/>
      <c r="F135" s="10"/>
      <c r="G135" s="41"/>
    </row>
    <row r="136" spans="1:7" outlineLevel="1">
      <c r="A136" s="47" t="s">
        <v>99</v>
      </c>
      <c r="B136" s="140">
        <f>+B127+B118+B109+B94</f>
        <v>41350</v>
      </c>
      <c r="C136" s="140">
        <f>+C127+C118+C109+C94</f>
        <v>34477</v>
      </c>
      <c r="D136" s="140">
        <f>+D119+D110+D99+D128</f>
        <v>0</v>
      </c>
      <c r="E136" s="15"/>
      <c r="F136" s="10"/>
      <c r="G136" s="41"/>
    </row>
    <row r="137" spans="1:7" outlineLevel="1">
      <c r="A137" s="198" t="s">
        <v>100</v>
      </c>
      <c r="B137" s="140">
        <f>+B128+B119+B110+B97</f>
        <v>0</v>
      </c>
      <c r="C137" s="140">
        <f>+C128+C119+C110+C97</f>
        <v>0</v>
      </c>
      <c r="D137" s="140">
        <f>+D119+D110+D99+D128</f>
        <v>0</v>
      </c>
      <c r="E137" s="15"/>
      <c r="F137" s="10"/>
      <c r="G137" s="41"/>
    </row>
    <row r="138" spans="1:7" outlineLevel="1">
      <c r="A138" s="198" t="s">
        <v>101</v>
      </c>
      <c r="B138" s="140">
        <f>+B129+B120+B111+B100</f>
        <v>0</v>
      </c>
      <c r="C138" s="140">
        <f>+C129+C120+C111+C100</f>
        <v>0</v>
      </c>
      <c r="D138" s="140">
        <f>+D120+D111+D100+D129</f>
        <v>0</v>
      </c>
      <c r="E138" s="15"/>
      <c r="F138" s="10"/>
      <c r="G138" s="41"/>
    </row>
    <row r="139" spans="1:7">
      <c r="A139" s="7"/>
      <c r="B139" s="127"/>
      <c r="C139" s="127"/>
      <c r="D139" s="128"/>
      <c r="E139" s="15"/>
      <c r="F139" s="10"/>
      <c r="G139" s="41"/>
    </row>
    <row r="140" spans="1:7" ht="15.75">
      <c r="A140" s="177" t="s">
        <v>102</v>
      </c>
      <c r="B140" s="129">
        <f>+B51-B130</f>
        <v>399200</v>
      </c>
      <c r="C140" s="129">
        <f>+C51-C130</f>
        <v>40248.5</v>
      </c>
      <c r="D140" s="129">
        <f>+D51-D130</f>
        <v>-358951.5</v>
      </c>
      <c r="E140" s="19"/>
      <c r="F140" s="20"/>
      <c r="G140" s="42"/>
    </row>
    <row r="141" spans="1:7">
      <c r="A141" s="44" t="s">
        <v>103</v>
      </c>
      <c r="B141" s="178">
        <f>+B3-B131</f>
        <v>283730</v>
      </c>
      <c r="C141" s="178">
        <f>+C3-C131</f>
        <v>162891.5</v>
      </c>
      <c r="D141" s="178">
        <f>+D3-D131</f>
        <v>-120838.5</v>
      </c>
      <c r="E141" s="19"/>
      <c r="F141" s="20"/>
      <c r="G141" s="42"/>
    </row>
    <row r="142" spans="1:7">
      <c r="A142" s="58" t="s">
        <v>104</v>
      </c>
      <c r="B142" s="178">
        <f>+B12-B132</f>
        <v>33800</v>
      </c>
      <c r="C142" s="178">
        <f>+C12-C132</f>
        <v>-17954.5</v>
      </c>
      <c r="D142" s="178">
        <f>+D12-D132</f>
        <v>-51754.5</v>
      </c>
      <c r="E142" s="19"/>
      <c r="F142" s="20"/>
      <c r="G142" s="42"/>
    </row>
    <row r="143" spans="1:7">
      <c r="A143" s="57" t="s">
        <v>105</v>
      </c>
      <c r="B143" s="178">
        <f>+B21-B133</f>
        <v>7000</v>
      </c>
      <c r="C143" s="178">
        <f>+C21-C133</f>
        <v>-45104.75</v>
      </c>
      <c r="D143" s="178">
        <f>+D21-D133</f>
        <v>-52104.75</v>
      </c>
      <c r="E143" s="19"/>
      <c r="F143" s="20"/>
      <c r="G143" s="42"/>
    </row>
    <row r="144" spans="1:7">
      <c r="A144" s="50" t="s">
        <v>106</v>
      </c>
      <c r="B144" s="178">
        <f>+B30-B134</f>
        <v>0</v>
      </c>
      <c r="C144" s="178">
        <f>+C30-C134</f>
        <v>0</v>
      </c>
      <c r="D144" s="178">
        <f>+D30-D134</f>
        <v>0</v>
      </c>
      <c r="E144" s="19"/>
      <c r="F144" s="20"/>
      <c r="G144" s="42"/>
    </row>
    <row r="145" spans="1:7">
      <c r="A145" s="61" t="s">
        <v>107</v>
      </c>
      <c r="B145" s="178">
        <f>+B39-B135</f>
        <v>31020</v>
      </c>
      <c r="C145" s="178">
        <f>+C39-C135</f>
        <v>-82614.75</v>
      </c>
      <c r="D145" s="178">
        <f>+D39-D135</f>
        <v>-113634.75</v>
      </c>
      <c r="E145" s="19"/>
      <c r="F145" s="20"/>
      <c r="G145" s="42"/>
    </row>
    <row r="146" spans="1:7">
      <c r="A146" s="62" t="s">
        <v>108</v>
      </c>
      <c r="B146" s="178">
        <f>+B42-B136</f>
        <v>43650</v>
      </c>
      <c r="C146" s="178">
        <f>+C42-C136</f>
        <v>23031</v>
      </c>
      <c r="D146" s="178">
        <f>+D47-D137</f>
        <v>0</v>
      </c>
      <c r="E146" s="19"/>
      <c r="F146" s="20"/>
      <c r="G146" s="42"/>
    </row>
    <row r="147" spans="1:7">
      <c r="A147" s="201" t="s">
        <v>109</v>
      </c>
      <c r="B147" s="178">
        <f>+B45-B137</f>
        <v>0</v>
      </c>
      <c r="C147" s="178">
        <f>+C45-C137</f>
        <v>0</v>
      </c>
      <c r="D147" s="178">
        <f>+D47-D137</f>
        <v>0</v>
      </c>
      <c r="E147" s="19"/>
      <c r="F147" s="20"/>
      <c r="G147" s="42"/>
    </row>
    <row r="148" spans="1:7">
      <c r="A148" s="201" t="s">
        <v>110</v>
      </c>
      <c r="B148" s="178">
        <f>+B48-B138</f>
        <v>0</v>
      </c>
      <c r="C148" s="178">
        <f>+C48-C138</f>
        <v>0</v>
      </c>
      <c r="D148" s="178">
        <f>+D48-D138</f>
        <v>0</v>
      </c>
      <c r="E148" s="19"/>
      <c r="F148" s="20"/>
      <c r="G148" s="42"/>
    </row>
    <row r="149" spans="1:7">
      <c r="D149" s="131"/>
      <c r="E149" s="21"/>
      <c r="F149" s="22"/>
      <c r="G149" s="43"/>
    </row>
    <row r="150" spans="1:7">
      <c r="A150" s="179" t="s">
        <v>111</v>
      </c>
      <c r="B150" s="180">
        <f>+B51/B130-1</f>
        <v>0.35938062657544112</v>
      </c>
      <c r="C150" s="180">
        <f>+C51/C130-1</f>
        <v>4.0389479478118329E-2</v>
      </c>
    </row>
  </sheetData>
  <mergeCells count="5">
    <mergeCell ref="H1:J1"/>
    <mergeCell ref="K1:M1"/>
    <mergeCell ref="N1:P1"/>
    <mergeCell ref="Q1:S1"/>
    <mergeCell ref="T1:V1"/>
  </mergeCells>
  <conditionalFormatting sqref="B141:D148">
    <cfRule type="cellIs" dxfId="31" priority="1" operator="lessThan">
      <formula>0</formula>
    </cfRule>
    <cfRule type="cellIs" dxfId="30" priority="2" operator="greaterThan">
      <formula>0</formula>
    </cfRule>
  </conditionalFormatting>
  <conditionalFormatting sqref="D4:D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{8DCACA44-6B90-4AEE-9520-3348E537078E}</x14:id>
        </ext>
      </extLst>
    </cfRule>
  </conditionalFormatting>
  <conditionalFormatting sqref="D13:D2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{1491A731-F21D-415D-ACF8-AEDB4304674E}</x14:id>
        </ext>
      </extLst>
    </cfRule>
  </conditionalFormatting>
  <conditionalFormatting sqref="D22:D2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{BBAF8F43-105F-4BD6-B64A-3E24155C7C7B}</x14:id>
        </ext>
      </extLst>
    </cfRule>
  </conditionalFormatting>
  <conditionalFormatting sqref="D31:D3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{72B943CB-B546-4C12-B33C-DCDA1C957541}</x14:id>
        </ext>
      </extLst>
    </cfRule>
  </conditionalFormatting>
  <conditionalFormatting sqref="D35:D3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{EC63BE1E-2477-40C9-9D57-EBF380F26275}</x14:id>
        </ext>
      </extLst>
    </cfRule>
  </conditionalFormatting>
  <conditionalFormatting sqref="D40:D4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{65F7F045-0CAA-4878-9F76-596AB3CFA4F4}</x14:id>
        </ext>
      </extLst>
    </cfRule>
  </conditionalFormatting>
  <conditionalFormatting sqref="D43:D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{C01F5C3B-996C-45C8-B55B-D3453866B751}</x14:id>
        </ext>
      </extLst>
    </cfRule>
  </conditionalFormatting>
  <conditionalFormatting sqref="D46:D4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{51BA473E-3271-47EA-93D4-1290262AA5B3}</x14:id>
        </ext>
      </extLst>
    </cfRule>
  </conditionalFormatting>
  <conditionalFormatting sqref="D49:D5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{8CA1012A-8579-415D-88D2-DB590B1C7E12}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CACA44-6B90-4AEE-9520-3348E5370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1491A731-F21D-415D-ACF8-AEDB430467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BBAF8F43-105F-4BD6-B64A-3E24155C7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72B943CB-B546-4C12-B33C-DCDA1C9575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EC63BE1E-2477-40C9-9D57-EBF380F262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65F7F045-0CAA-4878-9F76-596AB3CFA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C01F5C3B-996C-45C8-B55B-D3453866B7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51BA473E-3271-47EA-93D4-1290262AA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8CA1012A-8579-415D-88D2-DB590B1C7E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0"/>
  <sheetViews>
    <sheetView zoomScale="90" zoomScaleNormal="90" workbookViewId="0">
      <pane ySplit="2" topLeftCell="A6" activePane="bottomLeft" state="frozen"/>
      <selection pane="bottomLeft"/>
    </sheetView>
  </sheetViews>
  <sheetFormatPr defaultRowHeight="14.25" outlineLevelRow="2"/>
  <cols>
    <col min="1" max="1" width="38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</cols>
  <sheetData>
    <row r="1" spans="1:22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>
      <c r="A3" s="44" t="s">
        <v>13</v>
      </c>
      <c r="B3" s="91">
        <f>SUM(B4:B11)</f>
        <v>915000</v>
      </c>
      <c r="C3" s="91">
        <f>SUM(C4:C11)</f>
        <v>717986</v>
      </c>
      <c r="D3" s="91">
        <f>SUM(D4:D11)</f>
        <v>-197014</v>
      </c>
      <c r="E3" s="46">
        <f>SUM(E4:E11)</f>
        <v>0</v>
      </c>
      <c r="F3" s="46">
        <f>SUM(F4:F11)</f>
        <v>0</v>
      </c>
      <c r="G3" s="36"/>
      <c r="H3" s="45">
        <f t="shared" ref="H3:V3" si="0">SUM(H4:H11)</f>
        <v>0</v>
      </c>
      <c r="I3" s="46">
        <f t="shared" si="0"/>
        <v>0</v>
      </c>
      <c r="J3" s="46">
        <f t="shared" si="0"/>
        <v>0</v>
      </c>
      <c r="K3" s="45">
        <f t="shared" si="0"/>
        <v>0</v>
      </c>
      <c r="L3" s="46">
        <f t="shared" si="0"/>
        <v>0</v>
      </c>
      <c r="M3" s="46">
        <f t="shared" si="0"/>
        <v>0</v>
      </c>
      <c r="N3" s="45">
        <f t="shared" si="0"/>
        <v>0</v>
      </c>
      <c r="O3" s="46">
        <f t="shared" si="0"/>
        <v>0</v>
      </c>
      <c r="P3" s="46">
        <f t="shared" si="0"/>
        <v>0</v>
      </c>
      <c r="Q3" s="45">
        <f t="shared" si="0"/>
        <v>0</v>
      </c>
      <c r="R3" s="46">
        <f t="shared" si="0"/>
        <v>0</v>
      </c>
      <c r="S3" s="46">
        <f t="shared" si="0"/>
        <v>0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>
      <c r="A4" s="132" t="s">
        <v>14</v>
      </c>
      <c r="B4" s="92">
        <v>200000</v>
      </c>
      <c r="C4" s="92">
        <v>201098</v>
      </c>
      <c r="D4" s="93">
        <f t="shared" ref="D4:D11" si="1">+C4-B4</f>
        <v>1098</v>
      </c>
      <c r="E4" s="18">
        <f>+I4+L4+O4+R4+U4</f>
        <v>0</v>
      </c>
      <c r="F4" s="18">
        <f>+J4+M4+P4+S4+V4</f>
        <v>0</v>
      </c>
      <c r="G4" s="37"/>
      <c r="H4" s="181"/>
      <c r="I4" s="182"/>
      <c r="J4" s="183"/>
      <c r="K4" s="184"/>
      <c r="L4" s="185"/>
      <c r="M4" s="186"/>
      <c r="N4" s="184"/>
      <c r="O4" s="185"/>
      <c r="P4" s="186"/>
      <c r="Q4" s="187"/>
      <c r="R4" s="185"/>
      <c r="S4" s="186"/>
      <c r="T4" s="187"/>
      <c r="U4" s="185"/>
      <c r="V4" s="186"/>
    </row>
    <row r="5" spans="1:22" outlineLevel="2">
      <c r="A5" s="133" t="s">
        <v>15</v>
      </c>
      <c r="B5" s="92">
        <v>200000</v>
      </c>
      <c r="C5" s="92">
        <v>94246</v>
      </c>
      <c r="D5" s="93">
        <f t="shared" si="1"/>
        <v>-105754</v>
      </c>
      <c r="E5" s="18">
        <f t="shared" ref="E5:F11" si="2">+I5+L5+O5+R5+U5</f>
        <v>0</v>
      </c>
      <c r="F5" s="18">
        <f t="shared" si="2"/>
        <v>0</v>
      </c>
      <c r="G5" s="37"/>
      <c r="H5" s="181"/>
      <c r="I5" s="182"/>
      <c r="J5" s="183"/>
      <c r="K5" s="184"/>
      <c r="L5" s="185"/>
      <c r="M5" s="186"/>
      <c r="N5" s="184"/>
      <c r="O5" s="185"/>
      <c r="P5" s="186"/>
      <c r="Q5" s="187"/>
      <c r="R5" s="185"/>
      <c r="S5" s="186"/>
      <c r="T5" s="187"/>
      <c r="U5" s="185"/>
      <c r="V5" s="186"/>
    </row>
    <row r="6" spans="1:22" outlineLevel="2">
      <c r="A6" s="133" t="s">
        <v>16</v>
      </c>
      <c r="B6" s="92">
        <v>200000</v>
      </c>
      <c r="C6" s="92">
        <v>195875</v>
      </c>
      <c r="D6" s="93">
        <f t="shared" si="1"/>
        <v>-4125</v>
      </c>
      <c r="E6" s="18">
        <f t="shared" si="2"/>
        <v>0</v>
      </c>
      <c r="F6" s="18">
        <f t="shared" si="2"/>
        <v>0</v>
      </c>
      <c r="G6" s="37"/>
      <c r="H6" s="181"/>
      <c r="I6" s="182"/>
      <c r="J6" s="183"/>
      <c r="K6" s="184"/>
      <c r="L6" s="185"/>
      <c r="M6" s="186"/>
      <c r="N6" s="184"/>
      <c r="O6" s="185"/>
      <c r="P6" s="186"/>
      <c r="Q6" s="187"/>
      <c r="R6" s="185"/>
      <c r="S6" s="186"/>
      <c r="T6" s="187"/>
      <c r="U6" s="185"/>
      <c r="V6" s="186"/>
    </row>
    <row r="7" spans="1:22" s="78" customFormat="1" outlineLevel="2">
      <c r="A7" s="134" t="s">
        <v>112</v>
      </c>
      <c r="B7" s="94">
        <v>0</v>
      </c>
      <c r="C7" s="94">
        <f t="shared" ref="C7:C50" si="3">+H7+K7+N7+Q7+T7</f>
        <v>0</v>
      </c>
      <c r="D7" s="95">
        <f t="shared" si="1"/>
        <v>0</v>
      </c>
      <c r="E7" s="69">
        <f t="shared" si="2"/>
        <v>0</v>
      </c>
      <c r="F7" s="69">
        <f t="shared" si="2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2" outlineLevel="2">
      <c r="A8" s="132" t="s">
        <v>18</v>
      </c>
      <c r="B8" s="92">
        <f>450000*0.2</f>
        <v>90000</v>
      </c>
      <c r="C8" s="92">
        <v>5473</v>
      </c>
      <c r="D8" s="93">
        <f t="shared" si="1"/>
        <v>-84527</v>
      </c>
      <c r="E8" s="18">
        <f t="shared" si="2"/>
        <v>0</v>
      </c>
      <c r="F8" s="18">
        <f t="shared" si="2"/>
        <v>0</v>
      </c>
      <c r="G8" s="37"/>
      <c r="H8" s="195"/>
      <c r="I8" s="182"/>
      <c r="J8" s="183"/>
      <c r="K8" s="184"/>
      <c r="L8" s="185"/>
      <c r="M8" s="186"/>
      <c r="N8" s="184"/>
      <c r="O8" s="185"/>
      <c r="P8" s="186"/>
      <c r="Q8" s="187"/>
      <c r="R8" s="185"/>
      <c r="S8" s="186"/>
      <c r="T8" s="187"/>
      <c r="U8" s="185"/>
      <c r="V8" s="186"/>
    </row>
    <row r="9" spans="1:22" outlineLevel="2">
      <c r="A9" s="132" t="s">
        <v>19</v>
      </c>
      <c r="B9" s="92">
        <f>450000*0.5</f>
        <v>225000</v>
      </c>
      <c r="C9" s="92">
        <v>221294</v>
      </c>
      <c r="D9" s="93">
        <f t="shared" si="1"/>
        <v>-3706</v>
      </c>
      <c r="E9" s="18">
        <f t="shared" si="2"/>
        <v>0</v>
      </c>
      <c r="F9" s="18">
        <f t="shared" si="2"/>
        <v>0</v>
      </c>
      <c r="G9" s="37"/>
      <c r="H9" s="195"/>
      <c r="I9" s="182"/>
      <c r="J9" s="183"/>
      <c r="K9" s="184"/>
      <c r="L9" s="185"/>
      <c r="M9" s="186"/>
      <c r="N9" s="184"/>
      <c r="O9" s="185"/>
      <c r="P9" s="186"/>
      <c r="Q9" s="187"/>
      <c r="R9" s="185"/>
      <c r="S9" s="186"/>
      <c r="T9" s="187"/>
      <c r="U9" s="185"/>
      <c r="V9" s="186"/>
    </row>
    <row r="10" spans="1:22" s="78" customFormat="1" outlineLevel="2">
      <c r="A10" s="134" t="s">
        <v>20</v>
      </c>
      <c r="B10" s="94">
        <v>0</v>
      </c>
      <c r="C10" s="94">
        <f t="shared" si="3"/>
        <v>0</v>
      </c>
      <c r="D10" s="95">
        <f t="shared" si="1"/>
        <v>0</v>
      </c>
      <c r="E10" s="69">
        <f t="shared" si="2"/>
        <v>0</v>
      </c>
      <c r="F10" s="69">
        <f t="shared" si="2"/>
        <v>0</v>
      </c>
      <c r="G10" s="70"/>
      <c r="H10" s="188"/>
      <c r="I10" s="189"/>
      <c r="J10" s="190"/>
      <c r="K10" s="191"/>
      <c r="L10" s="192"/>
      <c r="M10" s="193"/>
      <c r="N10" s="191"/>
      <c r="O10" s="192"/>
      <c r="P10" s="193"/>
      <c r="Q10" s="194"/>
      <c r="R10" s="192"/>
      <c r="S10" s="193"/>
      <c r="T10" s="194"/>
      <c r="U10" s="192"/>
      <c r="V10" s="193"/>
    </row>
    <row r="11" spans="1:22" s="78" customFormat="1" outlineLevel="2">
      <c r="A11" s="134" t="s">
        <v>21</v>
      </c>
      <c r="B11" s="94">
        <v>0</v>
      </c>
      <c r="C11" s="94">
        <f t="shared" si="3"/>
        <v>0</v>
      </c>
      <c r="D11" s="95">
        <f t="shared" si="1"/>
        <v>0</v>
      </c>
      <c r="E11" s="69">
        <f t="shared" si="2"/>
        <v>0</v>
      </c>
      <c r="F11" s="69">
        <f t="shared" si="2"/>
        <v>0</v>
      </c>
      <c r="G11" s="70"/>
      <c r="H11" s="188"/>
      <c r="I11" s="189"/>
      <c r="J11" s="190"/>
      <c r="K11" s="191"/>
      <c r="L11" s="192"/>
      <c r="M11" s="193"/>
      <c r="N11" s="191"/>
      <c r="O11" s="192"/>
      <c r="P11" s="193"/>
      <c r="Q11" s="194"/>
      <c r="R11" s="192"/>
      <c r="S11" s="193"/>
      <c r="T11" s="194"/>
      <c r="U11" s="192"/>
      <c r="V11" s="193"/>
    </row>
    <row r="12" spans="1:22">
      <c r="A12" s="58" t="s">
        <v>22</v>
      </c>
      <c r="B12" s="96">
        <f>SUM(B13:B20)</f>
        <v>170000</v>
      </c>
      <c r="C12" s="96">
        <f t="shared" ref="C12:D12" si="4">SUM(C13:C20)</f>
        <v>75476</v>
      </c>
      <c r="D12" s="96">
        <f t="shared" si="4"/>
        <v>-94524</v>
      </c>
      <c r="E12" s="54">
        <f>SUM(E13:E20)</f>
        <v>0</v>
      </c>
      <c r="F12" s="54">
        <f>SUM(F13:F20)</f>
        <v>0</v>
      </c>
      <c r="G12" s="37"/>
      <c r="H12" s="53">
        <f t="shared" ref="H12" si="5">SUM(H13:H20)</f>
        <v>0</v>
      </c>
      <c r="I12" s="54">
        <f>SUM(I13:I20)</f>
        <v>0</v>
      </c>
      <c r="J12" s="54">
        <f>SUM(J13:J20)</f>
        <v>0</v>
      </c>
      <c r="K12" s="53">
        <f t="shared" ref="K12" si="6">SUM(K13:K20)</f>
        <v>0</v>
      </c>
      <c r="L12" s="54">
        <f>SUM(L13:L20)</f>
        <v>0</v>
      </c>
      <c r="M12" s="54">
        <f>SUM(M13:M20)</f>
        <v>0</v>
      </c>
      <c r="N12" s="53">
        <f t="shared" ref="N12" si="7">SUM(N13:N20)</f>
        <v>0</v>
      </c>
      <c r="O12" s="54">
        <f>SUM(O13:O20)</f>
        <v>0</v>
      </c>
      <c r="P12" s="54">
        <f>SUM(P13:P20)</f>
        <v>0</v>
      </c>
      <c r="Q12" s="53">
        <f t="shared" ref="Q12" si="8">SUM(Q13:Q20)</f>
        <v>0</v>
      </c>
      <c r="R12" s="54">
        <f>SUM(R13:R20)</f>
        <v>0</v>
      </c>
      <c r="S12" s="54">
        <f>SUM(S13:S20)</f>
        <v>0</v>
      </c>
      <c r="T12" s="53">
        <f t="shared" ref="T12" si="9">SUM(T13:T20)</f>
        <v>0</v>
      </c>
      <c r="U12" s="54">
        <f>SUM(U13:U20)</f>
        <v>0</v>
      </c>
      <c r="V12" s="54">
        <f>SUM(V13:V20)</f>
        <v>0</v>
      </c>
    </row>
    <row r="13" spans="1:22" outlineLevel="2">
      <c r="A13" s="133" t="s">
        <v>23</v>
      </c>
      <c r="B13" s="97">
        <f>200000*0.85</f>
        <v>170000</v>
      </c>
      <c r="C13" s="92">
        <v>75476</v>
      </c>
      <c r="D13" s="93">
        <f t="shared" ref="D13:D20" si="10">+C13-B13</f>
        <v>-94524</v>
      </c>
      <c r="E13" s="18">
        <f t="shared" ref="E13:F20" si="11">+I13+L13+O13+R13+U13</f>
        <v>0</v>
      </c>
      <c r="F13" s="18">
        <f t="shared" si="11"/>
        <v>0</v>
      </c>
      <c r="G13" s="37"/>
      <c r="H13" s="181"/>
      <c r="I13" s="182"/>
      <c r="J13" s="183"/>
      <c r="K13" s="184"/>
      <c r="L13" s="185"/>
      <c r="M13" s="186"/>
      <c r="N13" s="184"/>
      <c r="O13" s="185"/>
      <c r="P13" s="186"/>
      <c r="Q13" s="187"/>
      <c r="R13" s="185"/>
      <c r="S13" s="186"/>
      <c r="T13" s="187"/>
      <c r="U13" s="185"/>
      <c r="V13" s="186"/>
    </row>
    <row r="14" spans="1:22" s="78" customFormat="1" outlineLevel="2">
      <c r="A14" s="134" t="s">
        <v>24</v>
      </c>
      <c r="B14" s="94">
        <v>0</v>
      </c>
      <c r="C14" s="94">
        <f t="shared" si="3"/>
        <v>0</v>
      </c>
      <c r="D14" s="95">
        <f t="shared" si="10"/>
        <v>0</v>
      </c>
      <c r="E14" s="69">
        <f t="shared" si="11"/>
        <v>0</v>
      </c>
      <c r="F14" s="69">
        <f t="shared" si="11"/>
        <v>0</v>
      </c>
      <c r="G14" s="70"/>
      <c r="H14" s="188"/>
      <c r="I14" s="189"/>
      <c r="J14" s="190"/>
      <c r="K14" s="191"/>
      <c r="L14" s="192"/>
      <c r="M14" s="193"/>
      <c r="N14" s="191"/>
      <c r="O14" s="192"/>
      <c r="P14" s="193"/>
      <c r="Q14" s="194"/>
      <c r="R14" s="192"/>
      <c r="S14" s="193"/>
      <c r="T14" s="194"/>
      <c r="U14" s="192"/>
      <c r="V14" s="193"/>
    </row>
    <row r="15" spans="1:22" s="78" customFormat="1" outlineLevel="2">
      <c r="A15" s="134" t="s">
        <v>25</v>
      </c>
      <c r="B15" s="94">
        <v>0</v>
      </c>
      <c r="C15" s="94">
        <f t="shared" si="3"/>
        <v>0</v>
      </c>
      <c r="D15" s="95">
        <f t="shared" si="10"/>
        <v>0</v>
      </c>
      <c r="E15" s="69">
        <f t="shared" si="11"/>
        <v>0</v>
      </c>
      <c r="F15" s="69">
        <f t="shared" si="11"/>
        <v>0</v>
      </c>
      <c r="G15" s="70"/>
      <c r="H15" s="188"/>
      <c r="I15" s="189"/>
      <c r="J15" s="190"/>
      <c r="K15" s="191"/>
      <c r="L15" s="192"/>
      <c r="M15" s="193"/>
      <c r="N15" s="191"/>
      <c r="O15" s="192"/>
      <c r="P15" s="193"/>
      <c r="Q15" s="194"/>
      <c r="R15" s="192"/>
      <c r="S15" s="193"/>
      <c r="T15" s="194"/>
      <c r="U15" s="192"/>
      <c r="V15" s="193"/>
    </row>
    <row r="16" spans="1:22" s="78" customFormat="1" outlineLevel="2">
      <c r="A16" s="134" t="s">
        <v>26</v>
      </c>
      <c r="B16" s="94">
        <v>0</v>
      </c>
      <c r="C16" s="94">
        <f t="shared" si="3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2" s="78" customFormat="1" outlineLevel="2">
      <c r="A17" s="134" t="s">
        <v>27</v>
      </c>
      <c r="B17" s="94">
        <v>0</v>
      </c>
      <c r="C17" s="94">
        <f t="shared" si="3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2" s="78" customFormat="1" outlineLevel="2">
      <c r="A18" s="134" t="s">
        <v>28</v>
      </c>
      <c r="B18" s="94">
        <v>0</v>
      </c>
      <c r="C18" s="94">
        <f t="shared" si="3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2" s="78" customFormat="1" outlineLevel="2">
      <c r="A19" s="134" t="s">
        <v>20</v>
      </c>
      <c r="B19" s="94">
        <v>0</v>
      </c>
      <c r="C19" s="94">
        <f t="shared" si="3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2" s="78" customFormat="1" outlineLevel="2">
      <c r="A20" s="134" t="s">
        <v>21</v>
      </c>
      <c r="B20" s="94">
        <v>0</v>
      </c>
      <c r="C20" s="94">
        <f t="shared" si="3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2">
      <c r="A21" s="57" t="s">
        <v>29</v>
      </c>
      <c r="B21" s="98">
        <f>SUM(B22:B29)</f>
        <v>170000</v>
      </c>
      <c r="C21" s="98">
        <f>SUM(C22:C29)</f>
        <v>99147</v>
      </c>
      <c r="D21" s="98">
        <f>SUM(D22:D29)</f>
        <v>-70853</v>
      </c>
      <c r="E21" s="56">
        <f>SUM(E22:E29)</f>
        <v>0</v>
      </c>
      <c r="F21" s="56">
        <f>SUM(F22:F29)</f>
        <v>0</v>
      </c>
      <c r="G21" s="37"/>
      <c r="H21" s="55">
        <f t="shared" ref="H21:V21" si="12">SUM(H22:H29)</f>
        <v>0</v>
      </c>
      <c r="I21" s="56">
        <f t="shared" si="12"/>
        <v>0</v>
      </c>
      <c r="J21" s="56">
        <f t="shared" si="12"/>
        <v>0</v>
      </c>
      <c r="K21" s="55">
        <f t="shared" si="12"/>
        <v>0</v>
      </c>
      <c r="L21" s="56">
        <f t="shared" si="12"/>
        <v>0</v>
      </c>
      <c r="M21" s="56">
        <f t="shared" si="12"/>
        <v>0</v>
      </c>
      <c r="N21" s="55">
        <f t="shared" si="12"/>
        <v>0</v>
      </c>
      <c r="O21" s="56">
        <f t="shared" si="12"/>
        <v>0</v>
      </c>
      <c r="P21" s="56">
        <f t="shared" si="12"/>
        <v>0</v>
      </c>
      <c r="Q21" s="55">
        <f t="shared" si="12"/>
        <v>0</v>
      </c>
      <c r="R21" s="56">
        <f t="shared" si="12"/>
        <v>0</v>
      </c>
      <c r="S21" s="56">
        <f t="shared" si="12"/>
        <v>0</v>
      </c>
      <c r="T21" s="55">
        <f t="shared" si="12"/>
        <v>0</v>
      </c>
      <c r="U21" s="56">
        <f t="shared" si="12"/>
        <v>0</v>
      </c>
      <c r="V21" s="56">
        <f t="shared" si="12"/>
        <v>0</v>
      </c>
    </row>
    <row r="22" spans="1:22" outlineLevel="2">
      <c r="A22" s="132" t="s">
        <v>30</v>
      </c>
      <c r="B22" s="97">
        <f>200000*0.85</f>
        <v>170000</v>
      </c>
      <c r="C22" s="92">
        <v>99147</v>
      </c>
      <c r="D22" s="93">
        <f t="shared" ref="D22:D50" si="13">+C22-B22</f>
        <v>-70853</v>
      </c>
      <c r="E22" s="18">
        <f t="shared" ref="E22:F29" si="14">+I22+L22+O22+R22+U22</f>
        <v>0</v>
      </c>
      <c r="F22" s="18">
        <f t="shared" si="14"/>
        <v>0</v>
      </c>
      <c r="G22" s="37"/>
      <c r="H22" s="181"/>
      <c r="I22" s="182"/>
      <c r="J22" s="183"/>
      <c r="K22" s="184"/>
      <c r="L22" s="185"/>
      <c r="M22" s="186"/>
      <c r="N22" s="184"/>
      <c r="O22" s="185"/>
      <c r="P22" s="186"/>
      <c r="Q22" s="187"/>
      <c r="R22" s="185"/>
      <c r="S22" s="186"/>
      <c r="T22" s="187"/>
      <c r="U22" s="185"/>
      <c r="V22" s="186"/>
    </row>
    <row r="23" spans="1:22" s="78" customFormat="1" outlineLevel="2">
      <c r="A23" s="134" t="s">
        <v>31</v>
      </c>
      <c r="B23" s="94">
        <v>0</v>
      </c>
      <c r="C23" s="94">
        <f t="shared" si="3"/>
        <v>0</v>
      </c>
      <c r="D23" s="95">
        <f t="shared" si="13"/>
        <v>0</v>
      </c>
      <c r="E23" s="69">
        <f t="shared" si="14"/>
        <v>0</v>
      </c>
      <c r="F23" s="69">
        <f t="shared" si="14"/>
        <v>0</v>
      </c>
      <c r="G23" s="70"/>
      <c r="H23" s="188"/>
      <c r="I23" s="189"/>
      <c r="J23" s="190"/>
      <c r="K23" s="191"/>
      <c r="L23" s="192"/>
      <c r="M23" s="193"/>
      <c r="N23" s="191"/>
      <c r="O23" s="192"/>
      <c r="P23" s="193"/>
      <c r="Q23" s="194"/>
      <c r="R23" s="192"/>
      <c r="S23" s="193"/>
      <c r="T23" s="194"/>
      <c r="U23" s="192"/>
      <c r="V23" s="193"/>
    </row>
    <row r="24" spans="1:22" s="78" customFormat="1" outlineLevel="2">
      <c r="A24" s="134" t="s">
        <v>32</v>
      </c>
      <c r="B24" s="94">
        <v>0</v>
      </c>
      <c r="C24" s="94">
        <f t="shared" si="3"/>
        <v>0</v>
      </c>
      <c r="D24" s="95">
        <f t="shared" si="13"/>
        <v>0</v>
      </c>
      <c r="E24" s="69">
        <f t="shared" si="14"/>
        <v>0</v>
      </c>
      <c r="F24" s="69">
        <f t="shared" si="14"/>
        <v>0</v>
      </c>
      <c r="G24" s="70"/>
      <c r="H24" s="188"/>
      <c r="I24" s="189"/>
      <c r="J24" s="190"/>
      <c r="K24" s="191"/>
      <c r="L24" s="192"/>
      <c r="M24" s="193"/>
      <c r="N24" s="191"/>
      <c r="O24" s="192"/>
      <c r="P24" s="193"/>
      <c r="Q24" s="194"/>
      <c r="R24" s="192"/>
      <c r="S24" s="193"/>
      <c r="T24" s="194"/>
      <c r="U24" s="192"/>
      <c r="V24" s="193"/>
    </row>
    <row r="25" spans="1:22" s="78" customFormat="1" outlineLevel="2">
      <c r="A25" s="134" t="s">
        <v>33</v>
      </c>
      <c r="B25" s="94">
        <v>0</v>
      </c>
      <c r="C25" s="94">
        <f t="shared" si="3"/>
        <v>0</v>
      </c>
      <c r="D25" s="95">
        <f t="shared" si="13"/>
        <v>0</v>
      </c>
      <c r="E25" s="69">
        <f t="shared" si="14"/>
        <v>0</v>
      </c>
      <c r="F25" s="69">
        <f t="shared" si="14"/>
        <v>0</v>
      </c>
      <c r="G25" s="70"/>
      <c r="H25" s="188"/>
      <c r="I25" s="189"/>
      <c r="J25" s="190"/>
      <c r="K25" s="191"/>
      <c r="L25" s="192"/>
      <c r="M25" s="193"/>
      <c r="N25" s="191"/>
      <c r="O25" s="192"/>
      <c r="P25" s="193"/>
      <c r="Q25" s="194"/>
      <c r="R25" s="192"/>
      <c r="S25" s="193"/>
      <c r="T25" s="194"/>
      <c r="U25" s="192"/>
      <c r="V25" s="193"/>
    </row>
    <row r="26" spans="1:22" s="78" customFormat="1" outlineLevel="2">
      <c r="A26" s="134" t="s">
        <v>27</v>
      </c>
      <c r="B26" s="94">
        <v>0</v>
      </c>
      <c r="C26" s="94">
        <f t="shared" si="3"/>
        <v>0</v>
      </c>
      <c r="D26" s="95">
        <f t="shared" si="13"/>
        <v>0</v>
      </c>
      <c r="E26" s="69">
        <f t="shared" si="14"/>
        <v>0</v>
      </c>
      <c r="F26" s="69">
        <f t="shared" si="14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2" s="78" customFormat="1" outlineLevel="2">
      <c r="A27" s="134" t="s">
        <v>28</v>
      </c>
      <c r="B27" s="94">
        <v>0</v>
      </c>
      <c r="C27" s="94">
        <f t="shared" si="3"/>
        <v>0</v>
      </c>
      <c r="D27" s="95">
        <f t="shared" si="13"/>
        <v>0</v>
      </c>
      <c r="E27" s="69">
        <f t="shared" si="14"/>
        <v>0</v>
      </c>
      <c r="F27" s="69">
        <f t="shared" si="14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2" s="78" customFormat="1" outlineLevel="2">
      <c r="A28" s="134" t="s">
        <v>20</v>
      </c>
      <c r="B28" s="94">
        <v>0</v>
      </c>
      <c r="C28" s="94">
        <f t="shared" si="3"/>
        <v>0</v>
      </c>
      <c r="D28" s="95">
        <f t="shared" si="13"/>
        <v>0</v>
      </c>
      <c r="E28" s="69">
        <f t="shared" si="14"/>
        <v>0</v>
      </c>
      <c r="F28" s="69">
        <f t="shared" si="14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2" s="78" customFormat="1" outlineLevel="2">
      <c r="A29" s="134" t="s">
        <v>21</v>
      </c>
      <c r="B29" s="94">
        <v>0</v>
      </c>
      <c r="C29" s="94">
        <f t="shared" si="3"/>
        <v>0</v>
      </c>
      <c r="D29" s="95">
        <f t="shared" si="13"/>
        <v>0</v>
      </c>
      <c r="E29" s="69">
        <f t="shared" si="14"/>
        <v>0</v>
      </c>
      <c r="F29" s="69">
        <f t="shared" si="14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2">
      <c r="A30" s="50" t="s">
        <v>34</v>
      </c>
      <c r="B30" s="99">
        <f>SUM(B31:B38)</f>
        <v>0</v>
      </c>
      <c r="C30" s="99">
        <f t="shared" ref="C30:D30" si="15">SUM(C31:C38)</f>
        <v>0</v>
      </c>
      <c r="D30" s="99">
        <f t="shared" si="15"/>
        <v>0</v>
      </c>
      <c r="E30" s="52">
        <f>SUM(E31:E38)</f>
        <v>0</v>
      </c>
      <c r="F30" s="52">
        <f>SUM(F31:F38)</f>
        <v>0</v>
      </c>
      <c r="G30" s="37"/>
      <c r="H30" s="51">
        <f t="shared" ref="H30" si="16">SUM(H31:H38)</f>
        <v>0</v>
      </c>
      <c r="I30" s="52">
        <f>SUM(I31:I38)</f>
        <v>0</v>
      </c>
      <c r="J30" s="52">
        <f>SUM(J31:J38)</f>
        <v>0</v>
      </c>
      <c r="K30" s="51">
        <f t="shared" ref="K30" si="17">SUM(K31:K38)</f>
        <v>0</v>
      </c>
      <c r="L30" s="52">
        <f>SUM(L31:L38)</f>
        <v>0</v>
      </c>
      <c r="M30" s="52">
        <f>SUM(M31:M38)</f>
        <v>0</v>
      </c>
      <c r="N30" s="51">
        <f t="shared" ref="N30" si="18">SUM(N31:N38)</f>
        <v>0</v>
      </c>
      <c r="O30" s="52">
        <f>SUM(O31:O38)</f>
        <v>0</v>
      </c>
      <c r="P30" s="52">
        <f>SUM(P31:P38)</f>
        <v>0</v>
      </c>
      <c r="Q30" s="51">
        <f t="shared" ref="Q30" si="19">SUM(Q31:Q38)</f>
        <v>0</v>
      </c>
      <c r="R30" s="52">
        <f>SUM(R31:R38)</f>
        <v>0</v>
      </c>
      <c r="S30" s="52">
        <f>SUM(S31:S38)</f>
        <v>0</v>
      </c>
      <c r="T30" s="51">
        <f t="shared" ref="T30" si="20">SUM(T31:T38)</f>
        <v>0</v>
      </c>
      <c r="U30" s="52">
        <f>SUM(U31:U38)</f>
        <v>0</v>
      </c>
      <c r="V30" s="52">
        <f>SUM(V31:V38)</f>
        <v>0</v>
      </c>
    </row>
    <row r="31" spans="1:22" s="78" customFormat="1" outlineLevel="2">
      <c r="A31" s="134" t="s">
        <v>35</v>
      </c>
      <c r="B31" s="94">
        <v>0</v>
      </c>
      <c r="C31" s="94">
        <f t="shared" si="3"/>
        <v>0</v>
      </c>
      <c r="D31" s="95">
        <f t="shared" si="13"/>
        <v>0</v>
      </c>
      <c r="E31" s="69">
        <f t="shared" ref="E31:F38" si="21">+I31+L31+O31+R31+U31</f>
        <v>0</v>
      </c>
      <c r="F31" s="69">
        <f t="shared" si="21"/>
        <v>0</v>
      </c>
      <c r="G31" s="70"/>
      <c r="H31" s="188"/>
      <c r="I31" s="189"/>
      <c r="J31" s="190"/>
      <c r="K31" s="191"/>
      <c r="L31" s="192"/>
      <c r="M31" s="193"/>
      <c r="N31" s="191"/>
      <c r="O31" s="192"/>
      <c r="P31" s="193"/>
      <c r="Q31" s="194"/>
      <c r="R31" s="192"/>
      <c r="S31" s="193"/>
      <c r="T31" s="194"/>
      <c r="U31" s="192"/>
      <c r="V31" s="193"/>
    </row>
    <row r="32" spans="1:22" s="78" customFormat="1" outlineLevel="2">
      <c r="A32" s="134" t="s">
        <v>36</v>
      </c>
      <c r="B32" s="94">
        <v>0</v>
      </c>
      <c r="C32" s="94">
        <f t="shared" si="3"/>
        <v>0</v>
      </c>
      <c r="D32" s="95">
        <f t="shared" si="13"/>
        <v>0</v>
      </c>
      <c r="E32" s="69">
        <f t="shared" si="21"/>
        <v>0</v>
      </c>
      <c r="F32" s="69">
        <f t="shared" si="21"/>
        <v>0</v>
      </c>
      <c r="G32" s="70"/>
      <c r="H32" s="188"/>
      <c r="I32" s="189"/>
      <c r="J32" s="190"/>
      <c r="K32" s="191"/>
      <c r="L32" s="192"/>
      <c r="M32" s="193"/>
      <c r="N32" s="191"/>
      <c r="O32" s="192"/>
      <c r="P32" s="193"/>
      <c r="Q32" s="194"/>
      <c r="R32" s="192"/>
      <c r="S32" s="193"/>
      <c r="T32" s="194"/>
      <c r="U32" s="192"/>
      <c r="V32" s="193"/>
    </row>
    <row r="33" spans="1:22" s="78" customFormat="1" outlineLevel="2">
      <c r="A33" s="134" t="s">
        <v>25</v>
      </c>
      <c r="B33" s="94">
        <v>0</v>
      </c>
      <c r="C33" s="94">
        <f t="shared" si="3"/>
        <v>0</v>
      </c>
      <c r="D33" s="95">
        <f t="shared" si="13"/>
        <v>0</v>
      </c>
      <c r="E33" s="69">
        <f t="shared" si="21"/>
        <v>0</v>
      </c>
      <c r="F33" s="69">
        <f t="shared" si="21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2" s="78" customFormat="1" outlineLevel="2">
      <c r="A34" s="134" t="s">
        <v>26</v>
      </c>
      <c r="B34" s="94">
        <v>0</v>
      </c>
      <c r="C34" s="94">
        <f t="shared" si="3"/>
        <v>0</v>
      </c>
      <c r="D34" s="95">
        <f t="shared" si="13"/>
        <v>0</v>
      </c>
      <c r="E34" s="69">
        <f t="shared" si="21"/>
        <v>0</v>
      </c>
      <c r="F34" s="69">
        <f t="shared" si="21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2" s="78" customFormat="1" outlineLevel="2">
      <c r="A35" s="134" t="s">
        <v>37</v>
      </c>
      <c r="B35" s="94">
        <v>0</v>
      </c>
      <c r="C35" s="94">
        <f t="shared" si="3"/>
        <v>0</v>
      </c>
      <c r="D35" s="95">
        <f t="shared" si="13"/>
        <v>0</v>
      </c>
      <c r="E35" s="69">
        <f t="shared" si="21"/>
        <v>0</v>
      </c>
      <c r="F35" s="69">
        <f t="shared" si="21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2" s="78" customFormat="1" outlineLevel="2">
      <c r="A36" s="134" t="s">
        <v>28</v>
      </c>
      <c r="B36" s="94">
        <v>0</v>
      </c>
      <c r="C36" s="94">
        <f t="shared" si="3"/>
        <v>0</v>
      </c>
      <c r="D36" s="95">
        <f t="shared" si="13"/>
        <v>0</v>
      </c>
      <c r="E36" s="69">
        <f t="shared" si="21"/>
        <v>0</v>
      </c>
      <c r="F36" s="69">
        <f t="shared" si="21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2" s="78" customFormat="1" outlineLevel="2">
      <c r="A37" s="134" t="s">
        <v>20</v>
      </c>
      <c r="B37" s="94">
        <v>0</v>
      </c>
      <c r="C37" s="94">
        <f t="shared" si="3"/>
        <v>0</v>
      </c>
      <c r="D37" s="95">
        <f t="shared" si="13"/>
        <v>0</v>
      </c>
      <c r="E37" s="69">
        <f t="shared" si="21"/>
        <v>0</v>
      </c>
      <c r="F37" s="69">
        <f t="shared" si="21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2" s="78" customFormat="1" outlineLevel="2">
      <c r="A38" s="134" t="s">
        <v>21</v>
      </c>
      <c r="B38" s="94">
        <v>0</v>
      </c>
      <c r="C38" s="94">
        <f t="shared" si="3"/>
        <v>0</v>
      </c>
      <c r="D38" s="95">
        <f t="shared" si="13"/>
        <v>0</v>
      </c>
      <c r="E38" s="69">
        <f t="shared" si="21"/>
        <v>0</v>
      </c>
      <c r="F38" s="69">
        <f t="shared" si="21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2">
      <c r="A39" s="67" t="s">
        <v>38</v>
      </c>
      <c r="B39" s="100">
        <f>SUM(B40:B41)</f>
        <v>170000</v>
      </c>
      <c r="C39" s="100">
        <f>SUM(C40:C41)</f>
        <v>43249</v>
      </c>
      <c r="D39" s="100">
        <f>SUM(D40:D41)</f>
        <v>-126751</v>
      </c>
      <c r="E39" s="60">
        <f>SUM(E40:E41)</f>
        <v>0</v>
      </c>
      <c r="F39" s="60">
        <f>SUM(F40:F41)</f>
        <v>0</v>
      </c>
      <c r="G39" s="37"/>
      <c r="H39" s="59">
        <f t="shared" ref="H39:V39" si="22">SUM(H40:H41)</f>
        <v>0</v>
      </c>
      <c r="I39" s="60">
        <f t="shared" si="22"/>
        <v>0</v>
      </c>
      <c r="J39" s="60">
        <f t="shared" si="22"/>
        <v>0</v>
      </c>
      <c r="K39" s="59">
        <f t="shared" si="22"/>
        <v>0</v>
      </c>
      <c r="L39" s="60">
        <f t="shared" si="22"/>
        <v>0</v>
      </c>
      <c r="M39" s="60">
        <f t="shared" si="22"/>
        <v>0</v>
      </c>
      <c r="N39" s="59">
        <f t="shared" si="22"/>
        <v>0</v>
      </c>
      <c r="O39" s="60">
        <f t="shared" si="22"/>
        <v>0</v>
      </c>
      <c r="P39" s="60">
        <f t="shared" si="22"/>
        <v>0</v>
      </c>
      <c r="Q39" s="59">
        <f t="shared" si="22"/>
        <v>0</v>
      </c>
      <c r="R39" s="60">
        <f t="shared" si="22"/>
        <v>0</v>
      </c>
      <c r="S39" s="60">
        <f t="shared" si="22"/>
        <v>0</v>
      </c>
      <c r="T39" s="59">
        <f t="shared" si="22"/>
        <v>0</v>
      </c>
      <c r="U39" s="60">
        <f t="shared" si="22"/>
        <v>0</v>
      </c>
      <c r="V39" s="60">
        <f t="shared" si="22"/>
        <v>0</v>
      </c>
    </row>
    <row r="40" spans="1:22" outlineLevel="2">
      <c r="A40" s="133" t="s">
        <v>39</v>
      </c>
      <c r="B40" s="97">
        <f>200000*0.85</f>
        <v>170000</v>
      </c>
      <c r="C40" s="92">
        <v>43249</v>
      </c>
      <c r="D40" s="93">
        <f t="shared" si="13"/>
        <v>-126751</v>
      </c>
      <c r="E40" s="18">
        <f t="shared" ref="E40:F41" si="23">+I40+L40+O40+R40+U40</f>
        <v>0</v>
      </c>
      <c r="F40" s="18">
        <f t="shared" si="23"/>
        <v>0</v>
      </c>
      <c r="G40" s="37"/>
      <c r="H40" s="181"/>
      <c r="I40" s="182"/>
      <c r="J40" s="183"/>
      <c r="K40" s="184"/>
      <c r="L40" s="185"/>
      <c r="M40" s="186"/>
      <c r="N40" s="184"/>
      <c r="O40" s="185"/>
      <c r="P40" s="186"/>
      <c r="Q40" s="187"/>
      <c r="R40" s="185"/>
      <c r="S40" s="186"/>
      <c r="T40" s="187"/>
      <c r="U40" s="185"/>
      <c r="V40" s="186"/>
    </row>
    <row r="41" spans="1:22" s="78" customFormat="1" outlineLevel="2">
      <c r="A41" s="134" t="s">
        <v>36</v>
      </c>
      <c r="B41" s="94">
        <v>0</v>
      </c>
      <c r="C41" s="94">
        <f t="shared" si="3"/>
        <v>0</v>
      </c>
      <c r="D41" s="95">
        <f t="shared" si="13"/>
        <v>0</v>
      </c>
      <c r="E41" s="69">
        <f t="shared" si="23"/>
        <v>0</v>
      </c>
      <c r="F41" s="69">
        <f t="shared" si="23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2">
      <c r="A42" s="47" t="s">
        <v>40</v>
      </c>
      <c r="B42" s="101">
        <f>SUM(B43:B44)</f>
        <v>85000</v>
      </c>
      <c r="C42" s="101">
        <f>SUM(C43:C44)</f>
        <v>52946</v>
      </c>
      <c r="D42" s="101">
        <f>SUM(D43:D44)</f>
        <v>-32054</v>
      </c>
      <c r="E42" s="49">
        <f>SUM(E43:E44)</f>
        <v>0</v>
      </c>
      <c r="F42" s="49">
        <f>SUM(F43:F44)</f>
        <v>0</v>
      </c>
      <c r="G42" s="37"/>
      <c r="H42" s="48">
        <f t="shared" ref="H42:V42" si="24">SUM(H43:H44)</f>
        <v>0</v>
      </c>
      <c r="I42" s="49">
        <f t="shared" si="24"/>
        <v>0</v>
      </c>
      <c r="J42" s="49">
        <f t="shared" si="24"/>
        <v>0</v>
      </c>
      <c r="K42" s="48">
        <f t="shared" si="24"/>
        <v>0</v>
      </c>
      <c r="L42" s="49">
        <f t="shared" si="24"/>
        <v>0</v>
      </c>
      <c r="M42" s="49">
        <f t="shared" si="24"/>
        <v>0</v>
      </c>
      <c r="N42" s="48">
        <f t="shared" si="24"/>
        <v>0</v>
      </c>
      <c r="O42" s="49">
        <f t="shared" si="24"/>
        <v>0</v>
      </c>
      <c r="P42" s="49">
        <f t="shared" si="24"/>
        <v>0</v>
      </c>
      <c r="Q42" s="48">
        <f t="shared" si="24"/>
        <v>0</v>
      </c>
      <c r="R42" s="49">
        <f t="shared" si="24"/>
        <v>0</v>
      </c>
      <c r="S42" s="49">
        <f t="shared" si="24"/>
        <v>0</v>
      </c>
      <c r="T42" s="48">
        <f t="shared" si="24"/>
        <v>0</v>
      </c>
      <c r="U42" s="49">
        <f t="shared" si="24"/>
        <v>0</v>
      </c>
      <c r="V42" s="49">
        <f t="shared" si="24"/>
        <v>0</v>
      </c>
    </row>
    <row r="43" spans="1:22" outlineLevel="2">
      <c r="A43" s="1" t="s">
        <v>41</v>
      </c>
      <c r="B43" s="97">
        <f>200000/2*0.85</f>
        <v>85000</v>
      </c>
      <c r="C43" s="92">
        <v>52946</v>
      </c>
      <c r="D43" s="93">
        <f t="shared" ref="D43:D44" si="25">+C43-B43</f>
        <v>-32054</v>
      </c>
      <c r="E43" s="18">
        <f t="shared" ref="E43:F44" si="26">+I43+L43+O43+R43+U43</f>
        <v>0</v>
      </c>
      <c r="F43" s="18">
        <f t="shared" si="26"/>
        <v>0</v>
      </c>
      <c r="G43" s="37"/>
      <c r="H43" s="181"/>
      <c r="I43" s="182"/>
      <c r="J43" s="183"/>
      <c r="K43" s="184"/>
      <c r="L43" s="185"/>
      <c r="M43" s="186"/>
      <c r="N43" s="184"/>
      <c r="O43" s="185"/>
      <c r="P43" s="186"/>
      <c r="Q43" s="187"/>
      <c r="R43" s="185"/>
      <c r="S43" s="186"/>
      <c r="T43" s="187"/>
      <c r="U43" s="185"/>
      <c r="V43" s="186"/>
    </row>
    <row r="44" spans="1:22" s="78" customFormat="1" outlineLevel="2">
      <c r="A44" s="68" t="s">
        <v>36</v>
      </c>
      <c r="B44" s="94">
        <v>0</v>
      </c>
      <c r="C44" s="94">
        <f t="shared" si="3"/>
        <v>0</v>
      </c>
      <c r="D44" s="95">
        <f t="shared" si="25"/>
        <v>0</v>
      </c>
      <c r="E44" s="69">
        <f t="shared" si="26"/>
        <v>0</v>
      </c>
      <c r="F44" s="69">
        <f t="shared" si="26"/>
        <v>0</v>
      </c>
      <c r="G44" s="70"/>
      <c r="H44" s="188"/>
      <c r="I44" s="189"/>
      <c r="J44" s="190"/>
      <c r="K44" s="191"/>
      <c r="L44" s="192"/>
      <c r="M44" s="193"/>
      <c r="N44" s="191"/>
      <c r="O44" s="192"/>
      <c r="P44" s="193"/>
      <c r="Q44" s="194"/>
      <c r="R44" s="192"/>
      <c r="S44" s="193"/>
      <c r="T44" s="194"/>
      <c r="U44" s="192"/>
      <c r="V44" s="193"/>
    </row>
    <row r="45" spans="1:22">
      <c r="A45" s="198" t="s">
        <v>42</v>
      </c>
      <c r="B45" s="199">
        <f>SUM(B46:B47)</f>
        <v>0</v>
      </c>
      <c r="C45" s="199">
        <f>SUM(C46:C47)</f>
        <v>0</v>
      </c>
      <c r="D45" s="199">
        <f>SUM(D46:D47)</f>
        <v>0</v>
      </c>
      <c r="E45" s="200">
        <f>SUM(E46:E47)</f>
        <v>0</v>
      </c>
      <c r="F45" s="200">
        <f>SUM(F46:F47)</f>
        <v>0</v>
      </c>
      <c r="G45" s="37"/>
      <c r="H45" s="211">
        <f t="shared" ref="H45:V45" si="27">SUM(H46:H47)</f>
        <v>0</v>
      </c>
      <c r="I45" s="200">
        <f t="shared" si="27"/>
        <v>0</v>
      </c>
      <c r="J45" s="200">
        <f t="shared" si="27"/>
        <v>0</v>
      </c>
      <c r="K45" s="211">
        <f t="shared" si="27"/>
        <v>0</v>
      </c>
      <c r="L45" s="200">
        <f t="shared" si="27"/>
        <v>0</v>
      </c>
      <c r="M45" s="200">
        <f t="shared" si="27"/>
        <v>0</v>
      </c>
      <c r="N45" s="211">
        <f t="shared" si="27"/>
        <v>0</v>
      </c>
      <c r="O45" s="200">
        <f t="shared" si="27"/>
        <v>0</v>
      </c>
      <c r="P45" s="200">
        <f t="shared" si="27"/>
        <v>0</v>
      </c>
      <c r="Q45" s="211">
        <f t="shared" si="27"/>
        <v>0</v>
      </c>
      <c r="R45" s="200">
        <f t="shared" si="27"/>
        <v>0</v>
      </c>
      <c r="S45" s="200">
        <f t="shared" si="27"/>
        <v>0</v>
      </c>
      <c r="T45" s="211">
        <f t="shared" si="27"/>
        <v>0</v>
      </c>
      <c r="U45" s="200">
        <f t="shared" si="27"/>
        <v>0</v>
      </c>
      <c r="V45" s="200">
        <f t="shared" si="27"/>
        <v>0</v>
      </c>
    </row>
    <row r="46" spans="1:22" s="78" customFormat="1" outlineLevel="2">
      <c r="A46" s="68" t="s">
        <v>43</v>
      </c>
      <c r="B46" s="94">
        <v>0</v>
      </c>
      <c r="C46" s="94">
        <f t="shared" si="3"/>
        <v>0</v>
      </c>
      <c r="D46" s="95">
        <f t="shared" ref="D46:D47" si="28">+C46-B46</f>
        <v>0</v>
      </c>
      <c r="E46" s="69">
        <f t="shared" ref="E46:F47" si="29">+I46+L46+O46+R46+U46</f>
        <v>0</v>
      </c>
      <c r="F46" s="69">
        <f t="shared" si="29"/>
        <v>0</v>
      </c>
      <c r="G46" s="70"/>
      <c r="H46" s="188"/>
      <c r="I46" s="189"/>
      <c r="J46" s="190"/>
      <c r="K46" s="191"/>
      <c r="L46" s="192"/>
      <c r="M46" s="193"/>
      <c r="N46" s="191"/>
      <c r="O46" s="192"/>
      <c r="P46" s="193"/>
      <c r="Q46" s="194"/>
      <c r="R46" s="192"/>
      <c r="S46" s="193"/>
      <c r="T46" s="194"/>
      <c r="U46" s="192"/>
      <c r="V46" s="193"/>
    </row>
    <row r="47" spans="1:22" s="78" customFormat="1" outlineLevel="2">
      <c r="A47" s="68" t="s">
        <v>36</v>
      </c>
      <c r="B47" s="94">
        <v>0</v>
      </c>
      <c r="C47" s="94">
        <f t="shared" si="3"/>
        <v>0</v>
      </c>
      <c r="D47" s="95">
        <f t="shared" si="28"/>
        <v>0</v>
      </c>
      <c r="E47" s="69">
        <f t="shared" si="29"/>
        <v>0</v>
      </c>
      <c r="F47" s="69">
        <f t="shared" si="29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2">
      <c r="A48" s="198" t="s">
        <v>44</v>
      </c>
      <c r="B48" s="199">
        <f>SUM(B49:B50)</f>
        <v>0</v>
      </c>
      <c r="C48" s="199">
        <f>SUM(C49:C50)</f>
        <v>0</v>
      </c>
      <c r="D48" s="199">
        <f>SUM(D49:D50)</f>
        <v>0</v>
      </c>
      <c r="E48" s="200">
        <f>SUM(E49:E50)</f>
        <v>0</v>
      </c>
      <c r="F48" s="200">
        <f>SUM(F49:F50)</f>
        <v>0</v>
      </c>
      <c r="G48" s="37"/>
      <c r="H48" s="211">
        <f t="shared" ref="H48:V48" si="30">SUM(H49:H50)</f>
        <v>0</v>
      </c>
      <c r="I48" s="200">
        <f t="shared" si="30"/>
        <v>0</v>
      </c>
      <c r="J48" s="200">
        <f t="shared" si="30"/>
        <v>0</v>
      </c>
      <c r="K48" s="211">
        <f t="shared" si="30"/>
        <v>0</v>
      </c>
      <c r="L48" s="200">
        <f t="shared" si="30"/>
        <v>0</v>
      </c>
      <c r="M48" s="200">
        <f t="shared" si="30"/>
        <v>0</v>
      </c>
      <c r="N48" s="211">
        <f t="shared" si="30"/>
        <v>0</v>
      </c>
      <c r="O48" s="200">
        <f t="shared" si="30"/>
        <v>0</v>
      </c>
      <c r="P48" s="200">
        <f t="shared" si="30"/>
        <v>0</v>
      </c>
      <c r="Q48" s="211">
        <f t="shared" si="30"/>
        <v>0</v>
      </c>
      <c r="R48" s="200">
        <f t="shared" si="30"/>
        <v>0</v>
      </c>
      <c r="S48" s="200">
        <f t="shared" si="30"/>
        <v>0</v>
      </c>
      <c r="T48" s="211">
        <f t="shared" si="30"/>
        <v>0</v>
      </c>
      <c r="U48" s="200">
        <f t="shared" si="30"/>
        <v>0</v>
      </c>
      <c r="V48" s="200">
        <f t="shared" si="30"/>
        <v>0</v>
      </c>
    </row>
    <row r="49" spans="1:22" s="78" customFormat="1" outlineLevel="2">
      <c r="A49" s="68" t="s">
        <v>43</v>
      </c>
      <c r="B49" s="94">
        <v>0</v>
      </c>
      <c r="C49" s="94">
        <f t="shared" si="3"/>
        <v>0</v>
      </c>
      <c r="D49" s="95">
        <f t="shared" si="13"/>
        <v>0</v>
      </c>
      <c r="E49" s="69">
        <f t="shared" ref="E49:F50" si="31">+I49+L49+O49+R49+U49</f>
        <v>0</v>
      </c>
      <c r="F49" s="69">
        <f t="shared" si="31"/>
        <v>0</v>
      </c>
      <c r="G49" s="70"/>
      <c r="H49" s="188"/>
      <c r="I49" s="189"/>
      <c r="J49" s="190"/>
      <c r="K49" s="191"/>
      <c r="L49" s="192"/>
      <c r="M49" s="193"/>
      <c r="N49" s="191"/>
      <c r="O49" s="192"/>
      <c r="P49" s="193"/>
      <c r="Q49" s="194"/>
      <c r="R49" s="192"/>
      <c r="S49" s="193"/>
      <c r="T49" s="194"/>
      <c r="U49" s="192"/>
      <c r="V49" s="193"/>
    </row>
    <row r="50" spans="1:22" s="78" customFormat="1" outlineLevel="2">
      <c r="A50" s="68" t="s">
        <v>36</v>
      </c>
      <c r="B50" s="94">
        <v>0</v>
      </c>
      <c r="C50" s="94">
        <f t="shared" si="3"/>
        <v>0</v>
      </c>
      <c r="D50" s="95">
        <f t="shared" si="13"/>
        <v>0</v>
      </c>
      <c r="E50" s="69">
        <f t="shared" si="31"/>
        <v>0</v>
      </c>
      <c r="F50" s="69">
        <f t="shared" si="31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ht="18">
      <c r="A51" s="138" t="s">
        <v>45</v>
      </c>
      <c r="B51" s="102">
        <f>+B48+B39+B30+B21+B12+B3+B45+B42</f>
        <v>1510000</v>
      </c>
      <c r="C51" s="102">
        <f>+C48+C39+C30+C21+C12+C3+C45+C42</f>
        <v>988804</v>
      </c>
      <c r="D51" s="102">
        <f>+D48+D39+D30+D21+D12+D3+D45+D42</f>
        <v>-521196</v>
      </c>
      <c r="E51" s="90">
        <f>+E48+E39+E30+E21+E12+E3+E45+E42</f>
        <v>0</v>
      </c>
      <c r="F51" s="90">
        <f>+F48+F39+F30+F21+F12+F3+F45+F42</f>
        <v>0</v>
      </c>
      <c r="G51" s="38"/>
      <c r="H51" s="196">
        <f t="shared" ref="H51:V51" si="32">+H48+H39+H30+H21+H12+H3+H45+H42</f>
        <v>0</v>
      </c>
      <c r="I51" s="197">
        <f t="shared" si="32"/>
        <v>0</v>
      </c>
      <c r="J51" s="197">
        <f t="shared" si="32"/>
        <v>0</v>
      </c>
      <c r="K51" s="196">
        <f t="shared" si="32"/>
        <v>0</v>
      </c>
      <c r="L51" s="197">
        <f t="shared" si="32"/>
        <v>0</v>
      </c>
      <c r="M51" s="197">
        <f t="shared" si="32"/>
        <v>0</v>
      </c>
      <c r="N51" s="196">
        <f t="shared" si="32"/>
        <v>0</v>
      </c>
      <c r="O51" s="197">
        <f t="shared" si="32"/>
        <v>0</v>
      </c>
      <c r="P51" s="197">
        <f t="shared" si="32"/>
        <v>0</v>
      </c>
      <c r="Q51" s="196">
        <f t="shared" si="32"/>
        <v>0</v>
      </c>
      <c r="R51" s="197">
        <f t="shared" si="32"/>
        <v>0</v>
      </c>
      <c r="S51" s="197">
        <f t="shared" si="32"/>
        <v>0</v>
      </c>
      <c r="T51" s="196">
        <f t="shared" si="32"/>
        <v>0</v>
      </c>
      <c r="U51" s="197">
        <f t="shared" si="32"/>
        <v>0</v>
      </c>
      <c r="V51" s="197">
        <f t="shared" si="32"/>
        <v>0</v>
      </c>
    </row>
    <row r="53" spans="1:22" ht="18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  <c r="J53" s="176"/>
    </row>
    <row r="54" spans="1:22">
      <c r="A54" s="87" t="s">
        <v>47</v>
      </c>
      <c r="B54" s="105">
        <f>+B55+B64+B73+B82+B91+B100+B94+B97</f>
        <v>663300</v>
      </c>
      <c r="C54" s="105">
        <f>+C55+C64+C73+C82+C91+C100+C94+C97</f>
        <v>674154</v>
      </c>
      <c r="D54" s="106">
        <f>+C54-B54</f>
        <v>10854</v>
      </c>
    </row>
    <row r="55" spans="1:22" outlineLevel="1">
      <c r="A55" s="44" t="s">
        <v>48</v>
      </c>
      <c r="B55" s="107">
        <f>SUM(B56:B63)*1.34</f>
        <v>372520</v>
      </c>
      <c r="C55" s="107">
        <f>SUM(C56:C63)*1.34</f>
        <v>379354</v>
      </c>
      <c r="D55" s="108">
        <f>+C55-B55</f>
        <v>6834</v>
      </c>
    </row>
    <row r="56" spans="1:22" outlineLevel="2">
      <c r="A56" s="132" t="s">
        <v>14</v>
      </c>
      <c r="B56" s="93">
        <v>60000</v>
      </c>
      <c r="C56" s="93">
        <v>62550</v>
      </c>
      <c r="D56" s="109">
        <f t="shared" ref="D56:D129" si="33">+C56-B56</f>
        <v>2550</v>
      </c>
      <c r="F56" s="16"/>
      <c r="G56" s="40"/>
    </row>
    <row r="57" spans="1:22" outlineLevel="2">
      <c r="A57" s="133" t="s">
        <v>15</v>
      </c>
      <c r="B57" s="93">
        <v>47000</v>
      </c>
      <c r="C57" s="93">
        <v>49550</v>
      </c>
      <c r="D57" s="109">
        <f t="shared" si="33"/>
        <v>2550</v>
      </c>
      <c r="F57" s="16"/>
      <c r="G57" s="40"/>
    </row>
    <row r="58" spans="1:22" outlineLevel="2">
      <c r="A58" s="133" t="s">
        <v>16</v>
      </c>
      <c r="B58" s="93">
        <v>55000</v>
      </c>
      <c r="C58" s="93">
        <v>55000</v>
      </c>
      <c r="D58" s="109">
        <f t="shared" si="33"/>
        <v>0</v>
      </c>
      <c r="F58" s="16"/>
      <c r="G58" s="40"/>
    </row>
    <row r="59" spans="1:22" s="78" customFormat="1" outlineLevel="2">
      <c r="A59" s="134" t="s">
        <v>17</v>
      </c>
      <c r="B59" s="95">
        <v>0</v>
      </c>
      <c r="C59" s="95">
        <v>0</v>
      </c>
      <c r="D59" s="110">
        <f t="shared" si="33"/>
        <v>0</v>
      </c>
      <c r="E59" s="79"/>
      <c r="F59" s="79"/>
      <c r="G59" s="80"/>
      <c r="H59" s="81"/>
      <c r="I59" s="82"/>
      <c r="J59" s="82"/>
      <c r="K59" s="81"/>
      <c r="L59" s="84"/>
      <c r="M59" s="85"/>
      <c r="N59" s="81"/>
      <c r="O59" s="84"/>
      <c r="P59" s="86"/>
      <c r="Q59" s="81"/>
      <c r="R59" s="84"/>
      <c r="S59" s="86"/>
      <c r="T59" s="81"/>
      <c r="U59" s="84"/>
      <c r="V59" s="86"/>
    </row>
    <row r="60" spans="1:22" outlineLevel="2">
      <c r="A60" s="132" t="s">
        <v>18</v>
      </c>
      <c r="B60" s="93">
        <v>16000</v>
      </c>
      <c r="C60" s="93">
        <v>16000</v>
      </c>
      <c r="D60" s="109">
        <f t="shared" si="33"/>
        <v>0</v>
      </c>
      <c r="F60" s="16"/>
      <c r="G60" s="40"/>
      <c r="J60" s="82"/>
    </row>
    <row r="61" spans="1:22" outlineLevel="2">
      <c r="A61" s="132" t="s">
        <v>49</v>
      </c>
      <c r="B61" s="93">
        <v>85000</v>
      </c>
      <c r="C61" s="93">
        <v>85000</v>
      </c>
      <c r="D61" s="109">
        <f t="shared" si="33"/>
        <v>0</v>
      </c>
      <c r="F61" s="16"/>
      <c r="G61" s="40"/>
      <c r="J61" s="82"/>
    </row>
    <row r="62" spans="1:22" s="175" customFormat="1" outlineLevel="2">
      <c r="A62" s="165" t="s">
        <v>20</v>
      </c>
      <c r="B62" s="166">
        <v>15000</v>
      </c>
      <c r="C62" s="166">
        <v>15000</v>
      </c>
      <c r="D62" s="167">
        <f t="shared" si="33"/>
        <v>0</v>
      </c>
      <c r="E62" s="168"/>
      <c r="F62" s="168"/>
      <c r="G62" s="169"/>
      <c r="H62" s="170"/>
      <c r="I62" s="171"/>
      <c r="J62" s="171"/>
      <c r="K62" s="170"/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64" customFormat="1" outlineLevel="2">
      <c r="A63" s="134" t="s">
        <v>21</v>
      </c>
      <c r="B63" s="155">
        <v>0</v>
      </c>
      <c r="C63" s="155">
        <v>0</v>
      </c>
      <c r="D63" s="156">
        <f t="shared" si="33"/>
        <v>0</v>
      </c>
      <c r="E63" s="157"/>
      <c r="F63" s="157"/>
      <c r="G63" s="158"/>
      <c r="H63" s="159"/>
      <c r="I63" s="160"/>
      <c r="J63" s="160"/>
      <c r="K63" s="159"/>
      <c r="L63" s="161"/>
      <c r="M63" s="162"/>
      <c r="N63" s="159"/>
      <c r="O63" s="161"/>
      <c r="P63" s="163"/>
      <c r="Q63" s="159"/>
      <c r="R63" s="161"/>
      <c r="S63" s="163"/>
      <c r="T63" s="159"/>
      <c r="U63" s="161"/>
      <c r="V63" s="163"/>
    </row>
    <row r="64" spans="1:22" outlineLevel="1">
      <c r="A64" s="58" t="s">
        <v>52</v>
      </c>
      <c r="B64" s="111">
        <f>SUM(B65:B72)*1.34</f>
        <v>73700</v>
      </c>
      <c r="C64" s="111">
        <f>SUM(C65:C72)*1.34</f>
        <v>75710</v>
      </c>
      <c r="D64" s="112">
        <f>+C64-B64</f>
        <v>2010</v>
      </c>
      <c r="F64" s="16"/>
      <c r="G64" s="40"/>
      <c r="J64" s="82"/>
    </row>
    <row r="65" spans="1:22" outlineLevel="2">
      <c r="A65" s="133" t="s">
        <v>23</v>
      </c>
      <c r="B65" s="93">
        <v>55000</v>
      </c>
      <c r="C65" s="93">
        <v>56500</v>
      </c>
      <c r="D65" s="109">
        <f t="shared" si="33"/>
        <v>1500</v>
      </c>
      <c r="F65" s="16"/>
      <c r="G65" s="40"/>
      <c r="J65" s="82"/>
    </row>
    <row r="66" spans="1:22" s="78" customFormat="1" outlineLevel="2">
      <c r="A66" s="134" t="s">
        <v>54</v>
      </c>
      <c r="B66" s="95">
        <v>0</v>
      </c>
      <c r="C66" s="95">
        <v>0</v>
      </c>
      <c r="D66" s="110">
        <f t="shared" si="33"/>
        <v>0</v>
      </c>
      <c r="E66" s="79"/>
      <c r="F66" s="79"/>
      <c r="G66" s="80"/>
      <c r="H66" s="81"/>
      <c r="I66" s="82"/>
      <c r="J66" s="82"/>
      <c r="K66" s="81"/>
      <c r="L66" s="84"/>
      <c r="M66" s="85"/>
      <c r="N66" s="81"/>
      <c r="O66" s="84"/>
      <c r="P66" s="86"/>
      <c r="Q66" s="81"/>
      <c r="R66" s="84"/>
      <c r="S66" s="86"/>
      <c r="T66" s="81"/>
      <c r="U66" s="84"/>
      <c r="V66" s="86"/>
    </row>
    <row r="67" spans="1:22" s="78" customFormat="1" outlineLevel="2">
      <c r="A67" s="134" t="s">
        <v>25</v>
      </c>
      <c r="B67" s="95">
        <v>0</v>
      </c>
      <c r="C67" s="95">
        <v>0</v>
      </c>
      <c r="D67" s="110">
        <f t="shared" si="33"/>
        <v>0</v>
      </c>
      <c r="E67" s="79"/>
      <c r="F67" s="79"/>
      <c r="G67" s="80"/>
      <c r="H67" s="81"/>
      <c r="I67" s="82"/>
      <c r="J67" s="82"/>
      <c r="K67" s="81"/>
      <c r="L67" s="84"/>
      <c r="M67" s="85"/>
      <c r="N67" s="81"/>
      <c r="O67" s="84"/>
      <c r="P67" s="86"/>
      <c r="Q67" s="81"/>
      <c r="R67" s="84"/>
      <c r="S67" s="86"/>
      <c r="T67" s="81"/>
      <c r="U67" s="84"/>
      <c r="V67" s="86"/>
    </row>
    <row r="68" spans="1:22" s="78" customFormat="1" outlineLevel="2">
      <c r="A68" s="134" t="s">
        <v>26</v>
      </c>
      <c r="B68" s="95">
        <v>0</v>
      </c>
      <c r="C68" s="95">
        <v>0</v>
      </c>
      <c r="D68" s="110">
        <f t="shared" si="33"/>
        <v>0</v>
      </c>
      <c r="E68" s="79"/>
      <c r="F68" s="79"/>
      <c r="G68" s="80"/>
      <c r="H68" s="81"/>
      <c r="I68" s="82"/>
      <c r="J68" s="82"/>
      <c r="K68" s="81"/>
      <c r="L68" s="154"/>
      <c r="M68" s="85"/>
      <c r="N68" s="81"/>
      <c r="O68" s="84"/>
      <c r="P68" s="86"/>
      <c r="Q68" s="81"/>
      <c r="R68" s="84"/>
      <c r="S68" s="86"/>
      <c r="T68" s="81"/>
      <c r="U68" s="84"/>
      <c r="V68" s="86"/>
    </row>
    <row r="69" spans="1:22" s="78" customFormat="1" outlineLevel="2">
      <c r="A69" s="134" t="s">
        <v>27</v>
      </c>
      <c r="B69" s="95">
        <v>0</v>
      </c>
      <c r="C69" s="95">
        <v>0</v>
      </c>
      <c r="D69" s="110">
        <f t="shared" si="33"/>
        <v>0</v>
      </c>
      <c r="E69" s="79"/>
      <c r="F69" s="79"/>
      <c r="G69" s="80"/>
      <c r="H69" s="81"/>
      <c r="I69" s="82"/>
      <c r="J69" s="82"/>
      <c r="K69" s="81"/>
      <c r="L69" s="84"/>
      <c r="M69" s="85"/>
      <c r="N69" s="81"/>
      <c r="O69" s="84"/>
      <c r="P69" s="86"/>
      <c r="Q69" s="81"/>
      <c r="R69" s="84"/>
      <c r="S69" s="86"/>
      <c r="T69" s="81"/>
      <c r="U69" s="84"/>
      <c r="V69" s="86"/>
    </row>
    <row r="70" spans="1:22" s="78" customFormat="1" outlineLevel="2">
      <c r="A70" s="134" t="s">
        <v>28</v>
      </c>
      <c r="B70" s="95">
        <v>0</v>
      </c>
      <c r="C70" s="95">
        <v>0</v>
      </c>
      <c r="D70" s="110">
        <f t="shared" si="33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>
      <c r="A71" s="134" t="s">
        <v>20</v>
      </c>
      <c r="B71" s="95">
        <v>0</v>
      </c>
      <c r="C71" s="95">
        <v>0</v>
      </c>
      <c r="D71" s="110">
        <f t="shared" si="33"/>
        <v>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>
      <c r="A72" s="134" t="s">
        <v>21</v>
      </c>
      <c r="B72" s="95">
        <v>0</v>
      </c>
      <c r="C72" s="95">
        <v>0</v>
      </c>
      <c r="D72" s="110">
        <f t="shared" si="33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>
      <c r="A73" s="57" t="s">
        <v>58</v>
      </c>
      <c r="B73" s="113">
        <f>SUM(B74:B81)*1.34</f>
        <v>100500</v>
      </c>
      <c r="C73" s="113">
        <f>SUM(C74:C81)*1.34</f>
        <v>102510</v>
      </c>
      <c r="D73" s="114">
        <f>+C73-B73</f>
        <v>2010</v>
      </c>
      <c r="F73" s="16"/>
      <c r="G73" s="40"/>
      <c r="J73" s="82"/>
    </row>
    <row r="74" spans="1:22" outlineLevel="2">
      <c r="A74" s="133" t="s">
        <v>59</v>
      </c>
      <c r="B74" s="93">
        <v>75000</v>
      </c>
      <c r="C74" s="93">
        <v>76500</v>
      </c>
      <c r="D74" s="109">
        <f t="shared" si="33"/>
        <v>1500</v>
      </c>
      <c r="F74" s="16"/>
      <c r="G74" s="40"/>
      <c r="J74" s="83"/>
    </row>
    <row r="75" spans="1:22" s="78" customFormat="1" outlineLevel="2">
      <c r="A75" s="134" t="s">
        <v>31</v>
      </c>
      <c r="B75" s="95">
        <v>0</v>
      </c>
      <c r="C75" s="95">
        <v>0</v>
      </c>
      <c r="D75" s="110">
        <f t="shared" si="33"/>
        <v>0</v>
      </c>
      <c r="E75" s="79"/>
      <c r="F75" s="79"/>
      <c r="G75" s="80"/>
      <c r="H75" s="81"/>
      <c r="I75" s="82"/>
      <c r="J75" s="83"/>
      <c r="K75" s="81"/>
      <c r="L75" s="84"/>
      <c r="M75" s="85"/>
      <c r="N75" s="81"/>
      <c r="O75" s="84"/>
      <c r="P75" s="86"/>
      <c r="Q75" s="81"/>
      <c r="R75" s="84"/>
      <c r="S75" s="86"/>
      <c r="T75" s="81"/>
      <c r="U75" s="84"/>
      <c r="V75" s="86"/>
    </row>
    <row r="76" spans="1:22" s="78" customFormat="1" outlineLevel="2">
      <c r="A76" s="134" t="s">
        <v>32</v>
      </c>
      <c r="B76" s="95">
        <v>0</v>
      </c>
      <c r="C76" s="95">
        <v>0</v>
      </c>
      <c r="D76" s="110">
        <f t="shared" si="33"/>
        <v>0</v>
      </c>
      <c r="E76" s="79"/>
      <c r="F76" s="79"/>
      <c r="G76" s="80"/>
      <c r="H76" s="81"/>
      <c r="I76" s="82"/>
      <c r="J76" s="83"/>
      <c r="K76" s="81"/>
      <c r="L76" s="84"/>
      <c r="M76" s="85"/>
      <c r="N76" s="81"/>
      <c r="O76" s="84"/>
      <c r="P76" s="86"/>
      <c r="Q76" s="81"/>
      <c r="R76" s="84"/>
      <c r="S76" s="86"/>
      <c r="T76" s="81"/>
      <c r="U76" s="84"/>
      <c r="V76" s="86"/>
    </row>
    <row r="77" spans="1:22" s="78" customFormat="1" outlineLevel="2">
      <c r="A77" s="134" t="s">
        <v>33</v>
      </c>
      <c r="B77" s="95">
        <v>0</v>
      </c>
      <c r="C77" s="95">
        <v>0</v>
      </c>
      <c r="D77" s="110">
        <f t="shared" si="33"/>
        <v>0</v>
      </c>
      <c r="E77" s="79"/>
      <c r="F77" s="79"/>
      <c r="G77" s="80"/>
      <c r="H77" s="81"/>
      <c r="I77" s="82"/>
      <c r="J77" s="83"/>
      <c r="K77" s="81"/>
      <c r="L77" s="84"/>
      <c r="M77" s="85"/>
      <c r="N77" s="81"/>
      <c r="O77" s="84"/>
      <c r="P77" s="86"/>
      <c r="Q77" s="81"/>
      <c r="R77" s="84"/>
      <c r="S77" s="86"/>
      <c r="T77" s="81"/>
      <c r="U77" s="84"/>
      <c r="V77" s="86"/>
    </row>
    <row r="78" spans="1:22" s="78" customFormat="1" outlineLevel="2">
      <c r="A78" s="134" t="s">
        <v>27</v>
      </c>
      <c r="B78" s="95">
        <v>0</v>
      </c>
      <c r="C78" s="95">
        <v>0</v>
      </c>
      <c r="D78" s="110">
        <f t="shared" si="33"/>
        <v>0</v>
      </c>
      <c r="E78" s="79"/>
      <c r="F78" s="79"/>
      <c r="G78" s="80"/>
      <c r="H78" s="81"/>
      <c r="I78" s="82"/>
      <c r="J78" s="83"/>
      <c r="K78" s="81"/>
      <c r="L78" s="84"/>
      <c r="M78" s="85"/>
      <c r="N78" s="81"/>
      <c r="O78" s="84"/>
      <c r="P78" s="86"/>
      <c r="Q78" s="81"/>
      <c r="R78" s="84"/>
      <c r="S78" s="86"/>
      <c r="T78" s="81"/>
      <c r="U78" s="84"/>
      <c r="V78" s="86"/>
    </row>
    <row r="79" spans="1:22" s="78" customFormat="1" outlineLevel="2">
      <c r="A79" s="134" t="s">
        <v>28</v>
      </c>
      <c r="B79" s="95">
        <v>0</v>
      </c>
      <c r="C79" s="95">
        <v>0</v>
      </c>
      <c r="D79" s="110">
        <f t="shared" si="33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>
      <c r="A80" s="134" t="s">
        <v>20</v>
      </c>
      <c r="B80" s="95">
        <v>0</v>
      </c>
      <c r="C80" s="95">
        <v>0</v>
      </c>
      <c r="D80" s="110">
        <f t="shared" si="33"/>
        <v>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>
      <c r="A81" s="134" t="s">
        <v>21</v>
      </c>
      <c r="B81" s="95">
        <v>0</v>
      </c>
      <c r="C81" s="95">
        <v>0</v>
      </c>
      <c r="D81" s="110">
        <f t="shared" si="33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>
      <c r="A82" s="50" t="s">
        <v>60</v>
      </c>
      <c r="B82" s="115">
        <f>SUM(B83:B90)*1.34</f>
        <v>0</v>
      </c>
      <c r="C82" s="115">
        <f>SUM(C83:C90)*1.34</f>
        <v>0</v>
      </c>
      <c r="D82" s="116">
        <f>+C82-B82</f>
        <v>0</v>
      </c>
      <c r="F82" s="16"/>
      <c r="G82" s="40"/>
    </row>
    <row r="83" spans="1:22" s="78" customFormat="1" outlineLevel="2">
      <c r="A83" s="134" t="s">
        <v>61</v>
      </c>
      <c r="B83" s="95">
        <v>0</v>
      </c>
      <c r="C83" s="95">
        <v>0</v>
      </c>
      <c r="D83" s="110">
        <f t="shared" si="33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s="78" customFormat="1" outlineLevel="2">
      <c r="A84" s="134" t="s">
        <v>36</v>
      </c>
      <c r="B84" s="95">
        <v>0</v>
      </c>
      <c r="C84" s="95">
        <v>0</v>
      </c>
      <c r="D84" s="110">
        <f t="shared" si="33"/>
        <v>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>
      <c r="A85" s="134" t="s">
        <v>25</v>
      </c>
      <c r="B85" s="95">
        <v>0</v>
      </c>
      <c r="C85" s="95">
        <v>0</v>
      </c>
      <c r="D85" s="110">
        <f t="shared" si="33"/>
        <v>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>
      <c r="A86" s="134" t="s">
        <v>26</v>
      </c>
      <c r="B86" s="95">
        <v>0</v>
      </c>
      <c r="C86" s="95">
        <v>0</v>
      </c>
      <c r="D86" s="110">
        <f t="shared" si="33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>
      <c r="A87" s="134" t="s">
        <v>37</v>
      </c>
      <c r="B87" s="95">
        <v>0</v>
      </c>
      <c r="C87" s="95">
        <v>0</v>
      </c>
      <c r="D87" s="110">
        <f t="shared" si="33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>
      <c r="A88" s="134" t="s">
        <v>28</v>
      </c>
      <c r="B88" s="95">
        <v>0</v>
      </c>
      <c r="C88" s="95">
        <v>0</v>
      </c>
      <c r="D88" s="110">
        <f t="shared" si="33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>
      <c r="A89" s="134" t="s">
        <v>20</v>
      </c>
      <c r="B89" s="95">
        <v>0</v>
      </c>
      <c r="C89" s="95">
        <v>0</v>
      </c>
      <c r="D89" s="110">
        <f t="shared" si="33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>
      <c r="A90" s="134" t="s">
        <v>21</v>
      </c>
      <c r="B90" s="95">
        <v>0</v>
      </c>
      <c r="C90" s="95">
        <v>0</v>
      </c>
      <c r="D90" s="110">
        <f t="shared" si="33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>
      <c r="A91" s="135" t="s">
        <v>62</v>
      </c>
      <c r="B91" s="117">
        <f>SUM(B92:B93)*1.34</f>
        <v>96480</v>
      </c>
      <c r="C91" s="117">
        <f>SUM(C92:C93)*1.34</f>
        <v>96480</v>
      </c>
      <c r="D91" s="118">
        <f t="shared" si="33"/>
        <v>0</v>
      </c>
      <c r="F91" s="16"/>
      <c r="G91" s="40"/>
    </row>
    <row r="92" spans="1:22" outlineLevel="2">
      <c r="A92" s="133" t="s">
        <v>39</v>
      </c>
      <c r="B92" s="93">
        <v>72000</v>
      </c>
      <c r="C92" s="93">
        <v>72000</v>
      </c>
      <c r="D92" s="119">
        <f t="shared" si="33"/>
        <v>0</v>
      </c>
      <c r="F92" s="16"/>
      <c r="G92" s="40"/>
    </row>
    <row r="93" spans="1:22" s="78" customFormat="1" outlineLevel="2">
      <c r="A93" s="134" t="s">
        <v>36</v>
      </c>
      <c r="B93" s="95">
        <v>0</v>
      </c>
      <c r="C93" s="95">
        <v>0</v>
      </c>
      <c r="D93" s="110">
        <f t="shared" si="33"/>
        <v>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>
      <c r="A94" s="136" t="s">
        <v>63</v>
      </c>
      <c r="B94" s="120">
        <f>SUM(B95:B96)*1.34</f>
        <v>20100</v>
      </c>
      <c r="C94" s="120">
        <f>SUM(C95:C96)*1.34</f>
        <v>20100</v>
      </c>
      <c r="D94" s="121">
        <f t="shared" si="33"/>
        <v>0</v>
      </c>
      <c r="F94" s="16"/>
      <c r="G94" s="40"/>
    </row>
    <row r="95" spans="1:22" outlineLevel="2">
      <c r="A95" s="1" t="s">
        <v>41</v>
      </c>
      <c r="B95" s="93">
        <v>15000</v>
      </c>
      <c r="C95" s="93">
        <v>15000</v>
      </c>
      <c r="D95" s="119">
        <f t="shared" si="33"/>
        <v>0</v>
      </c>
      <c r="F95" s="16"/>
      <c r="G95" s="40"/>
    </row>
    <row r="96" spans="1:22" s="78" customFormat="1" outlineLevel="2">
      <c r="A96" s="68" t="s">
        <v>36</v>
      </c>
      <c r="B96" s="95">
        <v>0</v>
      </c>
      <c r="C96" s="95">
        <v>0</v>
      </c>
      <c r="D96" s="110">
        <f t="shared" si="33"/>
        <v>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>
      <c r="A97" s="202" t="s">
        <v>64</v>
      </c>
      <c r="B97" s="203">
        <f>SUM(B98:B99)*1.34</f>
        <v>0</v>
      </c>
      <c r="C97" s="203">
        <f>SUM(C98:C99)*1.34</f>
        <v>0</v>
      </c>
      <c r="D97" s="204">
        <f t="shared" si="33"/>
        <v>0</v>
      </c>
      <c r="F97" s="16"/>
      <c r="G97" s="40"/>
    </row>
    <row r="98" spans="1:22" s="78" customFormat="1" outlineLevel="2">
      <c r="A98" s="68" t="s">
        <v>43</v>
      </c>
      <c r="B98" s="95">
        <v>0</v>
      </c>
      <c r="C98" s="95">
        <v>0</v>
      </c>
      <c r="D98" s="110">
        <f t="shared" si="33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>
      <c r="A99" s="68" t="s">
        <v>36</v>
      </c>
      <c r="B99" s="95">
        <v>0</v>
      </c>
      <c r="C99" s="95">
        <v>0</v>
      </c>
      <c r="D99" s="110">
        <f t="shared" si="33"/>
        <v>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>
      <c r="A100" s="202" t="s">
        <v>65</v>
      </c>
      <c r="B100" s="203">
        <f>SUM(B101:B102)*1.34</f>
        <v>0</v>
      </c>
      <c r="C100" s="203">
        <f>SUM(C101:C102)*1.34</f>
        <v>0</v>
      </c>
      <c r="D100" s="204">
        <f t="shared" si="33"/>
        <v>0</v>
      </c>
      <c r="F100" s="16"/>
      <c r="G100" s="40"/>
    </row>
    <row r="101" spans="1:22" s="78" customFormat="1" outlineLevel="2">
      <c r="A101" s="68" t="s">
        <v>43</v>
      </c>
      <c r="B101" s="95">
        <v>0</v>
      </c>
      <c r="C101" s="95">
        <v>0</v>
      </c>
      <c r="D101" s="110">
        <f t="shared" si="33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>
      <c r="A102" s="68" t="s">
        <v>36</v>
      </c>
      <c r="B102" s="95">
        <v>0</v>
      </c>
      <c r="C102" s="95">
        <v>0</v>
      </c>
      <c r="D102" s="110">
        <f t="shared" si="33"/>
        <v>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>
      <c r="A103" s="89" t="s">
        <v>66</v>
      </c>
      <c r="B103" s="122">
        <f>SUM(B104:B111)</f>
        <v>226500</v>
      </c>
      <c r="C103" s="122">
        <f>SUM(C104:C111)</f>
        <v>148320.59999999998</v>
      </c>
      <c r="D103" s="123">
        <f>+C103-B103</f>
        <v>-78179.400000000023</v>
      </c>
    </row>
    <row r="104" spans="1:22" outlineLevel="1">
      <c r="A104" s="44" t="s">
        <v>67</v>
      </c>
      <c r="B104" s="141">
        <f>+B3*0.15</f>
        <v>137250</v>
      </c>
      <c r="C104" s="141">
        <f>+C3*0.15</f>
        <v>107697.9</v>
      </c>
      <c r="D104" s="142">
        <f t="shared" si="33"/>
        <v>-29552.100000000006</v>
      </c>
    </row>
    <row r="105" spans="1:22" outlineLevel="1">
      <c r="A105" s="58" t="s">
        <v>68</v>
      </c>
      <c r="B105" s="141">
        <f>+B12*0.15</f>
        <v>25500</v>
      </c>
      <c r="C105" s="141">
        <f>+C12*0.15</f>
        <v>11321.4</v>
      </c>
      <c r="D105" s="142">
        <f t="shared" si="33"/>
        <v>-14178.6</v>
      </c>
    </row>
    <row r="106" spans="1:22" outlineLevel="1">
      <c r="A106" s="57" t="s">
        <v>69</v>
      </c>
      <c r="B106" s="141">
        <f>+B21*0.15</f>
        <v>25500</v>
      </c>
      <c r="C106" s="141">
        <f>+C21*0.15</f>
        <v>14872.05</v>
      </c>
      <c r="D106" s="142">
        <f t="shared" si="33"/>
        <v>-10627.95</v>
      </c>
    </row>
    <row r="107" spans="1:22" outlineLevel="1">
      <c r="A107" s="50" t="s">
        <v>70</v>
      </c>
      <c r="B107" s="141">
        <f>+B30*0.15</f>
        <v>0</v>
      </c>
      <c r="C107" s="141">
        <f>+C30*0.15</f>
        <v>0</v>
      </c>
      <c r="D107" s="142">
        <f t="shared" si="33"/>
        <v>0</v>
      </c>
    </row>
    <row r="108" spans="1:22" outlineLevel="1">
      <c r="A108" s="67" t="s">
        <v>71</v>
      </c>
      <c r="B108" s="141">
        <f>+B39*0.15</f>
        <v>25500</v>
      </c>
      <c r="C108" s="141">
        <f>+C39*0.15</f>
        <v>6487.3499999999995</v>
      </c>
      <c r="D108" s="142">
        <f t="shared" si="33"/>
        <v>-19012.650000000001</v>
      </c>
    </row>
    <row r="109" spans="1:22" outlineLevel="1">
      <c r="A109" s="47" t="s">
        <v>72</v>
      </c>
      <c r="B109" s="141">
        <f>+B42*0.15</f>
        <v>12750</v>
      </c>
      <c r="C109" s="141">
        <f>+C42*0.15</f>
        <v>7941.9</v>
      </c>
      <c r="D109" s="142">
        <f t="shared" si="33"/>
        <v>-4808.1000000000004</v>
      </c>
    </row>
    <row r="110" spans="1:22" outlineLevel="1">
      <c r="A110" s="198" t="s">
        <v>73</v>
      </c>
      <c r="B110" s="141">
        <f>+B45*0.15</f>
        <v>0</v>
      </c>
      <c r="C110" s="141">
        <f>+C45*0.15</f>
        <v>0</v>
      </c>
      <c r="D110" s="142">
        <f t="shared" si="33"/>
        <v>0</v>
      </c>
    </row>
    <row r="111" spans="1:22" outlineLevel="1">
      <c r="A111" s="198" t="s">
        <v>74</v>
      </c>
      <c r="B111" s="141">
        <f>+B48*0.15</f>
        <v>0</v>
      </c>
      <c r="C111" s="141">
        <f>+C48*0.15</f>
        <v>0</v>
      </c>
      <c r="D111" s="142">
        <f t="shared" si="33"/>
        <v>0</v>
      </c>
    </row>
    <row r="112" spans="1:22">
      <c r="A112" s="88" t="s">
        <v>75</v>
      </c>
      <c r="B112" s="124">
        <f>SUM(B113:B120)</f>
        <v>70000</v>
      </c>
      <c r="C112" s="124">
        <f>SUM(C113:C120)</f>
        <v>70000</v>
      </c>
      <c r="D112" s="125">
        <f>+C112-B112</f>
        <v>0</v>
      </c>
    </row>
    <row r="113" spans="1:4" outlineLevel="1">
      <c r="A113" s="44" t="s">
        <v>76</v>
      </c>
      <c r="B113" s="111">
        <v>30000</v>
      </c>
      <c r="C113" s="111">
        <f>+B113</f>
        <v>30000</v>
      </c>
      <c r="D113" s="112">
        <f t="shared" si="33"/>
        <v>0</v>
      </c>
    </row>
    <row r="114" spans="1:4" outlineLevel="1">
      <c r="A114" s="58" t="s">
        <v>77</v>
      </c>
      <c r="B114" s="111">
        <v>20000</v>
      </c>
      <c r="C114" s="111">
        <f>+B114</f>
        <v>20000</v>
      </c>
      <c r="D114" s="112">
        <f t="shared" si="33"/>
        <v>0</v>
      </c>
    </row>
    <row r="115" spans="1:4" outlineLevel="1">
      <c r="A115" s="57" t="s">
        <v>78</v>
      </c>
      <c r="B115" s="111">
        <v>20000</v>
      </c>
      <c r="C115" s="111">
        <f>+B115</f>
        <v>20000</v>
      </c>
      <c r="D115" s="111">
        <f t="shared" si="33"/>
        <v>0</v>
      </c>
    </row>
    <row r="116" spans="1:4" outlineLevel="1">
      <c r="A116" s="50" t="s">
        <v>79</v>
      </c>
      <c r="B116" s="111">
        <v>0</v>
      </c>
      <c r="C116" s="111">
        <f t="shared" ref="C116:C120" si="34">+B116</f>
        <v>0</v>
      </c>
      <c r="D116" s="111">
        <f t="shared" si="33"/>
        <v>0</v>
      </c>
    </row>
    <row r="117" spans="1:4" outlineLevel="1">
      <c r="A117" s="67" t="s">
        <v>80</v>
      </c>
      <c r="B117" s="111">
        <v>0</v>
      </c>
      <c r="C117" s="111">
        <f t="shared" si="34"/>
        <v>0</v>
      </c>
      <c r="D117" s="111">
        <f t="shared" si="33"/>
        <v>0</v>
      </c>
    </row>
    <row r="118" spans="1:4" outlineLevel="1">
      <c r="A118" s="47" t="s">
        <v>81</v>
      </c>
      <c r="B118" s="111">
        <v>0</v>
      </c>
      <c r="C118" s="111">
        <f t="shared" si="34"/>
        <v>0</v>
      </c>
      <c r="D118" s="111">
        <f t="shared" si="33"/>
        <v>0</v>
      </c>
    </row>
    <row r="119" spans="1:4" outlineLevel="1">
      <c r="A119" s="198" t="s">
        <v>82</v>
      </c>
      <c r="B119" s="111">
        <v>0</v>
      </c>
      <c r="C119" s="111">
        <f t="shared" si="34"/>
        <v>0</v>
      </c>
      <c r="D119" s="111">
        <f t="shared" si="33"/>
        <v>0</v>
      </c>
    </row>
    <row r="120" spans="1:4" outlineLevel="1">
      <c r="A120" s="198" t="s">
        <v>83</v>
      </c>
      <c r="B120" s="111">
        <v>0</v>
      </c>
      <c r="C120" s="111">
        <f t="shared" si="34"/>
        <v>0</v>
      </c>
      <c r="D120" s="111">
        <f t="shared" si="33"/>
        <v>0</v>
      </c>
    </row>
    <row r="121" spans="1:4">
      <c r="A121" s="150" t="s">
        <v>84</v>
      </c>
      <c r="B121" s="151">
        <f>SUM(B122:B129)</f>
        <v>151000</v>
      </c>
      <c r="C121" s="151">
        <f t="shared" ref="C121" si="35">SUM(C122:C129)</f>
        <v>98880.400000000009</v>
      </c>
      <c r="D121" s="151">
        <f>+C121-B121</f>
        <v>-52119.599999999991</v>
      </c>
    </row>
    <row r="122" spans="1:4" outlineLevel="1">
      <c r="A122" s="44" t="s">
        <v>85</v>
      </c>
      <c r="B122" s="152">
        <f>+B3/10</f>
        <v>91500</v>
      </c>
      <c r="C122" s="152">
        <f>+C3/10</f>
        <v>71798.600000000006</v>
      </c>
      <c r="D122" s="153">
        <f t="shared" si="33"/>
        <v>-19701.399999999994</v>
      </c>
    </row>
    <row r="123" spans="1:4" outlineLevel="1">
      <c r="A123" s="58" t="s">
        <v>86</v>
      </c>
      <c r="B123" s="152">
        <f>+B12/10</f>
        <v>17000</v>
      </c>
      <c r="C123" s="152">
        <f>+C12/10</f>
        <v>7547.6</v>
      </c>
      <c r="D123" s="153">
        <f t="shared" si="33"/>
        <v>-9452.4</v>
      </c>
    </row>
    <row r="124" spans="1:4" outlineLevel="1">
      <c r="A124" s="57" t="s">
        <v>87</v>
      </c>
      <c r="B124" s="152">
        <f>+B21/10</f>
        <v>17000</v>
      </c>
      <c r="C124" s="152">
        <f>+C21/10</f>
        <v>9914.7000000000007</v>
      </c>
      <c r="D124" s="152">
        <f t="shared" si="33"/>
        <v>-7085.2999999999993</v>
      </c>
    </row>
    <row r="125" spans="1:4" outlineLevel="1">
      <c r="A125" s="50" t="s">
        <v>88</v>
      </c>
      <c r="B125" s="152">
        <f>+B30/10</f>
        <v>0</v>
      </c>
      <c r="C125" s="152">
        <f>+C30/10</f>
        <v>0</v>
      </c>
      <c r="D125" s="152">
        <f t="shared" si="33"/>
        <v>0</v>
      </c>
    </row>
    <row r="126" spans="1:4" outlineLevel="1">
      <c r="A126" s="67" t="s">
        <v>89</v>
      </c>
      <c r="B126" s="152">
        <f>+B39/10</f>
        <v>17000</v>
      </c>
      <c r="C126" s="152">
        <f>+C39/10</f>
        <v>4324.8999999999996</v>
      </c>
      <c r="D126" s="152">
        <f t="shared" si="33"/>
        <v>-12675.1</v>
      </c>
    </row>
    <row r="127" spans="1:4" outlineLevel="1">
      <c r="A127" s="47" t="s">
        <v>90</v>
      </c>
      <c r="B127" s="152">
        <f>+B42/10</f>
        <v>8500</v>
      </c>
      <c r="C127" s="152">
        <f>+C42/10</f>
        <v>5294.6</v>
      </c>
      <c r="D127" s="152">
        <f t="shared" si="33"/>
        <v>-3205.3999999999996</v>
      </c>
    </row>
    <row r="128" spans="1:4" outlineLevel="1">
      <c r="A128" s="198" t="s">
        <v>91</v>
      </c>
      <c r="B128" s="152">
        <f>+B45/10</f>
        <v>0</v>
      </c>
      <c r="C128" s="152">
        <f>+C45/10</f>
        <v>0</v>
      </c>
      <c r="D128" s="152">
        <f t="shared" si="33"/>
        <v>0</v>
      </c>
    </row>
    <row r="129" spans="1:7" outlineLevel="1">
      <c r="A129" s="198" t="s">
        <v>92</v>
      </c>
      <c r="B129" s="152">
        <f>+B48/10</f>
        <v>0</v>
      </c>
      <c r="C129" s="152">
        <f>+C48/10</f>
        <v>0</v>
      </c>
      <c r="D129" s="152">
        <f t="shared" si="33"/>
        <v>0</v>
      </c>
    </row>
    <row r="130" spans="1:7" ht="18">
      <c r="A130" s="139" t="s">
        <v>93</v>
      </c>
      <c r="B130" s="126">
        <f t="shared" ref="B130:D131" si="36">+B112+B103+B54+B121</f>
        <v>1110800</v>
      </c>
      <c r="C130" s="126">
        <f t="shared" si="36"/>
        <v>991355</v>
      </c>
      <c r="D130" s="126">
        <f t="shared" si="36"/>
        <v>-119445.00000000001</v>
      </c>
      <c r="E130" s="15"/>
      <c r="F130" s="10"/>
      <c r="G130" s="41"/>
    </row>
    <row r="131" spans="1:7" outlineLevel="1">
      <c r="A131" s="44" t="s">
        <v>94</v>
      </c>
      <c r="B131" s="140">
        <f t="shared" si="36"/>
        <v>631270</v>
      </c>
      <c r="C131" s="140">
        <f t="shared" si="36"/>
        <v>588850.5</v>
      </c>
      <c r="D131" s="140">
        <f t="shared" si="36"/>
        <v>-42419.5</v>
      </c>
      <c r="E131" s="15"/>
      <c r="F131" s="10"/>
      <c r="G131" s="41"/>
    </row>
    <row r="132" spans="1:7" outlineLevel="1">
      <c r="A132" s="58" t="s">
        <v>95</v>
      </c>
      <c r="B132" s="140">
        <f>+B114+B105+B64+B123</f>
        <v>136200</v>
      </c>
      <c r="C132" s="140">
        <f>+C114+C105+C64+C123</f>
        <v>114579</v>
      </c>
      <c r="D132" s="140">
        <f>+D114+D105+D64+D123</f>
        <v>-21621</v>
      </c>
      <c r="E132" s="15"/>
      <c r="F132" s="10"/>
      <c r="G132" s="41"/>
    </row>
    <row r="133" spans="1:7" outlineLevel="1">
      <c r="A133" s="57" t="s">
        <v>96</v>
      </c>
      <c r="B133" s="140">
        <f>+B115+B106+B73+B124</f>
        <v>163000</v>
      </c>
      <c r="C133" s="140">
        <f>+C115+C106+C73+C124</f>
        <v>147296.75</v>
      </c>
      <c r="D133" s="140">
        <f>+D115+D106+D73+D124</f>
        <v>-15703.25</v>
      </c>
      <c r="E133" s="15"/>
      <c r="F133" s="10"/>
      <c r="G133" s="41"/>
    </row>
    <row r="134" spans="1:7" outlineLevel="1">
      <c r="A134" s="50" t="s">
        <v>97</v>
      </c>
      <c r="B134" s="140">
        <f>+B116+B107+B82+B125</f>
        <v>0</v>
      </c>
      <c r="C134" s="140">
        <f>+C116+C107+C82+C125</f>
        <v>0</v>
      </c>
      <c r="D134" s="140">
        <f>+D116+D107+D82+D125</f>
        <v>0</v>
      </c>
      <c r="E134" s="15"/>
      <c r="F134" s="10"/>
      <c r="G134" s="41"/>
    </row>
    <row r="135" spans="1:7" outlineLevel="1">
      <c r="A135" s="67" t="s">
        <v>98</v>
      </c>
      <c r="B135" s="140">
        <f>+B117+B108+B91+B126</f>
        <v>138980</v>
      </c>
      <c r="C135" s="140">
        <f>+C117+C108+C91+C126</f>
        <v>107292.25</v>
      </c>
      <c r="D135" s="140">
        <f>+D117+D108+D91+D126</f>
        <v>-31687.75</v>
      </c>
      <c r="E135" s="15"/>
      <c r="F135" s="10"/>
      <c r="G135" s="41"/>
    </row>
    <row r="136" spans="1:7" outlineLevel="1">
      <c r="A136" s="47" t="s">
        <v>99</v>
      </c>
      <c r="B136" s="140">
        <f>+B127+B118+B109+B94</f>
        <v>41350</v>
      </c>
      <c r="C136" s="140">
        <f>+C127+C118+C109+C94</f>
        <v>33336.5</v>
      </c>
      <c r="D136" s="140">
        <f>+D119+D110+D99+D128</f>
        <v>0</v>
      </c>
      <c r="E136" s="15"/>
      <c r="F136" s="10"/>
      <c r="G136" s="41"/>
    </row>
    <row r="137" spans="1:7" outlineLevel="1">
      <c r="A137" s="198" t="s">
        <v>100</v>
      </c>
      <c r="B137" s="140">
        <f>+B128+B119+B110+B97</f>
        <v>0</v>
      </c>
      <c r="C137" s="140">
        <f>+C128+C119+C110+C97</f>
        <v>0</v>
      </c>
      <c r="D137" s="140">
        <f>+D119+D110+D99+D128</f>
        <v>0</v>
      </c>
      <c r="E137" s="15"/>
      <c r="F137" s="10"/>
      <c r="G137" s="41"/>
    </row>
    <row r="138" spans="1:7" outlineLevel="1">
      <c r="A138" s="198" t="s">
        <v>101</v>
      </c>
      <c r="B138" s="140">
        <f>+B129+B120+B111+B100</f>
        <v>0</v>
      </c>
      <c r="C138" s="140">
        <f>+C129+C120+C111+C100</f>
        <v>0</v>
      </c>
      <c r="D138" s="140">
        <f>+D120+D111+D100+D129</f>
        <v>0</v>
      </c>
      <c r="E138" s="15"/>
      <c r="F138" s="10"/>
      <c r="G138" s="41"/>
    </row>
    <row r="139" spans="1:7">
      <c r="A139" s="7"/>
      <c r="B139" s="127"/>
      <c r="C139" s="127"/>
      <c r="D139" s="128"/>
      <c r="E139" s="15"/>
      <c r="F139" s="10"/>
      <c r="G139" s="41"/>
    </row>
    <row r="140" spans="1:7" ht="15.75">
      <c r="A140" s="177" t="s">
        <v>102</v>
      </c>
      <c r="B140" s="129">
        <f>+B51-B130</f>
        <v>399200</v>
      </c>
      <c r="C140" s="129">
        <f>+C51-C130</f>
        <v>-2551</v>
      </c>
      <c r="D140" s="129">
        <f>+D51-D130</f>
        <v>-401751</v>
      </c>
      <c r="E140" s="19"/>
      <c r="F140" s="20"/>
      <c r="G140" s="42"/>
    </row>
    <row r="141" spans="1:7">
      <c r="A141" s="44" t="s">
        <v>103</v>
      </c>
      <c r="B141" s="178">
        <f>+B3-B131</f>
        <v>283730</v>
      </c>
      <c r="C141" s="178">
        <f>+C3-C131</f>
        <v>129135.5</v>
      </c>
      <c r="D141" s="178">
        <f>+D3-D131</f>
        <v>-154594.5</v>
      </c>
      <c r="E141" s="19"/>
      <c r="F141" s="20"/>
      <c r="G141" s="42"/>
    </row>
    <row r="142" spans="1:7">
      <c r="A142" s="58" t="s">
        <v>104</v>
      </c>
      <c r="B142" s="178">
        <f>+B12-B132</f>
        <v>33800</v>
      </c>
      <c r="C142" s="178">
        <f>+C12-C132</f>
        <v>-39103</v>
      </c>
      <c r="D142" s="178">
        <f>+D12-D132</f>
        <v>-72903</v>
      </c>
      <c r="E142" s="19"/>
      <c r="F142" s="20"/>
      <c r="G142" s="42"/>
    </row>
    <row r="143" spans="1:7">
      <c r="A143" s="57" t="s">
        <v>105</v>
      </c>
      <c r="B143" s="178">
        <f>+B21-B133</f>
        <v>7000</v>
      </c>
      <c r="C143" s="178">
        <f>+C21-C133</f>
        <v>-48149.75</v>
      </c>
      <c r="D143" s="178">
        <f>+D21-D133</f>
        <v>-55149.75</v>
      </c>
      <c r="E143" s="19"/>
      <c r="F143" s="20"/>
      <c r="G143" s="42"/>
    </row>
    <row r="144" spans="1:7">
      <c r="A144" s="50" t="s">
        <v>106</v>
      </c>
      <c r="B144" s="178">
        <f>+B30-B134</f>
        <v>0</v>
      </c>
      <c r="C144" s="178">
        <f>+C30-C134</f>
        <v>0</v>
      </c>
      <c r="D144" s="178">
        <f>+D30-D134</f>
        <v>0</v>
      </c>
      <c r="E144" s="19"/>
      <c r="F144" s="20"/>
      <c r="G144" s="42"/>
    </row>
    <row r="145" spans="1:7">
      <c r="A145" s="61" t="s">
        <v>107</v>
      </c>
      <c r="B145" s="178">
        <f>+B39-B135</f>
        <v>31020</v>
      </c>
      <c r="C145" s="178">
        <f>+C39-C135</f>
        <v>-64043.25</v>
      </c>
      <c r="D145" s="178">
        <f>+D39-D135</f>
        <v>-95063.25</v>
      </c>
      <c r="E145" s="19"/>
      <c r="F145" s="20"/>
      <c r="G145" s="42"/>
    </row>
    <row r="146" spans="1:7">
      <c r="A146" s="62" t="s">
        <v>108</v>
      </c>
      <c r="B146" s="178">
        <f>+B42-B136</f>
        <v>43650</v>
      </c>
      <c r="C146" s="178">
        <f>+C42-C136</f>
        <v>19609.5</v>
      </c>
      <c r="D146" s="178">
        <f>+D47-D137</f>
        <v>0</v>
      </c>
      <c r="E146" s="19"/>
      <c r="F146" s="20"/>
      <c r="G146" s="42"/>
    </row>
    <row r="147" spans="1:7">
      <c r="A147" s="201" t="s">
        <v>109</v>
      </c>
      <c r="B147" s="178">
        <f>+B45-B137</f>
        <v>0</v>
      </c>
      <c r="C147" s="178">
        <f>+C45-C137</f>
        <v>0</v>
      </c>
      <c r="D147" s="178">
        <f>+D47-D137</f>
        <v>0</v>
      </c>
      <c r="E147" s="19"/>
      <c r="F147" s="20"/>
      <c r="G147" s="42"/>
    </row>
    <row r="148" spans="1:7">
      <c r="A148" s="201" t="s">
        <v>110</v>
      </c>
      <c r="B148" s="178">
        <f>+B48-B138</f>
        <v>0</v>
      </c>
      <c r="C148" s="178">
        <f>+C48-C138</f>
        <v>0</v>
      </c>
      <c r="D148" s="178">
        <f>+D48-D138</f>
        <v>0</v>
      </c>
      <c r="E148" s="19"/>
      <c r="F148" s="20"/>
      <c r="G148" s="42"/>
    </row>
    <row r="149" spans="1:7">
      <c r="D149" s="131"/>
      <c r="E149" s="21"/>
      <c r="F149" s="22"/>
      <c r="G149" s="43"/>
    </row>
    <row r="150" spans="1:7">
      <c r="A150" s="179" t="s">
        <v>111</v>
      </c>
      <c r="B150" s="180">
        <f>+B51/B130-1</f>
        <v>0.35938062657544112</v>
      </c>
      <c r="C150" s="180">
        <f>+C51/C130-1</f>
        <v>-2.5732457091556249E-3</v>
      </c>
    </row>
  </sheetData>
  <mergeCells count="5">
    <mergeCell ref="H1:J1"/>
    <mergeCell ref="K1:M1"/>
    <mergeCell ref="N1:P1"/>
    <mergeCell ref="Q1:S1"/>
    <mergeCell ref="T1:V1"/>
  </mergeCells>
  <conditionalFormatting sqref="B141:D148">
    <cfRule type="cellIs" dxfId="29" priority="1" operator="lessThan">
      <formula>0</formula>
    </cfRule>
    <cfRule type="cellIs" dxfId="28" priority="2" operator="greaterThan">
      <formula>0</formula>
    </cfRule>
  </conditionalFormatting>
  <conditionalFormatting sqref="D4:D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{2D660248-30F3-4E7D-AD0D-CB6290D417AD}</x14:id>
        </ext>
      </extLst>
    </cfRule>
  </conditionalFormatting>
  <conditionalFormatting sqref="D13:D2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{2DDAE5A0-B1D7-46E5-A35A-8DBFD6856AB1}</x14:id>
        </ext>
      </extLst>
    </cfRule>
  </conditionalFormatting>
  <conditionalFormatting sqref="D22:D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{73DC7526-D9A1-4C1A-82CC-25891467701F}</x14:id>
        </ext>
      </extLst>
    </cfRule>
  </conditionalFormatting>
  <conditionalFormatting sqref="D31:D3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{96E0DDB0-0D08-4863-BF84-7FE06A15EFC9}</x14:id>
        </ext>
      </extLst>
    </cfRule>
  </conditionalFormatting>
  <conditionalFormatting sqref="D35:D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{75360FC9-A240-46EC-B93B-0DFE0A6B1455}</x14:id>
        </ext>
      </extLst>
    </cfRule>
  </conditionalFormatting>
  <conditionalFormatting sqref="D40:D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{719B487A-65CC-4A31-BE2A-01852BF03132}</x14:id>
        </ext>
      </extLst>
    </cfRule>
  </conditionalFormatting>
  <conditionalFormatting sqref="D43:D4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{182F0D32-74B0-4A9F-B917-DD0329949728}</x14:id>
        </ext>
      </extLst>
    </cfRule>
  </conditionalFormatting>
  <conditionalFormatting sqref="D46:D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{754058C8-3E4D-4177-A670-5650CC46A9E5}</x14:id>
        </ext>
      </extLst>
    </cfRule>
  </conditionalFormatting>
  <conditionalFormatting sqref="D49:D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{64D0F5A6-8212-4F15-896E-1F0D633E93E2}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660248-30F3-4E7D-AD0D-CB6290D41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2DDAE5A0-B1D7-46E5-A35A-8DBFD6856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73DC7526-D9A1-4C1A-82CC-2589146770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96E0DDB0-0D08-4863-BF84-7FE06A15EF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75360FC9-A240-46EC-B93B-0DFE0A6B14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719B487A-65CC-4A31-BE2A-01852BF03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182F0D32-74B0-4A9F-B917-DD03299497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754058C8-3E4D-4177-A670-5650CC46A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64D0F5A6-8212-4F15-896E-1F0D633E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150"/>
  <sheetViews>
    <sheetView zoomScale="90" zoomScaleNormal="90" workbookViewId="0">
      <pane ySplit="2" topLeftCell="A86" activePane="bottomLeft" state="frozen"/>
      <selection pane="bottomLeft"/>
    </sheetView>
  </sheetViews>
  <sheetFormatPr defaultRowHeight="14.25" outlineLevelRow="2"/>
  <cols>
    <col min="1" max="1" width="37.85546875" customWidth="1"/>
    <col min="2" max="4" width="14.85546875" style="130" customWidth="1"/>
    <col min="5" max="5" width="8.7109375" style="16" customWidth="1"/>
    <col min="6" max="6" width="9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  <col min="23" max="23" width="12.5703125" customWidth="1"/>
  </cols>
  <sheetData>
    <row r="1" spans="1:23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3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3" s="23" customFormat="1">
      <c r="A3" s="44" t="s">
        <v>13</v>
      </c>
      <c r="B3" s="91">
        <f>SUM(B4:B11)</f>
        <v>1535000</v>
      </c>
      <c r="C3" s="91">
        <f>SUM(C4:C11)</f>
        <v>1117149.8400000001</v>
      </c>
      <c r="D3" s="91">
        <f>SUM(D4:D11)</f>
        <v>-417850.15999999992</v>
      </c>
      <c r="E3" s="46">
        <f>SUM(E4:E11)</f>
        <v>921</v>
      </c>
      <c r="F3" s="46">
        <f>SUM(F4:F11)</f>
        <v>57.725694444444443</v>
      </c>
      <c r="G3" s="36"/>
      <c r="H3" s="45">
        <f t="shared" ref="H3:V3" si="0">SUM(H4:H11)</f>
        <v>225912.24</v>
      </c>
      <c r="I3" s="46">
        <f t="shared" si="0"/>
        <v>187</v>
      </c>
      <c r="J3" s="46">
        <f t="shared" si="0"/>
        <v>11.319444444444445</v>
      </c>
      <c r="K3" s="45">
        <f t="shared" si="0"/>
        <v>270351</v>
      </c>
      <c r="L3" s="46">
        <f t="shared" si="0"/>
        <v>217</v>
      </c>
      <c r="M3" s="46">
        <f t="shared" si="0"/>
        <v>13.986111111111111</v>
      </c>
      <c r="N3" s="45">
        <f t="shared" si="0"/>
        <v>272258.28000000003</v>
      </c>
      <c r="O3" s="46">
        <f t="shared" si="0"/>
        <v>233</v>
      </c>
      <c r="P3" s="46">
        <f t="shared" si="0"/>
        <v>14.218749999999998</v>
      </c>
      <c r="Q3" s="45">
        <f t="shared" si="0"/>
        <v>274433.40000000002</v>
      </c>
      <c r="R3" s="46">
        <f t="shared" si="0"/>
        <v>224</v>
      </c>
      <c r="S3" s="46">
        <f t="shared" si="0"/>
        <v>14.506944444444445</v>
      </c>
      <c r="T3" s="45">
        <f t="shared" si="0"/>
        <v>74194.92</v>
      </c>
      <c r="U3" s="46">
        <f t="shared" si="0"/>
        <v>60</v>
      </c>
      <c r="V3" s="46">
        <f t="shared" si="0"/>
        <v>3.6944444444444442</v>
      </c>
    </row>
    <row r="4" spans="1:23" outlineLevel="2">
      <c r="A4" s="132" t="s">
        <v>14</v>
      </c>
      <c r="B4" s="92">
        <v>200000</v>
      </c>
      <c r="C4" s="92">
        <f>+H4+K4+N4+Q4+T4</f>
        <v>208010.16000000003</v>
      </c>
      <c r="D4" s="93">
        <f t="shared" ref="D4:D11" si="1">+C4-B4</f>
        <v>8010.1600000000326</v>
      </c>
      <c r="E4" s="18">
        <f>+I4+L4+O4+R4+U4</f>
        <v>215</v>
      </c>
      <c r="F4" s="18">
        <f>+J4+M4+P4+S4+V4</f>
        <v>12.770833333333332</v>
      </c>
      <c r="G4" s="37"/>
      <c r="H4" s="181">
        <v>46651.68</v>
      </c>
      <c r="I4" s="182">
        <v>52</v>
      </c>
      <c r="J4" s="183">
        <v>2.8888888888888888</v>
      </c>
      <c r="K4" s="184">
        <v>43586.64</v>
      </c>
      <c r="L4" s="185">
        <v>42</v>
      </c>
      <c r="M4" s="186">
        <v>2.7083333333333335</v>
      </c>
      <c r="N4" s="184">
        <v>45339.48</v>
      </c>
      <c r="O4" s="185">
        <v>50</v>
      </c>
      <c r="P4" s="186">
        <v>2.8472222222222223</v>
      </c>
      <c r="Q4" s="187">
        <v>59229.36</v>
      </c>
      <c r="R4" s="185">
        <v>56</v>
      </c>
      <c r="S4" s="186">
        <v>3.5416666666666665</v>
      </c>
      <c r="T4" s="187">
        <v>13203</v>
      </c>
      <c r="U4" s="185">
        <v>15</v>
      </c>
      <c r="V4" s="186">
        <v>0.78472222222222221</v>
      </c>
    </row>
    <row r="5" spans="1:23" outlineLevel="2">
      <c r="A5" s="133" t="s">
        <v>15</v>
      </c>
      <c r="B5" s="92">
        <v>200000</v>
      </c>
      <c r="C5" s="92">
        <f t="shared" ref="C5:C50" si="2">+H5+K5+N5+Q5+T5</f>
        <v>150631.91999999998</v>
      </c>
      <c r="D5" s="93">
        <f t="shared" si="1"/>
        <v>-49368.080000000016</v>
      </c>
      <c r="E5" s="18">
        <f t="shared" ref="E5:F11" si="3">+I5+L5+O5+R5+U5</f>
        <v>126</v>
      </c>
      <c r="F5" s="18">
        <f t="shared" si="3"/>
        <v>9.25</v>
      </c>
      <c r="G5" s="37"/>
      <c r="H5" s="181"/>
      <c r="I5" s="182"/>
      <c r="J5" s="183"/>
      <c r="K5" s="184">
        <v>50150.879999999997</v>
      </c>
      <c r="L5" s="185">
        <v>41</v>
      </c>
      <c r="M5" s="186">
        <v>3.0416666666666665</v>
      </c>
      <c r="N5" s="184">
        <v>44215.199999999997</v>
      </c>
      <c r="O5" s="185">
        <v>39</v>
      </c>
      <c r="P5" s="186">
        <v>2.75</v>
      </c>
      <c r="Q5" s="187">
        <v>46954.080000000002</v>
      </c>
      <c r="R5" s="185">
        <v>39</v>
      </c>
      <c r="S5" s="186">
        <v>2.875</v>
      </c>
      <c r="T5" s="187">
        <v>9311.76</v>
      </c>
      <c r="U5" s="185">
        <v>7</v>
      </c>
      <c r="V5" s="186">
        <v>0.58333333333333337</v>
      </c>
    </row>
    <row r="6" spans="1:23" outlineLevel="2">
      <c r="A6" s="133" t="s">
        <v>16</v>
      </c>
      <c r="B6" s="92">
        <v>200000</v>
      </c>
      <c r="C6" s="92">
        <f t="shared" si="2"/>
        <v>187573.32</v>
      </c>
      <c r="D6" s="93">
        <f t="shared" si="1"/>
        <v>-12426.679999999993</v>
      </c>
      <c r="E6" s="18">
        <f t="shared" si="3"/>
        <v>175</v>
      </c>
      <c r="F6" s="18">
        <f t="shared" si="3"/>
        <v>11.642361111111112</v>
      </c>
      <c r="G6" s="37"/>
      <c r="H6" s="181">
        <v>51904.800000000003</v>
      </c>
      <c r="I6" s="182">
        <v>48</v>
      </c>
      <c r="J6" s="183">
        <v>3.1805555555555554</v>
      </c>
      <c r="K6" s="184">
        <v>45433.440000000002</v>
      </c>
      <c r="L6" s="185">
        <v>44</v>
      </c>
      <c r="M6" s="186">
        <v>2.8194444444444446</v>
      </c>
      <c r="N6" s="184">
        <v>44580.24</v>
      </c>
      <c r="O6" s="185">
        <v>44</v>
      </c>
      <c r="P6" s="186">
        <v>2.7743055555555554</v>
      </c>
      <c r="Q6" s="187">
        <v>36343.08</v>
      </c>
      <c r="R6" s="185">
        <v>30</v>
      </c>
      <c r="S6" s="186">
        <v>2.2847222222222223</v>
      </c>
      <c r="T6" s="187">
        <v>9311.76</v>
      </c>
      <c r="U6" s="185">
        <v>9</v>
      </c>
      <c r="V6" s="186">
        <v>0.58333333333333337</v>
      </c>
    </row>
    <row r="7" spans="1:23" s="226" customFormat="1" outlineLevel="2">
      <c r="A7" s="165" t="s">
        <v>113</v>
      </c>
      <c r="B7" s="215">
        <v>170000</v>
      </c>
      <c r="C7" s="215">
        <f t="shared" si="2"/>
        <v>18856.800000000003</v>
      </c>
      <c r="D7" s="216">
        <f t="shared" si="1"/>
        <v>-151143.20000000001</v>
      </c>
      <c r="E7" s="217">
        <f t="shared" si="3"/>
        <v>15</v>
      </c>
      <c r="F7" s="217">
        <f t="shared" si="3"/>
        <v>1.25</v>
      </c>
      <c r="G7" s="218"/>
      <c r="H7" s="219"/>
      <c r="I7" s="220"/>
      <c r="J7" s="221"/>
      <c r="K7" s="222"/>
      <c r="L7" s="223"/>
      <c r="M7" s="224"/>
      <c r="N7" s="222">
        <v>6285.6</v>
      </c>
      <c r="O7" s="223">
        <v>5</v>
      </c>
      <c r="P7" s="224">
        <v>0.41666666666666669</v>
      </c>
      <c r="Q7" s="225">
        <v>12571.2</v>
      </c>
      <c r="R7" s="223">
        <v>10</v>
      </c>
      <c r="S7" s="224">
        <v>0.83333333333333337</v>
      </c>
      <c r="T7" s="225"/>
      <c r="U7" s="223"/>
      <c r="V7" s="224"/>
    </row>
    <row r="8" spans="1:23" outlineLevel="2">
      <c r="A8" s="132" t="s">
        <v>18</v>
      </c>
      <c r="B8" s="92">
        <f>450000*0.2</f>
        <v>90000</v>
      </c>
      <c r="C8" s="92">
        <f t="shared" si="2"/>
        <v>4887</v>
      </c>
      <c r="D8" s="93">
        <f t="shared" si="1"/>
        <v>-85113</v>
      </c>
      <c r="E8" s="18">
        <f t="shared" si="3"/>
        <v>25</v>
      </c>
      <c r="F8" s="18">
        <f t="shared" si="3"/>
        <v>0.1736111111111111</v>
      </c>
      <c r="G8" s="37"/>
      <c r="H8" s="195">
        <v>1368.36</v>
      </c>
      <c r="I8" s="182">
        <v>7</v>
      </c>
      <c r="J8" s="183">
        <v>4.8611111111111112E-2</v>
      </c>
      <c r="K8" s="184">
        <v>1172.8800000000001</v>
      </c>
      <c r="L8" s="185">
        <v>6</v>
      </c>
      <c r="M8" s="186">
        <v>4.1666666666666664E-2</v>
      </c>
      <c r="N8" s="184">
        <v>1172.8800000000001</v>
      </c>
      <c r="O8" s="185">
        <v>6</v>
      </c>
      <c r="P8" s="186">
        <v>4.1666666666666664E-2</v>
      </c>
      <c r="Q8" s="187">
        <v>1172.8800000000001</v>
      </c>
      <c r="R8" s="185">
        <v>6</v>
      </c>
      <c r="S8" s="186">
        <v>4.1666666666666664E-2</v>
      </c>
      <c r="T8" s="187"/>
      <c r="U8" s="185"/>
      <c r="V8" s="186"/>
    </row>
    <row r="9" spans="1:23" outlineLevel="2">
      <c r="A9" s="132" t="s">
        <v>49</v>
      </c>
      <c r="B9" s="92">
        <f>450000*0.5</f>
        <v>225000</v>
      </c>
      <c r="C9" s="92">
        <f t="shared" si="2"/>
        <v>223206.84</v>
      </c>
      <c r="D9" s="93">
        <f t="shared" si="1"/>
        <v>-1793.1600000000035</v>
      </c>
      <c r="E9" s="18">
        <f t="shared" si="3"/>
        <v>184</v>
      </c>
      <c r="F9" s="18">
        <f t="shared" si="3"/>
        <v>9.0694444444444446</v>
      </c>
      <c r="G9" s="37"/>
      <c r="H9" s="195">
        <v>50715.72</v>
      </c>
      <c r="I9" s="182">
        <v>41</v>
      </c>
      <c r="J9" s="183">
        <v>2.0347222222222223</v>
      </c>
      <c r="K9" s="184">
        <v>56906.28</v>
      </c>
      <c r="L9" s="185">
        <v>42</v>
      </c>
      <c r="M9" s="186">
        <v>2.3333333333333335</v>
      </c>
      <c r="N9" s="184">
        <v>53327.16</v>
      </c>
      <c r="O9" s="185">
        <v>44</v>
      </c>
      <c r="P9" s="186">
        <v>2.1597222222222223</v>
      </c>
      <c r="Q9" s="187">
        <v>45610.559999999998</v>
      </c>
      <c r="R9" s="185">
        <v>39</v>
      </c>
      <c r="S9" s="186">
        <v>1.875</v>
      </c>
      <c r="T9" s="187">
        <v>16647.12</v>
      </c>
      <c r="U9" s="185">
        <v>18</v>
      </c>
      <c r="V9" s="186">
        <v>0.66666666666666663</v>
      </c>
    </row>
    <row r="10" spans="1:23" s="226" customFormat="1" outlineLevel="2">
      <c r="A10" s="165" t="s">
        <v>114</v>
      </c>
      <c r="B10" s="92">
        <f>450000</f>
        <v>450000</v>
      </c>
      <c r="C10" s="215">
        <f t="shared" si="2"/>
        <v>323983.80000000005</v>
      </c>
      <c r="D10" s="216">
        <f t="shared" si="1"/>
        <v>-126016.19999999995</v>
      </c>
      <c r="E10" s="217">
        <f t="shared" si="3"/>
        <v>181</v>
      </c>
      <c r="F10" s="217">
        <f t="shared" si="3"/>
        <v>13.569444444444445</v>
      </c>
      <c r="G10" s="218"/>
      <c r="H10" s="219">
        <v>75271.679999999993</v>
      </c>
      <c r="I10" s="220">
        <v>39</v>
      </c>
      <c r="J10" s="221">
        <v>3.1666666666666665</v>
      </c>
      <c r="K10" s="222">
        <v>73100.88</v>
      </c>
      <c r="L10" s="223">
        <v>42</v>
      </c>
      <c r="M10" s="224">
        <v>3.0416666666666665</v>
      </c>
      <c r="N10" s="222">
        <v>77337.72</v>
      </c>
      <c r="O10" s="223">
        <v>45</v>
      </c>
      <c r="P10" s="224">
        <v>3.2291666666666665</v>
      </c>
      <c r="Q10" s="225">
        <v>72552.240000000005</v>
      </c>
      <c r="R10" s="223">
        <v>44</v>
      </c>
      <c r="S10" s="224">
        <v>3.0555555555555554</v>
      </c>
      <c r="T10" s="225">
        <v>25721.279999999999</v>
      </c>
      <c r="U10" s="223">
        <v>11</v>
      </c>
      <c r="V10" s="224">
        <v>1.0763888888888888</v>
      </c>
      <c r="W10" s="294"/>
    </row>
    <row r="11" spans="1:23" s="226" customFormat="1" outlineLevel="2">
      <c r="A11" s="165" t="s">
        <v>115</v>
      </c>
      <c r="B11" s="215">
        <v>0</v>
      </c>
      <c r="C11" s="215">
        <f t="shared" si="2"/>
        <v>0</v>
      </c>
      <c r="D11" s="216">
        <f t="shared" si="1"/>
        <v>0</v>
      </c>
      <c r="E11" s="217">
        <f t="shared" si="3"/>
        <v>0</v>
      </c>
      <c r="F11" s="217">
        <f t="shared" si="3"/>
        <v>0</v>
      </c>
      <c r="G11" s="218"/>
      <c r="H11" s="219"/>
      <c r="I11" s="220"/>
      <c r="J11" s="221"/>
      <c r="K11" s="222"/>
      <c r="L11" s="223"/>
      <c r="M11" s="224"/>
      <c r="N11" s="222"/>
      <c r="O11" s="223"/>
      <c r="P11" s="224"/>
      <c r="Q11" s="225"/>
      <c r="R11" s="223"/>
      <c r="S11" s="224"/>
      <c r="T11" s="225"/>
      <c r="U11" s="223"/>
      <c r="V11" s="224"/>
    </row>
    <row r="12" spans="1:23">
      <c r="A12" s="58" t="s">
        <v>22</v>
      </c>
      <c r="B12" s="96">
        <f>SUM(B13:B20)</f>
        <v>170000</v>
      </c>
      <c r="C12" s="96">
        <f t="shared" ref="C12:D12" si="4">SUM(C13:C20)</f>
        <v>106181.04000000001</v>
      </c>
      <c r="D12" s="96">
        <f t="shared" si="4"/>
        <v>-63818.959999999992</v>
      </c>
      <c r="E12" s="54">
        <f>SUM(E13:E20)</f>
        <v>153</v>
      </c>
      <c r="F12" s="54">
        <f>SUM(F13:F20)</f>
        <v>7.7569444444444446</v>
      </c>
      <c r="G12" s="37"/>
      <c r="H12" s="53">
        <f t="shared" ref="H12" si="5">SUM(H13:H20)</f>
        <v>26473.72</v>
      </c>
      <c r="I12" s="54">
        <f>SUM(I13:I20)</f>
        <v>36</v>
      </c>
      <c r="J12" s="54">
        <f>SUM(J13:J20)</f>
        <v>1.9340277777777777</v>
      </c>
      <c r="K12" s="53">
        <f t="shared" ref="K12" si="6">SUM(K13:K20)</f>
        <v>26236.560000000001</v>
      </c>
      <c r="L12" s="54">
        <f>SUM(L13:L20)</f>
        <v>36</v>
      </c>
      <c r="M12" s="54">
        <f>SUM(M13:M20)</f>
        <v>1.9166666666666667</v>
      </c>
      <c r="N12" s="53">
        <f t="shared" ref="N12" si="7">SUM(N13:N20)</f>
        <v>24430.42</v>
      </c>
      <c r="O12" s="54">
        <f>SUM(O13:O20)</f>
        <v>34</v>
      </c>
      <c r="P12" s="54">
        <f>SUM(P13:P20)</f>
        <v>1.7847222222222223</v>
      </c>
      <c r="Q12" s="53">
        <f t="shared" ref="Q12" si="8">SUM(Q13:Q20)</f>
        <v>24572.52</v>
      </c>
      <c r="R12" s="54">
        <f>SUM(R13:R20)</f>
        <v>39</v>
      </c>
      <c r="S12" s="54">
        <f>SUM(S13:S20)</f>
        <v>1.7951388888888888</v>
      </c>
      <c r="T12" s="53">
        <f t="shared" ref="T12" si="9">SUM(T13:T20)</f>
        <v>4467.82</v>
      </c>
      <c r="U12" s="54">
        <f>SUM(U13:U20)</f>
        <v>8</v>
      </c>
      <c r="V12" s="54">
        <f>SUM(V13:V20)</f>
        <v>0.3263888888888889</v>
      </c>
    </row>
    <row r="13" spans="1:23" outlineLevel="2">
      <c r="A13" s="133" t="s">
        <v>23</v>
      </c>
      <c r="B13" s="97">
        <f>200000*0.85</f>
        <v>170000</v>
      </c>
      <c r="C13" s="92">
        <f t="shared" si="2"/>
        <v>106181.04000000001</v>
      </c>
      <c r="D13" s="93">
        <f t="shared" ref="D13:D20" si="10">+C13-B13</f>
        <v>-63818.959999999992</v>
      </c>
      <c r="E13" s="18">
        <f t="shared" ref="E13:F20" si="11">+I13+L13+O13+R13+U13</f>
        <v>153</v>
      </c>
      <c r="F13" s="18">
        <f t="shared" si="11"/>
        <v>7.7569444444444446</v>
      </c>
      <c r="G13" s="37"/>
      <c r="H13" s="181">
        <v>26473.72</v>
      </c>
      <c r="I13" s="182">
        <v>36</v>
      </c>
      <c r="J13" s="183">
        <v>1.9340277777777777</v>
      </c>
      <c r="K13" s="184">
        <v>26236.560000000001</v>
      </c>
      <c r="L13" s="185">
        <v>36</v>
      </c>
      <c r="M13" s="186">
        <v>1.9166666666666667</v>
      </c>
      <c r="N13" s="184">
        <v>24430.42</v>
      </c>
      <c r="O13" s="185">
        <v>34</v>
      </c>
      <c r="P13" s="186">
        <v>1.7847222222222223</v>
      </c>
      <c r="Q13" s="187">
        <v>24572.52</v>
      </c>
      <c r="R13" s="185">
        <v>39</v>
      </c>
      <c r="S13" s="186">
        <v>1.7951388888888888</v>
      </c>
      <c r="T13" s="187">
        <v>4467.82</v>
      </c>
      <c r="U13" s="185">
        <v>8</v>
      </c>
      <c r="V13" s="186">
        <v>0.3263888888888889</v>
      </c>
    </row>
    <row r="14" spans="1:23" s="78" customFormat="1" outlineLevel="2">
      <c r="A14" s="134" t="s">
        <v>116</v>
      </c>
      <c r="B14" s="94">
        <v>0</v>
      </c>
      <c r="C14" s="94">
        <f t="shared" si="2"/>
        <v>0</v>
      </c>
      <c r="D14" s="95">
        <f t="shared" si="10"/>
        <v>0</v>
      </c>
      <c r="E14" s="69">
        <f t="shared" si="11"/>
        <v>0</v>
      </c>
      <c r="F14" s="69">
        <f t="shared" si="11"/>
        <v>0</v>
      </c>
      <c r="G14" s="70"/>
      <c r="H14" s="188"/>
      <c r="I14" s="189"/>
      <c r="J14" s="190"/>
      <c r="K14" s="191"/>
      <c r="L14" s="192"/>
      <c r="M14" s="193"/>
      <c r="N14" s="191"/>
      <c r="O14" s="192"/>
      <c r="P14" s="193"/>
      <c r="Q14" s="194"/>
      <c r="R14" s="192"/>
      <c r="S14" s="193"/>
      <c r="T14" s="194"/>
      <c r="U14" s="192"/>
      <c r="V14" s="193"/>
    </row>
    <row r="15" spans="1:23" s="78" customFormat="1" outlineLevel="2">
      <c r="A15" s="134" t="s">
        <v>25</v>
      </c>
      <c r="B15" s="94">
        <v>0</v>
      </c>
      <c r="C15" s="94">
        <f t="shared" si="2"/>
        <v>0</v>
      </c>
      <c r="D15" s="95">
        <f t="shared" si="10"/>
        <v>0</v>
      </c>
      <c r="E15" s="69">
        <f t="shared" si="11"/>
        <v>0</v>
      </c>
      <c r="F15" s="69">
        <f t="shared" si="11"/>
        <v>0</v>
      </c>
      <c r="G15" s="70"/>
      <c r="H15" s="188"/>
      <c r="I15" s="189"/>
      <c r="J15" s="190"/>
      <c r="K15" s="191"/>
      <c r="L15" s="192"/>
      <c r="M15" s="193"/>
      <c r="N15" s="191"/>
      <c r="O15" s="192"/>
      <c r="P15" s="193"/>
      <c r="Q15" s="194"/>
      <c r="R15" s="192"/>
      <c r="S15" s="193"/>
      <c r="T15" s="194"/>
      <c r="U15" s="192"/>
      <c r="V15" s="193"/>
    </row>
    <row r="16" spans="1:23" s="78" customFormat="1" outlineLevel="2">
      <c r="A16" s="134" t="s">
        <v>26</v>
      </c>
      <c r="B16" s="94">
        <v>0</v>
      </c>
      <c r="C16" s="94">
        <f t="shared" si="2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2" s="78" customFormat="1" outlineLevel="2">
      <c r="A17" s="134" t="s">
        <v>27</v>
      </c>
      <c r="B17" s="94">
        <v>0</v>
      </c>
      <c r="C17" s="94">
        <f t="shared" si="2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2" s="78" customFormat="1" outlineLevel="2">
      <c r="A18" s="134" t="s">
        <v>28</v>
      </c>
      <c r="B18" s="94">
        <v>0</v>
      </c>
      <c r="C18" s="94">
        <f t="shared" si="2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2" s="78" customFormat="1" outlineLevel="2">
      <c r="A19" s="134" t="s">
        <v>20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2" s="78" customFormat="1" outlineLevel="2">
      <c r="A20" s="134" t="s">
        <v>21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2">
      <c r="A21" s="57" t="s">
        <v>29</v>
      </c>
      <c r="B21" s="98">
        <f>SUM(B22:B29)</f>
        <v>170000</v>
      </c>
      <c r="C21" s="98">
        <f>SUM(C22:C29)</f>
        <v>109698.26</v>
      </c>
      <c r="D21" s="98">
        <f>SUM(D22:D29)</f>
        <v>-60301.740000000005</v>
      </c>
      <c r="E21" s="56">
        <f>SUM(E22:E29)</f>
        <v>118</v>
      </c>
      <c r="F21" s="56">
        <f>SUM(F22:F29)</f>
        <v>8.0138888888888875</v>
      </c>
      <c r="G21" s="37"/>
      <c r="H21" s="55">
        <f t="shared" ref="H21:V21" si="12">SUM(H22:H29)</f>
        <v>18916.939999999999</v>
      </c>
      <c r="I21" s="56">
        <f t="shared" si="12"/>
        <v>23</v>
      </c>
      <c r="J21" s="56">
        <f t="shared" si="12"/>
        <v>1.3819444444444444</v>
      </c>
      <c r="K21" s="55">
        <f t="shared" si="12"/>
        <v>28612.080000000002</v>
      </c>
      <c r="L21" s="56">
        <f t="shared" si="12"/>
        <v>27</v>
      </c>
      <c r="M21" s="56">
        <f t="shared" si="12"/>
        <v>2.0902777777777777</v>
      </c>
      <c r="N21" s="55">
        <f t="shared" si="12"/>
        <v>28518</v>
      </c>
      <c r="O21" s="56">
        <f t="shared" si="12"/>
        <v>33</v>
      </c>
      <c r="P21" s="56">
        <f t="shared" si="12"/>
        <v>2.0833333333333335</v>
      </c>
      <c r="Q21" s="55">
        <f t="shared" si="12"/>
        <v>28042.7</v>
      </c>
      <c r="R21" s="56">
        <f t="shared" si="12"/>
        <v>28</v>
      </c>
      <c r="S21" s="56">
        <f t="shared" si="12"/>
        <v>2.0486111111111112</v>
      </c>
      <c r="T21" s="55">
        <f t="shared" si="12"/>
        <v>5608.54</v>
      </c>
      <c r="U21" s="56">
        <f t="shared" si="12"/>
        <v>7</v>
      </c>
      <c r="V21" s="56">
        <f t="shared" si="12"/>
        <v>0.40972222222222221</v>
      </c>
    </row>
    <row r="22" spans="1:22" outlineLevel="2">
      <c r="A22" s="132" t="s">
        <v>30</v>
      </c>
      <c r="B22" s="97">
        <f>200000*0.85</f>
        <v>170000</v>
      </c>
      <c r="C22" s="92">
        <f t="shared" si="2"/>
        <v>109698.26</v>
      </c>
      <c r="D22" s="93">
        <f t="shared" ref="D22:D50" si="13">+C22-B22</f>
        <v>-60301.740000000005</v>
      </c>
      <c r="E22" s="18">
        <f t="shared" ref="E22:F29" si="14">+I22+L22+O22+R22+U22</f>
        <v>118</v>
      </c>
      <c r="F22" s="18">
        <f t="shared" si="14"/>
        <v>8.0138888888888875</v>
      </c>
      <c r="G22" s="37"/>
      <c r="H22" s="181">
        <v>18916.939999999999</v>
      </c>
      <c r="I22" s="182">
        <v>23</v>
      </c>
      <c r="J22" s="183">
        <v>1.3819444444444444</v>
      </c>
      <c r="K22" s="184">
        <v>28612.080000000002</v>
      </c>
      <c r="L22" s="185">
        <v>27</v>
      </c>
      <c r="M22" s="186">
        <v>2.0902777777777777</v>
      </c>
      <c r="N22" s="184">
        <v>28518</v>
      </c>
      <c r="O22" s="185">
        <v>33</v>
      </c>
      <c r="P22" s="186">
        <v>2.0833333333333335</v>
      </c>
      <c r="Q22" s="187">
        <v>28042.7</v>
      </c>
      <c r="R22" s="185">
        <v>28</v>
      </c>
      <c r="S22" s="186">
        <v>2.0486111111111112</v>
      </c>
      <c r="T22" s="187">
        <v>5608.54</v>
      </c>
      <c r="U22" s="185">
        <v>7</v>
      </c>
      <c r="V22" s="186">
        <v>0.40972222222222221</v>
      </c>
    </row>
    <row r="23" spans="1:22" s="78" customFormat="1" outlineLevel="2">
      <c r="A23" s="134" t="s">
        <v>117</v>
      </c>
      <c r="B23" s="94">
        <v>0</v>
      </c>
      <c r="C23" s="94">
        <f t="shared" si="2"/>
        <v>0</v>
      </c>
      <c r="D23" s="95">
        <f t="shared" si="13"/>
        <v>0</v>
      </c>
      <c r="E23" s="69">
        <f t="shared" si="14"/>
        <v>0</v>
      </c>
      <c r="F23" s="69">
        <f t="shared" si="14"/>
        <v>0</v>
      </c>
      <c r="G23" s="70"/>
      <c r="H23" s="188"/>
      <c r="I23" s="189"/>
      <c r="J23" s="190"/>
      <c r="K23" s="191"/>
      <c r="L23" s="192"/>
      <c r="M23" s="193"/>
      <c r="N23" s="191"/>
      <c r="O23" s="192"/>
      <c r="P23" s="193"/>
      <c r="Q23" s="194"/>
      <c r="R23" s="192"/>
      <c r="S23" s="193"/>
      <c r="T23" s="194"/>
      <c r="U23" s="192"/>
      <c r="V23" s="193"/>
    </row>
    <row r="24" spans="1:22" s="78" customFormat="1" outlineLevel="2">
      <c r="A24" s="134" t="s">
        <v>118</v>
      </c>
      <c r="B24" s="94">
        <v>0</v>
      </c>
      <c r="C24" s="94">
        <f t="shared" si="2"/>
        <v>0</v>
      </c>
      <c r="D24" s="95">
        <f t="shared" si="13"/>
        <v>0</v>
      </c>
      <c r="E24" s="69">
        <f t="shared" si="14"/>
        <v>0</v>
      </c>
      <c r="F24" s="69">
        <f t="shared" si="14"/>
        <v>0</v>
      </c>
      <c r="G24" s="70"/>
      <c r="H24" s="188"/>
      <c r="I24" s="189"/>
      <c r="J24" s="190"/>
      <c r="K24" s="191"/>
      <c r="L24" s="192"/>
      <c r="M24" s="193"/>
      <c r="N24" s="191"/>
      <c r="O24" s="192"/>
      <c r="P24" s="193"/>
      <c r="Q24" s="194"/>
      <c r="R24" s="192"/>
      <c r="S24" s="193"/>
      <c r="T24" s="194"/>
      <c r="U24" s="192"/>
      <c r="V24" s="193"/>
    </row>
    <row r="25" spans="1:22" s="78" customFormat="1" outlineLevel="2">
      <c r="A25" s="134" t="s">
        <v>33</v>
      </c>
      <c r="B25" s="94">
        <v>0</v>
      </c>
      <c r="C25" s="94">
        <f t="shared" si="2"/>
        <v>0</v>
      </c>
      <c r="D25" s="95">
        <f t="shared" si="13"/>
        <v>0</v>
      </c>
      <c r="E25" s="69">
        <f t="shared" si="14"/>
        <v>0</v>
      </c>
      <c r="F25" s="69">
        <f t="shared" si="14"/>
        <v>0</v>
      </c>
      <c r="G25" s="70"/>
      <c r="H25" s="188"/>
      <c r="I25" s="189"/>
      <c r="J25" s="190"/>
      <c r="K25" s="191"/>
      <c r="L25" s="192"/>
      <c r="M25" s="193"/>
      <c r="N25" s="191"/>
      <c r="O25" s="192"/>
      <c r="P25" s="193"/>
      <c r="Q25" s="194"/>
      <c r="R25" s="192"/>
      <c r="S25" s="193"/>
      <c r="T25" s="194"/>
      <c r="U25" s="192"/>
      <c r="V25" s="193"/>
    </row>
    <row r="26" spans="1:22" s="78" customFormat="1" outlineLevel="2">
      <c r="A26" s="134" t="s">
        <v>27</v>
      </c>
      <c r="B26" s="94">
        <v>0</v>
      </c>
      <c r="C26" s="94">
        <f t="shared" si="2"/>
        <v>0</v>
      </c>
      <c r="D26" s="95">
        <f t="shared" si="13"/>
        <v>0</v>
      </c>
      <c r="E26" s="69">
        <f t="shared" si="14"/>
        <v>0</v>
      </c>
      <c r="F26" s="69">
        <f t="shared" si="14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2" s="78" customFormat="1" outlineLevel="2">
      <c r="A27" s="134" t="s">
        <v>28</v>
      </c>
      <c r="B27" s="94">
        <v>0</v>
      </c>
      <c r="C27" s="94">
        <f t="shared" si="2"/>
        <v>0</v>
      </c>
      <c r="D27" s="95">
        <f t="shared" si="13"/>
        <v>0</v>
      </c>
      <c r="E27" s="69">
        <f t="shared" si="14"/>
        <v>0</v>
      </c>
      <c r="F27" s="69">
        <f t="shared" si="14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2" s="78" customFormat="1" outlineLevel="2">
      <c r="A28" s="134" t="s">
        <v>20</v>
      </c>
      <c r="B28" s="94">
        <v>0</v>
      </c>
      <c r="C28" s="94">
        <f t="shared" si="2"/>
        <v>0</v>
      </c>
      <c r="D28" s="95">
        <f t="shared" si="13"/>
        <v>0</v>
      </c>
      <c r="E28" s="69">
        <f t="shared" si="14"/>
        <v>0</v>
      </c>
      <c r="F28" s="69">
        <f t="shared" si="14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2" s="78" customFormat="1" outlineLevel="2">
      <c r="A29" s="134" t="s">
        <v>21</v>
      </c>
      <c r="B29" s="94">
        <v>0</v>
      </c>
      <c r="C29" s="94">
        <f t="shared" si="2"/>
        <v>0</v>
      </c>
      <c r="D29" s="95">
        <f t="shared" si="13"/>
        <v>0</v>
      </c>
      <c r="E29" s="69">
        <f t="shared" si="14"/>
        <v>0</v>
      </c>
      <c r="F29" s="69">
        <f t="shared" si="14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2">
      <c r="A30" s="50" t="s">
        <v>34</v>
      </c>
      <c r="B30" s="99">
        <f>SUM(B31:B38)</f>
        <v>34000</v>
      </c>
      <c r="C30" s="99">
        <f t="shared" ref="C30:D30" si="15">SUM(C31:C38)</f>
        <v>21388.5</v>
      </c>
      <c r="D30" s="99">
        <f t="shared" si="15"/>
        <v>-12611.5</v>
      </c>
      <c r="E30" s="52">
        <f>SUM(E31:E38)</f>
        <v>22</v>
      </c>
      <c r="F30" s="52">
        <f>SUM(F31:F38)</f>
        <v>1.75</v>
      </c>
      <c r="G30" s="37"/>
      <c r="H30" s="51">
        <f t="shared" ref="H30" si="16">SUM(H31:H38)</f>
        <v>5275.83</v>
      </c>
      <c r="I30" s="52">
        <f>SUM(I31:I38)</f>
        <v>6</v>
      </c>
      <c r="J30" s="52">
        <f>SUM(J31:J38)</f>
        <v>0.47916666666666669</v>
      </c>
      <c r="K30" s="51">
        <f t="shared" ref="K30" si="17">SUM(K31:K38)</f>
        <v>5133.24</v>
      </c>
      <c r="L30" s="52">
        <f>SUM(L31:L38)</f>
        <v>5</v>
      </c>
      <c r="M30" s="52">
        <f>SUM(M31:M38)</f>
        <v>0.375</v>
      </c>
      <c r="N30" s="51">
        <f t="shared" ref="N30" si="18">SUM(N31:N38)</f>
        <v>2851.8</v>
      </c>
      <c r="O30" s="52">
        <f>SUM(O31:O38)</f>
        <v>3</v>
      </c>
      <c r="P30" s="52">
        <f>SUM(P31:P38)</f>
        <v>0.20833333333333334</v>
      </c>
      <c r="Q30" s="51">
        <f t="shared" ref="Q30" si="19">SUM(Q31:Q38)</f>
        <v>8127.63</v>
      </c>
      <c r="R30" s="52">
        <f>SUM(R31:R38)</f>
        <v>8</v>
      </c>
      <c r="S30" s="52">
        <f>SUM(S31:S38)</f>
        <v>0.6875</v>
      </c>
      <c r="T30" s="51">
        <f t="shared" ref="T30" si="20">SUM(T31:T38)</f>
        <v>0</v>
      </c>
      <c r="U30" s="52">
        <f>SUM(U31:U38)</f>
        <v>0</v>
      </c>
      <c r="V30" s="52">
        <f>SUM(V31:V38)</f>
        <v>0</v>
      </c>
    </row>
    <row r="31" spans="1:22" s="226" customFormat="1" outlineLevel="2">
      <c r="A31" s="165" t="s">
        <v>35</v>
      </c>
      <c r="B31" s="215">
        <f>200000*0.2*0.85</f>
        <v>34000</v>
      </c>
      <c r="C31" s="215">
        <f t="shared" si="2"/>
        <v>21388.5</v>
      </c>
      <c r="D31" s="216">
        <f t="shared" si="13"/>
        <v>-12611.5</v>
      </c>
      <c r="E31" s="217">
        <f t="shared" ref="E31:F38" si="21">+I31+L31+O31+R31+U31</f>
        <v>22</v>
      </c>
      <c r="F31" s="217">
        <f t="shared" si="21"/>
        <v>1.75</v>
      </c>
      <c r="G31" s="218"/>
      <c r="H31" s="219">
        <v>5275.83</v>
      </c>
      <c r="I31" s="220">
        <v>6</v>
      </c>
      <c r="J31" s="221">
        <v>0.47916666666666669</v>
      </c>
      <c r="K31" s="222">
        <v>5133.24</v>
      </c>
      <c r="L31" s="223">
        <v>5</v>
      </c>
      <c r="M31" s="224">
        <v>0.375</v>
      </c>
      <c r="N31" s="222">
        <v>2851.8</v>
      </c>
      <c r="O31" s="223">
        <v>3</v>
      </c>
      <c r="P31" s="224">
        <v>0.20833333333333334</v>
      </c>
      <c r="Q31" s="225">
        <v>8127.63</v>
      </c>
      <c r="R31" s="223">
        <v>8</v>
      </c>
      <c r="S31" s="224">
        <v>0.6875</v>
      </c>
      <c r="T31" s="225"/>
      <c r="U31" s="223"/>
      <c r="V31" s="224"/>
    </row>
    <row r="32" spans="1:22" s="78" customFormat="1" outlineLevel="2">
      <c r="A32" s="134" t="s">
        <v>36</v>
      </c>
      <c r="B32" s="94">
        <v>0</v>
      </c>
      <c r="C32" s="94">
        <f t="shared" si="2"/>
        <v>0</v>
      </c>
      <c r="D32" s="95">
        <f t="shared" si="13"/>
        <v>0</v>
      </c>
      <c r="E32" s="69">
        <f t="shared" si="21"/>
        <v>0</v>
      </c>
      <c r="F32" s="69">
        <f t="shared" si="21"/>
        <v>0</v>
      </c>
      <c r="G32" s="70"/>
      <c r="H32" s="188"/>
      <c r="I32" s="189"/>
      <c r="J32" s="190"/>
      <c r="K32" s="191"/>
      <c r="L32" s="192"/>
      <c r="M32" s="193"/>
      <c r="N32" s="191"/>
      <c r="O32" s="192"/>
      <c r="P32" s="193"/>
      <c r="Q32" s="194"/>
      <c r="R32" s="192"/>
      <c r="S32" s="193"/>
      <c r="T32" s="194"/>
      <c r="U32" s="192"/>
      <c r="V32" s="193"/>
    </row>
    <row r="33" spans="1:22" s="78" customFormat="1" outlineLevel="2">
      <c r="A33" s="134" t="s">
        <v>25</v>
      </c>
      <c r="B33" s="94">
        <v>0</v>
      </c>
      <c r="C33" s="94">
        <f t="shared" si="2"/>
        <v>0</v>
      </c>
      <c r="D33" s="95">
        <f t="shared" si="13"/>
        <v>0</v>
      </c>
      <c r="E33" s="69">
        <f t="shared" si="21"/>
        <v>0</v>
      </c>
      <c r="F33" s="69">
        <f t="shared" si="21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2" s="78" customFormat="1" outlineLevel="2">
      <c r="A34" s="134" t="s">
        <v>26</v>
      </c>
      <c r="B34" s="94">
        <v>0</v>
      </c>
      <c r="C34" s="94">
        <f t="shared" si="2"/>
        <v>0</v>
      </c>
      <c r="D34" s="95">
        <f t="shared" si="13"/>
        <v>0</v>
      </c>
      <c r="E34" s="69">
        <f t="shared" si="21"/>
        <v>0</v>
      </c>
      <c r="F34" s="69">
        <f t="shared" si="21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2" s="78" customFormat="1" outlineLevel="2">
      <c r="A35" s="134" t="s">
        <v>37</v>
      </c>
      <c r="B35" s="94">
        <v>0</v>
      </c>
      <c r="C35" s="94">
        <f t="shared" si="2"/>
        <v>0</v>
      </c>
      <c r="D35" s="95">
        <f t="shared" si="13"/>
        <v>0</v>
      </c>
      <c r="E35" s="69">
        <f t="shared" si="21"/>
        <v>0</v>
      </c>
      <c r="F35" s="69">
        <f t="shared" si="21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2" s="78" customFormat="1" outlineLevel="2">
      <c r="A36" s="134" t="s">
        <v>28</v>
      </c>
      <c r="B36" s="94">
        <v>0</v>
      </c>
      <c r="C36" s="94">
        <f t="shared" si="2"/>
        <v>0</v>
      </c>
      <c r="D36" s="95">
        <f t="shared" si="13"/>
        <v>0</v>
      </c>
      <c r="E36" s="69">
        <f t="shared" si="21"/>
        <v>0</v>
      </c>
      <c r="F36" s="69">
        <f t="shared" si="21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2" s="78" customFormat="1" outlineLevel="2">
      <c r="A37" s="134" t="s">
        <v>20</v>
      </c>
      <c r="B37" s="94">
        <v>0</v>
      </c>
      <c r="C37" s="94">
        <f t="shared" si="2"/>
        <v>0</v>
      </c>
      <c r="D37" s="95">
        <f t="shared" si="13"/>
        <v>0</v>
      </c>
      <c r="E37" s="69">
        <f t="shared" si="21"/>
        <v>0</v>
      </c>
      <c r="F37" s="69">
        <f t="shared" si="21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2" s="78" customFormat="1" outlineLevel="2">
      <c r="A38" s="134" t="s">
        <v>21</v>
      </c>
      <c r="B38" s="94">
        <v>0</v>
      </c>
      <c r="C38" s="94">
        <f t="shared" si="2"/>
        <v>0</v>
      </c>
      <c r="D38" s="95">
        <f t="shared" si="13"/>
        <v>0</v>
      </c>
      <c r="E38" s="69">
        <f t="shared" si="21"/>
        <v>0</v>
      </c>
      <c r="F38" s="69">
        <f t="shared" si="21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2">
      <c r="A39" s="67" t="s">
        <v>38</v>
      </c>
      <c r="B39" s="100">
        <f>SUM(B40:B41)</f>
        <v>170000</v>
      </c>
      <c r="C39" s="100">
        <f>SUM(C40:C41)</f>
        <v>87397.38</v>
      </c>
      <c r="D39" s="100">
        <f>SUM(D40:D41)</f>
        <v>-82602.62</v>
      </c>
      <c r="E39" s="60">
        <f>SUM(E40:E41)</f>
        <v>108</v>
      </c>
      <c r="F39" s="60">
        <f>SUM(F40:F41)</f>
        <v>6.385416666666667</v>
      </c>
      <c r="G39" s="37"/>
      <c r="H39" s="59">
        <f t="shared" ref="H39:V39" si="22">SUM(H40:H41)</f>
        <v>23382.799999999999</v>
      </c>
      <c r="I39" s="60">
        <f t="shared" si="22"/>
        <v>27</v>
      </c>
      <c r="J39" s="60">
        <f t="shared" si="22"/>
        <v>1.7083333333333333</v>
      </c>
      <c r="K39" s="59">
        <f t="shared" si="22"/>
        <v>23096.639999999999</v>
      </c>
      <c r="L39" s="60">
        <f t="shared" si="22"/>
        <v>28</v>
      </c>
      <c r="M39" s="60">
        <f t="shared" si="22"/>
        <v>1.6875</v>
      </c>
      <c r="N39" s="59">
        <f t="shared" si="22"/>
        <v>22810.48</v>
      </c>
      <c r="O39" s="60">
        <f t="shared" si="22"/>
        <v>30</v>
      </c>
      <c r="P39" s="60">
        <f t="shared" si="22"/>
        <v>1.6666666666666667</v>
      </c>
      <c r="Q39" s="59">
        <f t="shared" si="22"/>
        <v>18107.46</v>
      </c>
      <c r="R39" s="60">
        <f t="shared" si="22"/>
        <v>23</v>
      </c>
      <c r="S39" s="60">
        <f t="shared" si="22"/>
        <v>1.3229166666666667</v>
      </c>
      <c r="T39" s="59">
        <f t="shared" si="22"/>
        <v>0</v>
      </c>
      <c r="U39" s="60">
        <f t="shared" si="22"/>
        <v>0</v>
      </c>
      <c r="V39" s="60">
        <f t="shared" si="22"/>
        <v>0</v>
      </c>
    </row>
    <row r="40" spans="1:22" outlineLevel="2">
      <c r="A40" s="133" t="s">
        <v>39</v>
      </c>
      <c r="B40" s="97">
        <f>200000*0.85</f>
        <v>170000</v>
      </c>
      <c r="C40" s="92">
        <f t="shared" si="2"/>
        <v>87397.38</v>
      </c>
      <c r="D40" s="93">
        <f t="shared" si="13"/>
        <v>-82602.62</v>
      </c>
      <c r="E40" s="18">
        <f t="shared" ref="E40:F41" si="23">+I40+L40+O40+R40+U40</f>
        <v>108</v>
      </c>
      <c r="F40" s="18">
        <f t="shared" si="23"/>
        <v>6.385416666666667</v>
      </c>
      <c r="G40" s="37"/>
      <c r="H40" s="181">
        <v>23382.799999999999</v>
      </c>
      <c r="I40" s="182">
        <v>27</v>
      </c>
      <c r="J40" s="183">
        <v>1.7083333333333333</v>
      </c>
      <c r="K40" s="184">
        <v>23096.639999999999</v>
      </c>
      <c r="L40" s="185">
        <v>28</v>
      </c>
      <c r="M40" s="186">
        <v>1.6875</v>
      </c>
      <c r="N40" s="184">
        <v>22810.48</v>
      </c>
      <c r="O40" s="185">
        <v>30</v>
      </c>
      <c r="P40" s="186">
        <v>1.6666666666666667</v>
      </c>
      <c r="Q40" s="187">
        <v>18107.46</v>
      </c>
      <c r="R40" s="185">
        <v>23</v>
      </c>
      <c r="S40" s="186">
        <v>1.3229166666666667</v>
      </c>
      <c r="T40" s="187"/>
      <c r="U40" s="185"/>
      <c r="V40" s="186"/>
    </row>
    <row r="41" spans="1:22" s="78" customFormat="1" outlineLevel="2">
      <c r="A41" s="134" t="s">
        <v>36</v>
      </c>
      <c r="B41" s="94">
        <v>0</v>
      </c>
      <c r="C41" s="94">
        <f t="shared" si="2"/>
        <v>0</v>
      </c>
      <c r="D41" s="95">
        <f t="shared" si="13"/>
        <v>0</v>
      </c>
      <c r="E41" s="69">
        <f t="shared" si="23"/>
        <v>0</v>
      </c>
      <c r="F41" s="69">
        <f t="shared" si="23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2">
      <c r="A42" s="47" t="s">
        <v>40</v>
      </c>
      <c r="B42" s="101">
        <f>SUM(B43:B44)</f>
        <v>85000</v>
      </c>
      <c r="C42" s="101">
        <f>SUM(C43:C44)</f>
        <v>50282.82</v>
      </c>
      <c r="D42" s="101">
        <f>SUM(D43:D44)</f>
        <v>-34717.18</v>
      </c>
      <c r="E42" s="49">
        <f>SUM(E43:E44)</f>
        <v>85</v>
      </c>
      <c r="F42" s="49">
        <f>SUM(F43:F44)</f>
        <v>3.6736111111111107</v>
      </c>
      <c r="G42" s="37"/>
      <c r="H42" s="48">
        <f t="shared" ref="H42:V42" si="24">SUM(H43:H44)</f>
        <v>13308.4</v>
      </c>
      <c r="I42" s="49">
        <f t="shared" si="24"/>
        <v>19</v>
      </c>
      <c r="J42" s="49">
        <f t="shared" si="24"/>
        <v>0.97222222222222221</v>
      </c>
      <c r="K42" s="48">
        <f t="shared" si="24"/>
        <v>11025</v>
      </c>
      <c r="L42" s="49">
        <f t="shared" si="24"/>
        <v>24</v>
      </c>
      <c r="M42" s="49">
        <f t="shared" si="24"/>
        <v>0.80555555555555558</v>
      </c>
      <c r="N42" s="48">
        <f t="shared" si="24"/>
        <v>11405.24</v>
      </c>
      <c r="O42" s="49">
        <f t="shared" si="24"/>
        <v>21</v>
      </c>
      <c r="P42" s="49">
        <f t="shared" si="24"/>
        <v>0.83333333333333337</v>
      </c>
      <c r="Q42" s="48">
        <f t="shared" si="24"/>
        <v>12072.62</v>
      </c>
      <c r="R42" s="49">
        <f t="shared" si="24"/>
        <v>18</v>
      </c>
      <c r="S42" s="49">
        <f t="shared" si="24"/>
        <v>0.88194444444444442</v>
      </c>
      <c r="T42" s="48">
        <f t="shared" si="24"/>
        <v>2471.56</v>
      </c>
      <c r="U42" s="49">
        <f t="shared" si="24"/>
        <v>3</v>
      </c>
      <c r="V42" s="49">
        <f t="shared" si="24"/>
        <v>0.18055555555555555</v>
      </c>
    </row>
    <row r="43" spans="1:22" outlineLevel="2">
      <c r="A43" s="1" t="s">
        <v>41</v>
      </c>
      <c r="B43" s="97">
        <f>200000/2*0.85</f>
        <v>85000</v>
      </c>
      <c r="C43" s="92">
        <f t="shared" si="2"/>
        <v>50282.82</v>
      </c>
      <c r="D43" s="93">
        <f t="shared" ref="D43:D44" si="25">+C43-B43</f>
        <v>-34717.18</v>
      </c>
      <c r="E43" s="18">
        <f t="shared" ref="E43:F44" si="26">+I43+L43+O43+R43+U43</f>
        <v>85</v>
      </c>
      <c r="F43" s="18">
        <f t="shared" si="26"/>
        <v>3.6736111111111107</v>
      </c>
      <c r="G43" s="37"/>
      <c r="H43" s="181">
        <v>13308.4</v>
      </c>
      <c r="I43" s="182">
        <v>19</v>
      </c>
      <c r="J43" s="183">
        <v>0.97222222222222221</v>
      </c>
      <c r="K43" s="184">
        <v>11025</v>
      </c>
      <c r="L43" s="185">
        <v>24</v>
      </c>
      <c r="M43" s="186">
        <v>0.80555555555555558</v>
      </c>
      <c r="N43" s="184">
        <v>11405.24</v>
      </c>
      <c r="O43" s="185">
        <v>21</v>
      </c>
      <c r="P43" s="186">
        <v>0.83333333333333337</v>
      </c>
      <c r="Q43" s="187">
        <v>12072.62</v>
      </c>
      <c r="R43" s="185">
        <v>18</v>
      </c>
      <c r="S43" s="186">
        <v>0.88194444444444442</v>
      </c>
      <c r="T43" s="187">
        <v>2471.56</v>
      </c>
      <c r="U43" s="185">
        <v>3</v>
      </c>
      <c r="V43" s="186">
        <v>0.18055555555555555</v>
      </c>
    </row>
    <row r="44" spans="1:22" s="78" customFormat="1" outlineLevel="2">
      <c r="A44" s="68" t="s">
        <v>36</v>
      </c>
      <c r="B44" s="94">
        <v>0</v>
      </c>
      <c r="C44" s="94">
        <f t="shared" si="2"/>
        <v>0</v>
      </c>
      <c r="D44" s="95">
        <f t="shared" si="25"/>
        <v>0</v>
      </c>
      <c r="E44" s="69">
        <f t="shared" si="26"/>
        <v>0</v>
      </c>
      <c r="F44" s="69">
        <f t="shared" si="26"/>
        <v>0</v>
      </c>
      <c r="G44" s="70"/>
      <c r="H44" s="188"/>
      <c r="I44" s="189"/>
      <c r="J44" s="190"/>
      <c r="K44" s="191"/>
      <c r="L44" s="192"/>
      <c r="M44" s="193"/>
      <c r="N44" s="191"/>
      <c r="O44" s="192"/>
      <c r="P44" s="193"/>
      <c r="Q44" s="194"/>
      <c r="R44" s="192"/>
      <c r="S44" s="193"/>
      <c r="T44" s="194"/>
      <c r="U44" s="192"/>
      <c r="V44" s="193"/>
    </row>
    <row r="45" spans="1:22">
      <c r="A45" s="198" t="s">
        <v>42</v>
      </c>
      <c r="B45" s="199">
        <f>SUM(B46:B47)</f>
        <v>0</v>
      </c>
      <c r="C45" s="199">
        <f>SUM(C46:C47)</f>
        <v>0</v>
      </c>
      <c r="D45" s="199">
        <f>SUM(D46:D47)</f>
        <v>0</v>
      </c>
      <c r="E45" s="200">
        <f>SUM(E46:E47)</f>
        <v>0</v>
      </c>
      <c r="F45" s="200">
        <f>SUM(F46:F47)</f>
        <v>0</v>
      </c>
      <c r="G45" s="37"/>
      <c r="H45" s="211">
        <f t="shared" ref="H45:V45" si="27">SUM(H46:H47)</f>
        <v>0</v>
      </c>
      <c r="I45" s="200">
        <f t="shared" si="27"/>
        <v>0</v>
      </c>
      <c r="J45" s="200">
        <f t="shared" si="27"/>
        <v>0</v>
      </c>
      <c r="K45" s="211">
        <f t="shared" si="27"/>
        <v>0</v>
      </c>
      <c r="L45" s="200">
        <f t="shared" si="27"/>
        <v>0</v>
      </c>
      <c r="M45" s="200">
        <f t="shared" si="27"/>
        <v>0</v>
      </c>
      <c r="N45" s="211">
        <f t="shared" si="27"/>
        <v>0</v>
      </c>
      <c r="O45" s="200">
        <f t="shared" si="27"/>
        <v>0</v>
      </c>
      <c r="P45" s="200">
        <f t="shared" si="27"/>
        <v>0</v>
      </c>
      <c r="Q45" s="211">
        <f t="shared" si="27"/>
        <v>0</v>
      </c>
      <c r="R45" s="200">
        <f t="shared" si="27"/>
        <v>0</v>
      </c>
      <c r="S45" s="200">
        <f t="shared" si="27"/>
        <v>0</v>
      </c>
      <c r="T45" s="211">
        <f t="shared" si="27"/>
        <v>0</v>
      </c>
      <c r="U45" s="200">
        <f t="shared" si="27"/>
        <v>0</v>
      </c>
      <c r="V45" s="200">
        <f t="shared" si="27"/>
        <v>0</v>
      </c>
    </row>
    <row r="46" spans="1:22" s="78" customFormat="1" outlineLevel="2">
      <c r="A46" s="68" t="s">
        <v>43</v>
      </c>
      <c r="B46" s="94">
        <v>0</v>
      </c>
      <c r="C46" s="94">
        <f t="shared" si="2"/>
        <v>0</v>
      </c>
      <c r="D46" s="95">
        <f t="shared" ref="D46:D47" si="28">+C46-B46</f>
        <v>0</v>
      </c>
      <c r="E46" s="69">
        <f t="shared" ref="E46:F47" si="29">+I46+L46+O46+R46+U46</f>
        <v>0</v>
      </c>
      <c r="F46" s="69">
        <f t="shared" si="29"/>
        <v>0</v>
      </c>
      <c r="G46" s="70"/>
      <c r="H46" s="188"/>
      <c r="I46" s="189"/>
      <c r="J46" s="190"/>
      <c r="K46" s="191"/>
      <c r="L46" s="192"/>
      <c r="M46" s="193"/>
      <c r="N46" s="191"/>
      <c r="O46" s="192"/>
      <c r="P46" s="193"/>
      <c r="Q46" s="194"/>
      <c r="R46" s="192"/>
      <c r="S46" s="193"/>
      <c r="T46" s="194"/>
      <c r="U46" s="192"/>
      <c r="V46" s="193"/>
    </row>
    <row r="47" spans="1:22" s="78" customFormat="1" outlineLevel="2">
      <c r="A47" s="68" t="s">
        <v>36</v>
      </c>
      <c r="B47" s="94">
        <v>0</v>
      </c>
      <c r="C47" s="94">
        <f t="shared" si="2"/>
        <v>0</v>
      </c>
      <c r="D47" s="95">
        <f t="shared" si="28"/>
        <v>0</v>
      </c>
      <c r="E47" s="69">
        <f t="shared" si="29"/>
        <v>0</v>
      </c>
      <c r="F47" s="69">
        <f t="shared" si="29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2">
      <c r="A48" s="198" t="s">
        <v>44</v>
      </c>
      <c r="B48" s="199">
        <f>SUM(B49:B50)</f>
        <v>0</v>
      </c>
      <c r="C48" s="199">
        <f>SUM(C49:C50)</f>
        <v>0</v>
      </c>
      <c r="D48" s="199">
        <f>SUM(D49:D50)</f>
        <v>0</v>
      </c>
      <c r="E48" s="200">
        <f>SUM(E49:E50)</f>
        <v>0</v>
      </c>
      <c r="F48" s="200">
        <f>SUM(F49:F50)</f>
        <v>0</v>
      </c>
      <c r="G48" s="37"/>
      <c r="H48" s="211">
        <f t="shared" ref="H48:V48" si="30">SUM(H49:H50)</f>
        <v>0</v>
      </c>
      <c r="I48" s="200">
        <f t="shared" si="30"/>
        <v>0</v>
      </c>
      <c r="J48" s="200">
        <f t="shared" si="30"/>
        <v>0</v>
      </c>
      <c r="K48" s="211">
        <f t="shared" si="30"/>
        <v>0</v>
      </c>
      <c r="L48" s="200">
        <f t="shared" si="30"/>
        <v>0</v>
      </c>
      <c r="M48" s="200">
        <f t="shared" si="30"/>
        <v>0</v>
      </c>
      <c r="N48" s="211">
        <f t="shared" si="30"/>
        <v>0</v>
      </c>
      <c r="O48" s="200">
        <f t="shared" si="30"/>
        <v>0</v>
      </c>
      <c r="P48" s="200">
        <f t="shared" si="30"/>
        <v>0</v>
      </c>
      <c r="Q48" s="211">
        <f t="shared" si="30"/>
        <v>0</v>
      </c>
      <c r="R48" s="200">
        <f t="shared" si="30"/>
        <v>0</v>
      </c>
      <c r="S48" s="200">
        <f t="shared" si="30"/>
        <v>0</v>
      </c>
      <c r="T48" s="211">
        <f t="shared" si="30"/>
        <v>0</v>
      </c>
      <c r="U48" s="200">
        <f t="shared" si="30"/>
        <v>0</v>
      </c>
      <c r="V48" s="200">
        <f t="shared" si="30"/>
        <v>0</v>
      </c>
    </row>
    <row r="49" spans="1:22" s="78" customFormat="1" outlineLevel="2">
      <c r="A49" s="68" t="s">
        <v>43</v>
      </c>
      <c r="B49" s="94">
        <v>0</v>
      </c>
      <c r="C49" s="94">
        <f t="shared" si="2"/>
        <v>0</v>
      </c>
      <c r="D49" s="95">
        <f t="shared" si="13"/>
        <v>0</v>
      </c>
      <c r="E49" s="69">
        <f t="shared" ref="E49:F50" si="31">+I49+L49+O49+R49+U49</f>
        <v>0</v>
      </c>
      <c r="F49" s="69">
        <f t="shared" si="31"/>
        <v>0</v>
      </c>
      <c r="G49" s="70"/>
      <c r="H49" s="188"/>
      <c r="I49" s="189"/>
      <c r="J49" s="190"/>
      <c r="K49" s="191"/>
      <c r="L49" s="192"/>
      <c r="M49" s="193"/>
      <c r="N49" s="191"/>
      <c r="O49" s="192"/>
      <c r="P49" s="193"/>
      <c r="Q49" s="194"/>
      <c r="R49" s="192"/>
      <c r="S49" s="193"/>
      <c r="T49" s="194"/>
      <c r="U49" s="192"/>
      <c r="V49" s="193"/>
    </row>
    <row r="50" spans="1:22" s="78" customFormat="1" outlineLevel="2">
      <c r="A50" s="68" t="s">
        <v>36</v>
      </c>
      <c r="B50" s="94">
        <v>0</v>
      </c>
      <c r="C50" s="94">
        <f t="shared" si="2"/>
        <v>0</v>
      </c>
      <c r="D50" s="95">
        <f t="shared" si="13"/>
        <v>0</v>
      </c>
      <c r="E50" s="69">
        <f t="shared" si="31"/>
        <v>0</v>
      </c>
      <c r="F50" s="69">
        <f t="shared" si="31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ht="18">
      <c r="A51" s="138" t="s">
        <v>45</v>
      </c>
      <c r="B51" s="102">
        <f>+B48+B39+B30+B21+B12+B3+B45+B42</f>
        <v>2164000</v>
      </c>
      <c r="C51" s="102">
        <f>+C48+C39+C30+C21+C12+C3+C45+C42</f>
        <v>1492097.84</v>
      </c>
      <c r="D51" s="102">
        <f>+D48+D39+D30+D21+D12+D3+D45+D42</f>
        <v>-671902.15999999992</v>
      </c>
      <c r="E51" s="90">
        <f>+E48+E39+E30+E21+E12+E3+E45+E42</f>
        <v>1407</v>
      </c>
      <c r="F51" s="90">
        <f>+F48+F39+F30+F21+F12+F3+F45+F42</f>
        <v>85.305555555555557</v>
      </c>
      <c r="G51" s="38"/>
      <c r="H51" s="196">
        <f t="shared" ref="H51:V51" si="32">+H48+H39+H30+H21+H12+H3+H45+H42</f>
        <v>313269.93</v>
      </c>
      <c r="I51" s="197">
        <f t="shared" si="32"/>
        <v>298</v>
      </c>
      <c r="J51" s="197">
        <f t="shared" si="32"/>
        <v>17.795138888888889</v>
      </c>
      <c r="K51" s="196">
        <f t="shared" si="32"/>
        <v>364454.52</v>
      </c>
      <c r="L51" s="197">
        <f t="shared" si="32"/>
        <v>337</v>
      </c>
      <c r="M51" s="197">
        <f t="shared" si="32"/>
        <v>20.861111111111114</v>
      </c>
      <c r="N51" s="196">
        <f t="shared" si="32"/>
        <v>362274.22000000003</v>
      </c>
      <c r="O51" s="197">
        <f t="shared" si="32"/>
        <v>354</v>
      </c>
      <c r="P51" s="197">
        <f t="shared" si="32"/>
        <v>20.795138888888886</v>
      </c>
      <c r="Q51" s="196">
        <f t="shared" si="32"/>
        <v>365356.33</v>
      </c>
      <c r="R51" s="197">
        <f t="shared" si="32"/>
        <v>340</v>
      </c>
      <c r="S51" s="197">
        <f t="shared" si="32"/>
        <v>21.243055555555557</v>
      </c>
      <c r="T51" s="196">
        <f t="shared" si="32"/>
        <v>86742.84</v>
      </c>
      <c r="U51" s="197">
        <f t="shared" si="32"/>
        <v>78</v>
      </c>
      <c r="V51" s="197">
        <f t="shared" si="32"/>
        <v>4.6111111111111107</v>
      </c>
    </row>
    <row r="53" spans="1:22" ht="18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  <c r="J53" s="176"/>
    </row>
    <row r="54" spans="1:22">
      <c r="A54" s="87" t="s">
        <v>47</v>
      </c>
      <c r="B54" s="105">
        <f>+B55+B64+B73+B82+B91+B100+B94+B97</f>
        <v>970160</v>
      </c>
      <c r="C54" s="105">
        <f>+C55+C64+C73+C82+C91+C100+C94+C97</f>
        <v>979607</v>
      </c>
      <c r="D54" s="106">
        <f>+C54-B54</f>
        <v>9447</v>
      </c>
    </row>
    <row r="55" spans="1:22" outlineLevel="1">
      <c r="A55" s="44" t="s">
        <v>48</v>
      </c>
      <c r="B55" s="107">
        <f>SUM(B56:B63)*1.34</f>
        <v>660620</v>
      </c>
      <c r="C55" s="107">
        <f>SUM(C56:C63)*1.34</f>
        <v>664037</v>
      </c>
      <c r="D55" s="108">
        <f>+C55-B55</f>
        <v>3417</v>
      </c>
    </row>
    <row r="56" spans="1:22" outlineLevel="2">
      <c r="A56" s="132" t="str">
        <f t="shared" ref="A56:A63" si="33">+A4</f>
        <v>psych. s. 1 - NÁGLOVÁ</v>
      </c>
      <c r="B56" s="93">
        <v>60000</v>
      </c>
      <c r="C56" s="93">
        <v>60000</v>
      </c>
      <c r="D56" s="109">
        <f t="shared" ref="D56:D129" si="34">+C56-B56</f>
        <v>0</v>
      </c>
      <c r="F56" s="16"/>
      <c r="G56" s="40"/>
    </row>
    <row r="57" spans="1:22" outlineLevel="2">
      <c r="A57" s="133" t="str">
        <f t="shared" si="33"/>
        <v>psych. s. 2 - HAJASOVÁ</v>
      </c>
      <c r="B57" s="93">
        <v>47000</v>
      </c>
      <c r="C57" s="93">
        <v>49550</v>
      </c>
      <c r="D57" s="109">
        <f t="shared" si="34"/>
        <v>2550</v>
      </c>
      <c r="F57" s="16"/>
      <c r="G57" s="40"/>
    </row>
    <row r="58" spans="1:22" outlineLevel="2">
      <c r="A58" s="133" t="str">
        <f t="shared" si="33"/>
        <v>psych. s. 3 -  KAŠPÁRKOVÁ/Pekárová</v>
      </c>
      <c r="B58" s="93">
        <v>55000</v>
      </c>
      <c r="C58" s="93">
        <v>55000</v>
      </c>
      <c r="D58" s="109">
        <f t="shared" si="34"/>
        <v>0</v>
      </c>
      <c r="F58" s="16"/>
      <c r="G58" s="40"/>
    </row>
    <row r="59" spans="1:22" s="175" customFormat="1" outlineLevel="2">
      <c r="A59" s="165" t="str">
        <f t="shared" si="33"/>
        <v>psych. s. 4 - Pátková</v>
      </c>
      <c r="B59" s="166">
        <v>60000</v>
      </c>
      <c r="C59" s="166">
        <v>60000</v>
      </c>
      <c r="D59" s="167">
        <f t="shared" si="34"/>
        <v>0</v>
      </c>
      <c r="E59" s="168"/>
      <c r="F59" s="168"/>
      <c r="G59" s="169"/>
      <c r="H59" s="170"/>
      <c r="I59" s="171"/>
      <c r="J59" s="171"/>
      <c r="K59" s="170"/>
      <c r="L59" s="172"/>
      <c r="M59" s="173"/>
      <c r="N59" s="170"/>
      <c r="O59" s="172"/>
      <c r="P59" s="174"/>
      <c r="Q59" s="170"/>
      <c r="R59" s="172"/>
      <c r="S59" s="174"/>
      <c r="T59" s="170"/>
      <c r="U59" s="172"/>
      <c r="V59" s="174"/>
    </row>
    <row r="60" spans="1:22" outlineLevel="2">
      <c r="A60" s="132" t="str">
        <f t="shared" si="33"/>
        <v>psychiatr - GÁBEL 0,2</v>
      </c>
      <c r="B60" s="93">
        <v>16000</v>
      </c>
      <c r="C60" s="93">
        <v>16000</v>
      </c>
      <c r="D60" s="109">
        <f t="shared" si="34"/>
        <v>0</v>
      </c>
      <c r="F60" s="16"/>
      <c r="G60" s="40"/>
      <c r="J60" s="82"/>
    </row>
    <row r="61" spans="1:22" outlineLevel="2">
      <c r="A61" s="132" t="str">
        <f t="shared" si="33"/>
        <v>psychiatr - PFEIFFER 0,5</v>
      </c>
      <c r="B61" s="93">
        <v>85000</v>
      </c>
      <c r="C61" s="93">
        <v>85000</v>
      </c>
      <c r="D61" s="109">
        <f t="shared" si="34"/>
        <v>0</v>
      </c>
      <c r="F61" s="16"/>
      <c r="G61" s="40"/>
      <c r="J61" s="82"/>
    </row>
    <row r="62" spans="1:22" s="175" customFormat="1" outlineLevel="2">
      <c r="A62" s="165" t="str">
        <f t="shared" si="33"/>
        <v>psychiatr - Dr. Suchánková 1,0</v>
      </c>
      <c r="B62" s="166">
        <v>155000</v>
      </c>
      <c r="C62" s="166">
        <v>155000</v>
      </c>
      <c r="D62" s="167">
        <f t="shared" si="34"/>
        <v>0</v>
      </c>
      <c r="E62" s="168"/>
      <c r="F62" s="168"/>
      <c r="G62" s="169"/>
      <c r="H62" s="170"/>
      <c r="I62" s="171"/>
      <c r="J62" s="171"/>
      <c r="K62" s="170"/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75" customFormat="1" outlineLevel="2">
      <c r="A63" s="165" t="str">
        <f t="shared" si="33"/>
        <v>psycholog 2 - Lichtenbergová</v>
      </c>
      <c r="B63" s="166">
        <v>15000</v>
      </c>
      <c r="C63" s="166">
        <v>15000</v>
      </c>
      <c r="D63" s="167">
        <f t="shared" si="34"/>
        <v>0</v>
      </c>
      <c r="E63" s="168"/>
      <c r="F63" s="168"/>
      <c r="G63" s="169"/>
      <c r="H63" s="170"/>
      <c r="I63" s="171"/>
      <c r="J63" s="171"/>
      <c r="K63" s="170"/>
      <c r="L63" s="172"/>
      <c r="M63" s="173"/>
      <c r="N63" s="170"/>
      <c r="O63" s="172"/>
      <c r="P63" s="174"/>
      <c r="Q63" s="170"/>
      <c r="R63" s="172"/>
      <c r="S63" s="174"/>
      <c r="T63" s="170"/>
      <c r="U63" s="172"/>
      <c r="V63" s="174"/>
    </row>
    <row r="64" spans="1:22" outlineLevel="1">
      <c r="A64" s="58" t="s">
        <v>52</v>
      </c>
      <c r="B64" s="111">
        <f>SUM(B65:B72)*1.34</f>
        <v>73700</v>
      </c>
      <c r="C64" s="111">
        <f>SUM(C65:C72)*1.34</f>
        <v>75710</v>
      </c>
      <c r="D64" s="112">
        <f>+C64-B64</f>
        <v>2010</v>
      </c>
      <c r="F64" s="16"/>
      <c r="G64" s="40"/>
      <c r="J64" s="82"/>
    </row>
    <row r="65" spans="1:22" outlineLevel="2">
      <c r="A65" s="133" t="str">
        <f>+A13</f>
        <v>psych. s 1 - Blažková</v>
      </c>
      <c r="B65" s="93">
        <v>55000</v>
      </c>
      <c r="C65" s="93">
        <v>56500</v>
      </c>
      <c r="D65" s="109">
        <f t="shared" si="34"/>
        <v>1500</v>
      </c>
      <c r="F65" s="16"/>
      <c r="G65" s="40"/>
      <c r="J65" s="82"/>
    </row>
    <row r="66" spans="1:22" s="78" customFormat="1" outlineLevel="2">
      <c r="A66" s="134" t="str">
        <f>+A14</f>
        <v xml:space="preserve">psych. s 2 </v>
      </c>
      <c r="B66" s="95">
        <v>0</v>
      </c>
      <c r="C66" s="95">
        <v>0</v>
      </c>
      <c r="D66" s="110">
        <f t="shared" si="34"/>
        <v>0</v>
      </c>
      <c r="E66" s="79"/>
      <c r="F66" s="79"/>
      <c r="G66" s="80"/>
      <c r="H66" s="81"/>
      <c r="I66" s="82"/>
      <c r="J66" s="82"/>
      <c r="K66" s="81"/>
      <c r="L66" s="84"/>
      <c r="M66" s="85"/>
      <c r="N66" s="81"/>
      <c r="O66" s="84"/>
      <c r="P66" s="86"/>
      <c r="Q66" s="81"/>
      <c r="R66" s="84"/>
      <c r="S66" s="86"/>
      <c r="T66" s="81"/>
      <c r="U66" s="84"/>
      <c r="V66" s="86"/>
    </row>
    <row r="67" spans="1:22" s="78" customFormat="1" outlineLevel="2">
      <c r="A67" s="134" t="s">
        <v>25</v>
      </c>
      <c r="B67" s="95">
        <v>0</v>
      </c>
      <c r="C67" s="95">
        <v>0</v>
      </c>
      <c r="D67" s="110">
        <f t="shared" si="34"/>
        <v>0</v>
      </c>
      <c r="E67" s="79"/>
      <c r="F67" s="79"/>
      <c r="G67" s="80"/>
      <c r="H67" s="81"/>
      <c r="I67" s="82"/>
      <c r="J67" s="82"/>
      <c r="K67" s="81"/>
      <c r="L67" s="84"/>
      <c r="M67" s="85"/>
      <c r="N67" s="81"/>
      <c r="O67" s="84"/>
      <c r="P67" s="86"/>
      <c r="Q67" s="81"/>
      <c r="R67" s="84"/>
      <c r="S67" s="86"/>
      <c r="T67" s="81"/>
      <c r="U67" s="84"/>
      <c r="V67" s="86"/>
    </row>
    <row r="68" spans="1:22" s="78" customFormat="1" outlineLevel="2">
      <c r="A68" s="134" t="s">
        <v>26</v>
      </c>
      <c r="B68" s="95">
        <v>0</v>
      </c>
      <c r="C68" s="95">
        <v>0</v>
      </c>
      <c r="D68" s="110">
        <f t="shared" si="34"/>
        <v>0</v>
      </c>
      <c r="E68" s="79"/>
      <c r="F68" s="79"/>
      <c r="G68" s="80"/>
      <c r="H68" s="81"/>
      <c r="I68" s="82"/>
      <c r="J68" s="82"/>
      <c r="K68" s="81"/>
      <c r="L68" s="154"/>
      <c r="M68" s="85"/>
      <c r="N68" s="81"/>
      <c r="O68" s="84"/>
      <c r="P68" s="86"/>
      <c r="Q68" s="81"/>
      <c r="R68" s="84"/>
      <c r="S68" s="86"/>
      <c r="T68" s="81"/>
      <c r="U68" s="84"/>
      <c r="V68" s="86"/>
    </row>
    <row r="69" spans="1:22" s="78" customFormat="1" outlineLevel="2">
      <c r="A69" s="134" t="s">
        <v>27</v>
      </c>
      <c r="B69" s="95">
        <v>0</v>
      </c>
      <c r="C69" s="95">
        <v>0</v>
      </c>
      <c r="D69" s="110">
        <f t="shared" si="34"/>
        <v>0</v>
      </c>
      <c r="E69" s="79"/>
      <c r="F69" s="79"/>
      <c r="G69" s="80"/>
      <c r="H69" s="81"/>
      <c r="I69" s="82"/>
      <c r="J69" s="82"/>
      <c r="K69" s="81"/>
      <c r="L69" s="84"/>
      <c r="M69" s="85"/>
      <c r="N69" s="81"/>
      <c r="O69" s="84"/>
      <c r="P69" s="86"/>
      <c r="Q69" s="81"/>
      <c r="R69" s="84"/>
      <c r="S69" s="86"/>
      <c r="T69" s="81"/>
      <c r="U69" s="84"/>
      <c r="V69" s="86"/>
    </row>
    <row r="70" spans="1:22" s="78" customFormat="1" outlineLevel="2">
      <c r="A70" s="134" t="s">
        <v>28</v>
      </c>
      <c r="B70" s="95">
        <v>0</v>
      </c>
      <c r="C70" s="95">
        <v>0</v>
      </c>
      <c r="D70" s="110">
        <f t="shared" si="34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>
      <c r="A71" s="134" t="s">
        <v>20</v>
      </c>
      <c r="B71" s="95">
        <v>0</v>
      </c>
      <c r="C71" s="95">
        <v>0</v>
      </c>
      <c r="D71" s="110">
        <f t="shared" si="34"/>
        <v>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>
      <c r="A72" s="134" t="s">
        <v>21</v>
      </c>
      <c r="B72" s="95">
        <v>0</v>
      </c>
      <c r="C72" s="95">
        <v>0</v>
      </c>
      <c r="D72" s="110">
        <f t="shared" si="34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>
      <c r="A73" s="57" t="s">
        <v>58</v>
      </c>
      <c r="B73" s="113">
        <f>SUM(B74:B81)*1.34</f>
        <v>100500</v>
      </c>
      <c r="C73" s="113">
        <f>SUM(C74:C81)*1.34</f>
        <v>104520</v>
      </c>
      <c r="D73" s="114">
        <f>+C73-B73</f>
        <v>4020</v>
      </c>
      <c r="F73" s="16"/>
      <c r="G73" s="40"/>
      <c r="J73" s="82"/>
    </row>
    <row r="74" spans="1:22" outlineLevel="2">
      <c r="A74" s="133" t="str">
        <f>+A22</f>
        <v>psych. s 1 - ZELENKOVÁ</v>
      </c>
      <c r="B74" s="93">
        <v>75000</v>
      </c>
      <c r="C74" s="93">
        <v>78000</v>
      </c>
      <c r="D74" s="109">
        <f t="shared" si="34"/>
        <v>3000</v>
      </c>
      <c r="F74" s="16"/>
      <c r="G74" s="40"/>
      <c r="J74" s="83"/>
    </row>
    <row r="75" spans="1:22" s="78" customFormat="1" outlineLevel="2">
      <c r="A75" s="134" t="str">
        <f>+A23</f>
        <v>psych. s 2 - Vondráčková</v>
      </c>
      <c r="B75" s="95">
        <v>0</v>
      </c>
      <c r="C75" s="95">
        <v>0</v>
      </c>
      <c r="D75" s="110">
        <f t="shared" si="34"/>
        <v>0</v>
      </c>
      <c r="E75" s="79"/>
      <c r="F75" s="79"/>
      <c r="G75" s="80"/>
      <c r="H75" s="81"/>
      <c r="I75" s="82"/>
      <c r="J75" s="83"/>
      <c r="K75" s="81"/>
      <c r="L75" s="84"/>
      <c r="M75" s="85"/>
      <c r="N75" s="81"/>
      <c r="O75" s="84"/>
      <c r="P75" s="86"/>
      <c r="Q75" s="81"/>
      <c r="R75" s="84"/>
      <c r="S75" s="86"/>
      <c r="T75" s="81"/>
      <c r="U75" s="84"/>
      <c r="V75" s="86"/>
    </row>
    <row r="76" spans="1:22" s="78" customFormat="1" outlineLevel="2">
      <c r="A76" s="134" t="str">
        <f>+A24</f>
        <v>psych. s 3 - Nováková</v>
      </c>
      <c r="B76" s="95">
        <v>0</v>
      </c>
      <c r="C76" s="95">
        <v>0</v>
      </c>
      <c r="D76" s="110">
        <f t="shared" si="34"/>
        <v>0</v>
      </c>
      <c r="E76" s="79"/>
      <c r="F76" s="79"/>
      <c r="G76" s="80"/>
      <c r="H76" s="81"/>
      <c r="I76" s="82"/>
      <c r="J76" s="83"/>
      <c r="K76" s="81"/>
      <c r="L76" s="84"/>
      <c r="M76" s="85"/>
      <c r="N76" s="81"/>
      <c r="O76" s="84"/>
      <c r="P76" s="86"/>
      <c r="Q76" s="81"/>
      <c r="R76" s="84"/>
      <c r="S76" s="86"/>
      <c r="T76" s="81"/>
      <c r="U76" s="84"/>
      <c r="V76" s="86"/>
    </row>
    <row r="77" spans="1:22" s="78" customFormat="1" outlineLevel="2">
      <c r="A77" s="134" t="str">
        <f>+A25</f>
        <v>všeob. s 4 - Dušková</v>
      </c>
      <c r="B77" s="95">
        <v>0</v>
      </c>
      <c r="C77" s="95">
        <v>0</v>
      </c>
      <c r="D77" s="110">
        <f t="shared" si="34"/>
        <v>0</v>
      </c>
      <c r="E77" s="79"/>
      <c r="F77" s="79"/>
      <c r="G77" s="80"/>
      <c r="H77" s="81"/>
      <c r="I77" s="82"/>
      <c r="J77" s="83"/>
      <c r="K77" s="81"/>
      <c r="L77" s="84"/>
      <c r="M77" s="85"/>
      <c r="N77" s="81"/>
      <c r="O77" s="84"/>
      <c r="P77" s="86"/>
      <c r="Q77" s="81"/>
      <c r="R77" s="84"/>
      <c r="S77" s="86"/>
      <c r="T77" s="81"/>
      <c r="U77" s="84"/>
      <c r="V77" s="86"/>
    </row>
    <row r="78" spans="1:22" s="78" customFormat="1" outlineLevel="2">
      <c r="A78" s="134" t="s">
        <v>27</v>
      </c>
      <c r="B78" s="95">
        <v>0</v>
      </c>
      <c r="C78" s="95">
        <v>0</v>
      </c>
      <c r="D78" s="110">
        <f t="shared" si="34"/>
        <v>0</v>
      </c>
      <c r="E78" s="79"/>
      <c r="F78" s="79"/>
      <c r="G78" s="80"/>
      <c r="H78" s="81"/>
      <c r="I78" s="82"/>
      <c r="J78" s="83"/>
      <c r="K78" s="81"/>
      <c r="L78" s="84"/>
      <c r="M78" s="85"/>
      <c r="N78" s="81"/>
      <c r="O78" s="84"/>
      <c r="P78" s="86"/>
      <c r="Q78" s="81"/>
      <c r="R78" s="84"/>
      <c r="S78" s="86"/>
      <c r="T78" s="81"/>
      <c r="U78" s="84"/>
      <c r="V78" s="86"/>
    </row>
    <row r="79" spans="1:22" s="78" customFormat="1" outlineLevel="2">
      <c r="A79" s="134" t="s">
        <v>28</v>
      </c>
      <c r="B79" s="95">
        <v>0</v>
      </c>
      <c r="C79" s="95">
        <v>0</v>
      </c>
      <c r="D79" s="110">
        <f t="shared" si="34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>
      <c r="A80" s="134" t="s">
        <v>20</v>
      </c>
      <c r="B80" s="95">
        <v>0</v>
      </c>
      <c r="C80" s="95">
        <v>0</v>
      </c>
      <c r="D80" s="110">
        <f t="shared" si="34"/>
        <v>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>
      <c r="A81" s="134" t="s">
        <v>21</v>
      </c>
      <c r="B81" s="95">
        <v>0</v>
      </c>
      <c r="C81" s="95">
        <v>0</v>
      </c>
      <c r="D81" s="110">
        <f t="shared" si="34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>
      <c r="A82" s="50" t="s">
        <v>60</v>
      </c>
      <c r="B82" s="115">
        <f>SUM(B83:B90)*1.34</f>
        <v>18760</v>
      </c>
      <c r="C82" s="115">
        <f>SUM(C83:C90)*1.34</f>
        <v>18760</v>
      </c>
      <c r="D82" s="116">
        <f>+C82-B82</f>
        <v>0</v>
      </c>
      <c r="F82" s="16"/>
      <c r="G82" s="40"/>
    </row>
    <row r="83" spans="1:22" s="175" customFormat="1" outlineLevel="2">
      <c r="A83" s="165" t="s">
        <v>61</v>
      </c>
      <c r="B83" s="166">
        <v>14000</v>
      </c>
      <c r="C83" s="166">
        <v>14000</v>
      </c>
      <c r="D83" s="167">
        <f t="shared" si="34"/>
        <v>0</v>
      </c>
      <c r="E83" s="168"/>
      <c r="F83" s="168"/>
      <c r="G83" s="169"/>
      <c r="H83" s="170"/>
      <c r="I83" s="171"/>
      <c r="J83" s="228"/>
      <c r="K83" s="170"/>
      <c r="L83" s="172"/>
      <c r="M83" s="173"/>
      <c r="N83" s="170"/>
      <c r="O83" s="172"/>
      <c r="P83" s="174"/>
      <c r="Q83" s="170"/>
      <c r="R83" s="172"/>
      <c r="S83" s="174"/>
      <c r="T83" s="170"/>
      <c r="U83" s="172"/>
      <c r="V83" s="174"/>
    </row>
    <row r="84" spans="1:22" s="78" customFormat="1" outlineLevel="2">
      <c r="A84" s="134" t="s">
        <v>36</v>
      </c>
      <c r="B84" s="95">
        <v>0</v>
      </c>
      <c r="C84" s="95">
        <v>0</v>
      </c>
      <c r="D84" s="110">
        <f t="shared" si="34"/>
        <v>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>
      <c r="A85" s="134" t="s">
        <v>25</v>
      </c>
      <c r="B85" s="95">
        <v>0</v>
      </c>
      <c r="C85" s="95">
        <v>0</v>
      </c>
      <c r="D85" s="110">
        <f t="shared" si="34"/>
        <v>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>
      <c r="A86" s="134" t="s">
        <v>26</v>
      </c>
      <c r="B86" s="95">
        <v>0</v>
      </c>
      <c r="C86" s="95">
        <v>0</v>
      </c>
      <c r="D86" s="110">
        <f t="shared" si="34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>
      <c r="A87" s="134" t="s">
        <v>37</v>
      </c>
      <c r="B87" s="95">
        <v>0</v>
      </c>
      <c r="C87" s="95">
        <v>0</v>
      </c>
      <c r="D87" s="110">
        <f t="shared" si="34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>
      <c r="A88" s="134" t="s">
        <v>28</v>
      </c>
      <c r="B88" s="95">
        <v>0</v>
      </c>
      <c r="C88" s="95">
        <v>0</v>
      </c>
      <c r="D88" s="110">
        <f t="shared" si="34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>
      <c r="A89" s="134" t="s">
        <v>20</v>
      </c>
      <c r="B89" s="95">
        <v>0</v>
      </c>
      <c r="C89" s="95">
        <v>0</v>
      </c>
      <c r="D89" s="110">
        <f t="shared" si="34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>
      <c r="A90" s="134" t="s">
        <v>21</v>
      </c>
      <c r="B90" s="95">
        <v>0</v>
      </c>
      <c r="C90" s="95">
        <v>0</v>
      </c>
      <c r="D90" s="110">
        <f t="shared" si="34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>
      <c r="A91" s="135" t="s">
        <v>62</v>
      </c>
      <c r="B91" s="117">
        <f>SUM(B92:B93)*1.34</f>
        <v>96480</v>
      </c>
      <c r="C91" s="117">
        <f>SUM(C92:C93)*1.34</f>
        <v>96480</v>
      </c>
      <c r="D91" s="118">
        <f t="shared" si="34"/>
        <v>0</v>
      </c>
      <c r="F91" s="16"/>
      <c r="G91" s="40"/>
    </row>
    <row r="92" spans="1:22" outlineLevel="2">
      <c r="A92" s="133" t="s">
        <v>39</v>
      </c>
      <c r="B92" s="93">
        <v>72000</v>
      </c>
      <c r="C92" s="93">
        <v>72000</v>
      </c>
      <c r="D92" s="119">
        <f t="shared" si="34"/>
        <v>0</v>
      </c>
      <c r="F92" s="16"/>
      <c r="G92" s="40"/>
    </row>
    <row r="93" spans="1:22" s="78" customFormat="1" outlineLevel="2">
      <c r="A93" s="134" t="s">
        <v>36</v>
      </c>
      <c r="B93" s="95">
        <v>0</v>
      </c>
      <c r="C93" s="95">
        <v>0</v>
      </c>
      <c r="D93" s="110">
        <f t="shared" si="34"/>
        <v>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>
      <c r="A94" s="136" t="s">
        <v>63</v>
      </c>
      <c r="B94" s="120">
        <f>SUM(B95:B96)*1.34</f>
        <v>20100</v>
      </c>
      <c r="C94" s="120">
        <f>SUM(C95:C96)*1.34</f>
        <v>20100</v>
      </c>
      <c r="D94" s="121">
        <f t="shared" si="34"/>
        <v>0</v>
      </c>
      <c r="F94" s="16"/>
      <c r="G94" s="40"/>
    </row>
    <row r="95" spans="1:22" outlineLevel="2">
      <c r="A95" s="1" t="s">
        <v>41</v>
      </c>
      <c r="B95" s="93">
        <v>15000</v>
      </c>
      <c r="C95" s="93">
        <v>15000</v>
      </c>
      <c r="D95" s="119">
        <f t="shared" si="34"/>
        <v>0</v>
      </c>
      <c r="F95" s="16"/>
      <c r="G95" s="40"/>
    </row>
    <row r="96" spans="1:22" s="78" customFormat="1" outlineLevel="2">
      <c r="A96" s="68" t="s">
        <v>36</v>
      </c>
      <c r="B96" s="95">
        <v>0</v>
      </c>
      <c r="C96" s="95">
        <v>0</v>
      </c>
      <c r="D96" s="110">
        <f t="shared" si="34"/>
        <v>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>
      <c r="A97" s="202" t="s">
        <v>64</v>
      </c>
      <c r="B97" s="203">
        <f>SUM(B98:B99)*1.34</f>
        <v>0</v>
      </c>
      <c r="C97" s="203">
        <f>SUM(C98:C99)*1.34</f>
        <v>0</v>
      </c>
      <c r="D97" s="204">
        <f t="shared" si="34"/>
        <v>0</v>
      </c>
      <c r="F97" s="16"/>
      <c r="G97" s="40"/>
    </row>
    <row r="98" spans="1:22" s="78" customFormat="1" outlineLevel="2">
      <c r="A98" s="68" t="s">
        <v>43</v>
      </c>
      <c r="B98" s="95">
        <v>0</v>
      </c>
      <c r="C98" s="95">
        <v>0</v>
      </c>
      <c r="D98" s="110">
        <f t="shared" si="34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>
      <c r="A99" s="68" t="s">
        <v>36</v>
      </c>
      <c r="B99" s="95">
        <v>0</v>
      </c>
      <c r="C99" s="95">
        <v>0</v>
      </c>
      <c r="D99" s="110">
        <f t="shared" si="34"/>
        <v>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>
      <c r="A100" s="202" t="s">
        <v>65</v>
      </c>
      <c r="B100" s="203">
        <f>SUM(B101:B102)*1.34</f>
        <v>0</v>
      </c>
      <c r="C100" s="203">
        <f>SUM(C101:C102)*1.34</f>
        <v>0</v>
      </c>
      <c r="D100" s="204">
        <f t="shared" si="34"/>
        <v>0</v>
      </c>
      <c r="F100" s="16"/>
      <c r="G100" s="40"/>
    </row>
    <row r="101" spans="1:22" s="78" customFormat="1" outlineLevel="2">
      <c r="A101" s="68" t="s">
        <v>43</v>
      </c>
      <c r="B101" s="95">
        <v>0</v>
      </c>
      <c r="C101" s="95">
        <v>0</v>
      </c>
      <c r="D101" s="110">
        <f t="shared" si="34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>
      <c r="A102" s="68" t="s">
        <v>36</v>
      </c>
      <c r="B102" s="95">
        <v>0</v>
      </c>
      <c r="C102" s="95">
        <v>0</v>
      </c>
      <c r="D102" s="110">
        <f t="shared" si="34"/>
        <v>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>
      <c r="A103" s="89" t="s">
        <v>66</v>
      </c>
      <c r="B103" s="122">
        <f>SUM(B104:B111)</f>
        <v>324600</v>
      </c>
      <c r="C103" s="122">
        <f>SUM(C104:C111)</f>
        <v>223814.67599999998</v>
      </c>
      <c r="D103" s="123">
        <f>+C103-B103</f>
        <v>-100785.32400000002</v>
      </c>
    </row>
    <row r="104" spans="1:22" outlineLevel="1">
      <c r="A104" s="44" t="s">
        <v>67</v>
      </c>
      <c r="B104" s="141">
        <f>+B3*0.15</f>
        <v>230250</v>
      </c>
      <c r="C104" s="141">
        <f>+C3*0.15</f>
        <v>167572.476</v>
      </c>
      <c r="D104" s="142">
        <f t="shared" si="34"/>
        <v>-62677.524000000005</v>
      </c>
    </row>
    <row r="105" spans="1:22" outlineLevel="1">
      <c r="A105" s="58" t="s">
        <v>68</v>
      </c>
      <c r="B105" s="141">
        <f>+B12*0.15</f>
        <v>25500</v>
      </c>
      <c r="C105" s="141">
        <f>+C12*0.15</f>
        <v>15927.156000000001</v>
      </c>
      <c r="D105" s="142">
        <f t="shared" si="34"/>
        <v>-9572.8439999999991</v>
      </c>
    </row>
    <row r="106" spans="1:22" outlineLevel="1">
      <c r="A106" s="57" t="s">
        <v>69</v>
      </c>
      <c r="B106" s="141">
        <f>+B21*0.15</f>
        <v>25500</v>
      </c>
      <c r="C106" s="141">
        <f>+C21*0.15</f>
        <v>16454.738999999998</v>
      </c>
      <c r="D106" s="142">
        <f t="shared" si="34"/>
        <v>-9045.2610000000022</v>
      </c>
    </row>
    <row r="107" spans="1:22" outlineLevel="1">
      <c r="A107" s="50" t="s">
        <v>70</v>
      </c>
      <c r="B107" s="141">
        <f>+B30*0.15</f>
        <v>5100</v>
      </c>
      <c r="C107" s="141">
        <f>+C30*0.15</f>
        <v>3208.2750000000001</v>
      </c>
      <c r="D107" s="142">
        <f t="shared" si="34"/>
        <v>-1891.7249999999999</v>
      </c>
    </row>
    <row r="108" spans="1:22" outlineLevel="1">
      <c r="A108" s="67" t="s">
        <v>71</v>
      </c>
      <c r="B108" s="141">
        <f>+B39*0.15</f>
        <v>25500</v>
      </c>
      <c r="C108" s="141">
        <f>+C39*0.15</f>
        <v>13109.607</v>
      </c>
      <c r="D108" s="142">
        <f t="shared" si="34"/>
        <v>-12390.393</v>
      </c>
    </row>
    <row r="109" spans="1:22" outlineLevel="1">
      <c r="A109" s="47" t="s">
        <v>72</v>
      </c>
      <c r="B109" s="141">
        <f>+B42*0.15</f>
        <v>12750</v>
      </c>
      <c r="C109" s="141">
        <f>+C42*0.15</f>
        <v>7542.4229999999998</v>
      </c>
      <c r="D109" s="142">
        <f t="shared" si="34"/>
        <v>-5207.5770000000002</v>
      </c>
    </row>
    <row r="110" spans="1:22" outlineLevel="1">
      <c r="A110" s="198" t="s">
        <v>73</v>
      </c>
      <c r="B110" s="141">
        <f>+B45*0.15</f>
        <v>0</v>
      </c>
      <c r="C110" s="141">
        <f>+C45*0.15</f>
        <v>0</v>
      </c>
      <c r="D110" s="142">
        <f t="shared" si="34"/>
        <v>0</v>
      </c>
    </row>
    <row r="111" spans="1:22" outlineLevel="1">
      <c r="A111" s="198" t="s">
        <v>74</v>
      </c>
      <c r="B111" s="141">
        <f>+B48*0.15</f>
        <v>0</v>
      </c>
      <c r="C111" s="141">
        <f>+C48*0.15</f>
        <v>0</v>
      </c>
      <c r="D111" s="142">
        <f t="shared" si="34"/>
        <v>0</v>
      </c>
    </row>
    <row r="112" spans="1:22">
      <c r="A112" s="88" t="s">
        <v>75</v>
      </c>
      <c r="B112" s="124">
        <f>SUM(B113:B120)</f>
        <v>70000</v>
      </c>
      <c r="C112" s="124">
        <f>SUM(C113:C120)</f>
        <v>70000</v>
      </c>
      <c r="D112" s="125">
        <f>+C112-B112</f>
        <v>0</v>
      </c>
    </row>
    <row r="113" spans="1:4" outlineLevel="1">
      <c r="A113" s="44" t="s">
        <v>76</v>
      </c>
      <c r="B113" s="111">
        <v>30000</v>
      </c>
      <c r="C113" s="111">
        <f>+B113</f>
        <v>30000</v>
      </c>
      <c r="D113" s="112">
        <f t="shared" si="34"/>
        <v>0</v>
      </c>
    </row>
    <row r="114" spans="1:4" outlineLevel="1">
      <c r="A114" s="58" t="s">
        <v>77</v>
      </c>
      <c r="B114" s="111">
        <v>20000</v>
      </c>
      <c r="C114" s="111">
        <f>+B114</f>
        <v>20000</v>
      </c>
      <c r="D114" s="112">
        <f t="shared" si="34"/>
        <v>0</v>
      </c>
    </row>
    <row r="115" spans="1:4" outlineLevel="1">
      <c r="A115" s="57" t="s">
        <v>78</v>
      </c>
      <c r="B115" s="111">
        <v>20000</v>
      </c>
      <c r="C115" s="111">
        <f>+B115</f>
        <v>20000</v>
      </c>
      <c r="D115" s="111">
        <f t="shared" si="34"/>
        <v>0</v>
      </c>
    </row>
    <row r="116" spans="1:4" outlineLevel="1">
      <c r="A116" s="50" t="s">
        <v>79</v>
      </c>
      <c r="B116" s="111">
        <v>0</v>
      </c>
      <c r="C116" s="111">
        <f t="shared" ref="C116:C120" si="35">+B116</f>
        <v>0</v>
      </c>
      <c r="D116" s="111">
        <f t="shared" si="34"/>
        <v>0</v>
      </c>
    </row>
    <row r="117" spans="1:4" outlineLevel="1">
      <c r="A117" s="67" t="s">
        <v>80</v>
      </c>
      <c r="B117" s="111">
        <v>0</v>
      </c>
      <c r="C117" s="111">
        <f t="shared" si="35"/>
        <v>0</v>
      </c>
      <c r="D117" s="111">
        <f t="shared" si="34"/>
        <v>0</v>
      </c>
    </row>
    <row r="118" spans="1:4" outlineLevel="1">
      <c r="A118" s="47" t="s">
        <v>81</v>
      </c>
      <c r="B118" s="111">
        <v>0</v>
      </c>
      <c r="C118" s="111">
        <f t="shared" si="35"/>
        <v>0</v>
      </c>
      <c r="D118" s="111">
        <f t="shared" si="34"/>
        <v>0</v>
      </c>
    </row>
    <row r="119" spans="1:4" outlineLevel="1">
      <c r="A119" s="198" t="s">
        <v>82</v>
      </c>
      <c r="B119" s="111">
        <v>0</v>
      </c>
      <c r="C119" s="111">
        <f t="shared" si="35"/>
        <v>0</v>
      </c>
      <c r="D119" s="111">
        <f t="shared" si="34"/>
        <v>0</v>
      </c>
    </row>
    <row r="120" spans="1:4" outlineLevel="1">
      <c r="A120" s="198" t="s">
        <v>83</v>
      </c>
      <c r="B120" s="111">
        <v>0</v>
      </c>
      <c r="C120" s="111">
        <f t="shared" si="35"/>
        <v>0</v>
      </c>
      <c r="D120" s="111">
        <f t="shared" si="34"/>
        <v>0</v>
      </c>
    </row>
    <row r="121" spans="1:4">
      <c r="A121" s="150" t="s">
        <v>84</v>
      </c>
      <c r="B121" s="151">
        <f>SUM(B122:B129)</f>
        <v>216400</v>
      </c>
      <c r="C121" s="151">
        <f t="shared" ref="C121" si="36">SUM(C122:C129)</f>
        <v>149209.78400000004</v>
      </c>
      <c r="D121" s="151">
        <f>+C121-B121</f>
        <v>-67190.215999999957</v>
      </c>
    </row>
    <row r="122" spans="1:4" outlineLevel="1">
      <c r="A122" s="44" t="s">
        <v>85</v>
      </c>
      <c r="B122" s="152">
        <f>+B3/10</f>
        <v>153500</v>
      </c>
      <c r="C122" s="152">
        <f>+C3/10</f>
        <v>111714.98400000001</v>
      </c>
      <c r="D122" s="153">
        <f t="shared" si="34"/>
        <v>-41785.015999999989</v>
      </c>
    </row>
    <row r="123" spans="1:4" outlineLevel="1">
      <c r="A123" s="58" t="s">
        <v>86</v>
      </c>
      <c r="B123" s="152">
        <f>+B12/10</f>
        <v>17000</v>
      </c>
      <c r="C123" s="152">
        <f>+C12/10</f>
        <v>10618.104000000001</v>
      </c>
      <c r="D123" s="153">
        <f t="shared" si="34"/>
        <v>-6381.8959999999988</v>
      </c>
    </row>
    <row r="124" spans="1:4" outlineLevel="1">
      <c r="A124" s="57" t="s">
        <v>87</v>
      </c>
      <c r="B124" s="152">
        <f>+B21/10</f>
        <v>17000</v>
      </c>
      <c r="C124" s="152">
        <f>+C21/10</f>
        <v>10969.825999999999</v>
      </c>
      <c r="D124" s="152">
        <f t="shared" si="34"/>
        <v>-6030.1740000000009</v>
      </c>
    </row>
    <row r="125" spans="1:4" outlineLevel="1">
      <c r="A125" s="50" t="s">
        <v>88</v>
      </c>
      <c r="B125" s="152">
        <f>+B30/10</f>
        <v>3400</v>
      </c>
      <c r="C125" s="152">
        <f>+C30/10</f>
        <v>2138.85</v>
      </c>
      <c r="D125" s="152">
        <f t="shared" si="34"/>
        <v>-1261.1500000000001</v>
      </c>
    </row>
    <row r="126" spans="1:4" outlineLevel="1">
      <c r="A126" s="67" t="s">
        <v>89</v>
      </c>
      <c r="B126" s="152">
        <f>+B39/10</f>
        <v>17000</v>
      </c>
      <c r="C126" s="152">
        <f>+C39/10</f>
        <v>8739.7380000000012</v>
      </c>
      <c r="D126" s="152">
        <f t="shared" si="34"/>
        <v>-8260.2619999999988</v>
      </c>
    </row>
    <row r="127" spans="1:4" outlineLevel="1">
      <c r="A127" s="47" t="s">
        <v>90</v>
      </c>
      <c r="B127" s="152">
        <f>+B42/10</f>
        <v>8500</v>
      </c>
      <c r="C127" s="152">
        <f>+C42/10</f>
        <v>5028.2820000000002</v>
      </c>
      <c r="D127" s="152">
        <f t="shared" si="34"/>
        <v>-3471.7179999999998</v>
      </c>
    </row>
    <row r="128" spans="1:4" outlineLevel="1">
      <c r="A128" s="198" t="s">
        <v>91</v>
      </c>
      <c r="B128" s="152">
        <f>+B45/10</f>
        <v>0</v>
      </c>
      <c r="C128" s="152">
        <f>+C45/10</f>
        <v>0</v>
      </c>
      <c r="D128" s="152">
        <f t="shared" si="34"/>
        <v>0</v>
      </c>
    </row>
    <row r="129" spans="1:7" outlineLevel="1">
      <c r="A129" s="198" t="s">
        <v>92</v>
      </c>
      <c r="B129" s="152">
        <f>+B48/10</f>
        <v>0</v>
      </c>
      <c r="C129" s="152">
        <f>+C48/10</f>
        <v>0</v>
      </c>
      <c r="D129" s="152">
        <f t="shared" si="34"/>
        <v>0</v>
      </c>
    </row>
    <row r="130" spans="1:7" ht="18">
      <c r="A130" s="139" t="s">
        <v>93</v>
      </c>
      <c r="B130" s="126">
        <f t="shared" ref="B130:D131" si="37">+B112+B103+B54+B121</f>
        <v>1581160</v>
      </c>
      <c r="C130" s="126">
        <f t="shared" si="37"/>
        <v>1422631.46</v>
      </c>
      <c r="D130" s="126">
        <f t="shared" si="37"/>
        <v>-158528.53999999998</v>
      </c>
      <c r="E130" s="15"/>
      <c r="F130" s="10"/>
      <c r="G130" s="41"/>
    </row>
    <row r="131" spans="1:7" outlineLevel="1">
      <c r="A131" s="44" t="s">
        <v>94</v>
      </c>
      <c r="B131" s="140">
        <f t="shared" si="37"/>
        <v>1074370</v>
      </c>
      <c r="C131" s="140">
        <f t="shared" si="37"/>
        <v>973324.46000000008</v>
      </c>
      <c r="D131" s="140">
        <f t="shared" si="37"/>
        <v>-101045.54</v>
      </c>
      <c r="E131" s="15"/>
      <c r="F131" s="10"/>
      <c r="G131" s="41"/>
    </row>
    <row r="132" spans="1:7" outlineLevel="1">
      <c r="A132" s="58" t="s">
        <v>95</v>
      </c>
      <c r="B132" s="140">
        <f>+B114+B105+B64+B123</f>
        <v>136200</v>
      </c>
      <c r="C132" s="140">
        <f>+C114+C105+C64+C123</f>
        <v>122255.26000000001</v>
      </c>
      <c r="D132" s="140">
        <f>+D114+D105+D64+D123</f>
        <v>-13944.739999999998</v>
      </c>
      <c r="E132" s="15"/>
      <c r="F132" s="10"/>
      <c r="G132" s="41"/>
    </row>
    <row r="133" spans="1:7" outlineLevel="1">
      <c r="A133" s="57" t="s">
        <v>96</v>
      </c>
      <c r="B133" s="140">
        <f>+B115+B106+B73+B124</f>
        <v>163000</v>
      </c>
      <c r="C133" s="140">
        <f>+C115+C106+C73+C124</f>
        <v>151944.565</v>
      </c>
      <c r="D133" s="140">
        <f>+D115+D106+D73+D124</f>
        <v>-11055.435000000003</v>
      </c>
      <c r="E133" s="15"/>
      <c r="F133" s="10"/>
      <c r="G133" s="41"/>
    </row>
    <row r="134" spans="1:7" outlineLevel="1">
      <c r="A134" s="50" t="s">
        <v>97</v>
      </c>
      <c r="B134" s="140">
        <f>+B116+B107+B82+B125</f>
        <v>27260</v>
      </c>
      <c r="C134" s="140">
        <f>+C116+C107+C82+C125</f>
        <v>24107.125</v>
      </c>
      <c r="D134" s="140">
        <f>+D116+D107+D82+D125</f>
        <v>-3152.875</v>
      </c>
      <c r="E134" s="15"/>
      <c r="F134" s="10"/>
      <c r="G134" s="41"/>
    </row>
    <row r="135" spans="1:7" outlineLevel="1">
      <c r="A135" s="67" t="s">
        <v>98</v>
      </c>
      <c r="B135" s="140">
        <f>+B117+B108+B91+B126</f>
        <v>138980</v>
      </c>
      <c r="C135" s="140">
        <f>+C117+C108+C91+C126</f>
        <v>118329.345</v>
      </c>
      <c r="D135" s="140">
        <f>+D117+D108+D91+D126</f>
        <v>-20650.654999999999</v>
      </c>
      <c r="E135" s="15"/>
      <c r="F135" s="10"/>
      <c r="G135" s="41"/>
    </row>
    <row r="136" spans="1:7" outlineLevel="1">
      <c r="A136" s="47" t="s">
        <v>99</v>
      </c>
      <c r="B136" s="140">
        <f>+B127+B118+B109+B94</f>
        <v>41350</v>
      </c>
      <c r="C136" s="140">
        <f>+C127+C118+C109+C94</f>
        <v>32670.705000000002</v>
      </c>
      <c r="D136" s="140">
        <f>+D119+D110+D99+D128</f>
        <v>0</v>
      </c>
      <c r="E136" s="15"/>
      <c r="F136" s="10"/>
      <c r="G136" s="41"/>
    </row>
    <row r="137" spans="1:7" outlineLevel="1">
      <c r="A137" s="198" t="s">
        <v>100</v>
      </c>
      <c r="B137" s="140">
        <f>+B128+B119+B110+B97</f>
        <v>0</v>
      </c>
      <c r="C137" s="140">
        <f>+C128+C119+C110+C97</f>
        <v>0</v>
      </c>
      <c r="D137" s="140">
        <f>+D119+D110+D99+D128</f>
        <v>0</v>
      </c>
      <c r="E137" s="15"/>
      <c r="F137" s="10"/>
      <c r="G137" s="41"/>
    </row>
    <row r="138" spans="1:7" outlineLevel="1">
      <c r="A138" s="198" t="s">
        <v>101</v>
      </c>
      <c r="B138" s="140">
        <f>+B129+B120+B111+B100</f>
        <v>0</v>
      </c>
      <c r="C138" s="140">
        <f>+C129+C120+C111+C100</f>
        <v>0</v>
      </c>
      <c r="D138" s="140">
        <f>+D120+D111+D100+D129</f>
        <v>0</v>
      </c>
      <c r="E138" s="15"/>
      <c r="F138" s="10"/>
      <c r="G138" s="41"/>
    </row>
    <row r="139" spans="1:7">
      <c r="A139" s="7"/>
      <c r="B139" s="127"/>
      <c r="C139" s="127"/>
      <c r="D139" s="128"/>
      <c r="E139" s="15"/>
      <c r="F139" s="10"/>
      <c r="G139" s="41"/>
    </row>
    <row r="140" spans="1:7" ht="15.75">
      <c r="A140" s="177" t="s">
        <v>102</v>
      </c>
      <c r="B140" s="129">
        <f>+B51-B130</f>
        <v>582840</v>
      </c>
      <c r="C140" s="129">
        <f>+C51-C130</f>
        <v>69466.380000000121</v>
      </c>
      <c r="D140" s="129">
        <f>+D51-D130</f>
        <v>-513373.61999999994</v>
      </c>
      <c r="E140" s="19"/>
      <c r="F140" s="20"/>
      <c r="G140" s="42"/>
    </row>
    <row r="141" spans="1:7">
      <c r="A141" s="44" t="s">
        <v>103</v>
      </c>
      <c r="B141" s="178">
        <f>+B3-B131</f>
        <v>460630</v>
      </c>
      <c r="C141" s="178">
        <f>+C3-C131</f>
        <v>143825.38</v>
      </c>
      <c r="D141" s="178">
        <f>+D3-D131</f>
        <v>-316804.61999999994</v>
      </c>
      <c r="E141" s="19"/>
      <c r="F141" s="20"/>
      <c r="G141" s="42"/>
    </row>
    <row r="142" spans="1:7">
      <c r="A142" s="58" t="s">
        <v>104</v>
      </c>
      <c r="B142" s="178">
        <f>+B12-B132</f>
        <v>33800</v>
      </c>
      <c r="C142" s="178">
        <f>+C12-C132</f>
        <v>-16074.220000000001</v>
      </c>
      <c r="D142" s="178">
        <f>+D12-D132</f>
        <v>-49874.219999999994</v>
      </c>
      <c r="E142" s="19"/>
      <c r="F142" s="20"/>
      <c r="G142" s="42"/>
    </row>
    <row r="143" spans="1:7">
      <c r="A143" s="57" t="s">
        <v>105</v>
      </c>
      <c r="B143" s="178">
        <f>+B21-B133</f>
        <v>7000</v>
      </c>
      <c r="C143" s="178">
        <f>+C21-C133</f>
        <v>-42246.305000000008</v>
      </c>
      <c r="D143" s="178">
        <f>+D21-D133</f>
        <v>-49246.305</v>
      </c>
      <c r="E143" s="19"/>
      <c r="F143" s="20"/>
      <c r="G143" s="42"/>
    </row>
    <row r="144" spans="1:7">
      <c r="A144" s="50" t="s">
        <v>106</v>
      </c>
      <c r="B144" s="178">
        <f>+B30-B134</f>
        <v>6740</v>
      </c>
      <c r="C144" s="178">
        <f>+C30-C134</f>
        <v>-2718.625</v>
      </c>
      <c r="D144" s="178">
        <f>+D30-D134</f>
        <v>-9458.625</v>
      </c>
      <c r="E144" s="19"/>
      <c r="F144" s="20"/>
      <c r="G144" s="42"/>
    </row>
    <row r="145" spans="1:7">
      <c r="A145" s="61" t="s">
        <v>107</v>
      </c>
      <c r="B145" s="178">
        <f>+B39-B135</f>
        <v>31020</v>
      </c>
      <c r="C145" s="178">
        <f>+C39-C135</f>
        <v>-30931.964999999997</v>
      </c>
      <c r="D145" s="178">
        <f>+D39-D135</f>
        <v>-61951.964999999997</v>
      </c>
      <c r="E145" s="19"/>
      <c r="F145" s="20"/>
      <c r="G145" s="42"/>
    </row>
    <row r="146" spans="1:7">
      <c r="A146" s="62" t="s">
        <v>108</v>
      </c>
      <c r="B146" s="178">
        <f>+B42-B136</f>
        <v>43650</v>
      </c>
      <c r="C146" s="178">
        <f>+C42-C136</f>
        <v>17612.114999999998</v>
      </c>
      <c r="D146" s="178">
        <f>+D47-D137</f>
        <v>0</v>
      </c>
      <c r="E146" s="19"/>
      <c r="F146" s="20"/>
      <c r="G146" s="42"/>
    </row>
    <row r="147" spans="1:7">
      <c r="A147" s="201" t="s">
        <v>109</v>
      </c>
      <c r="B147" s="178">
        <f>+B45-B137</f>
        <v>0</v>
      </c>
      <c r="C147" s="178">
        <f>+C45-C137</f>
        <v>0</v>
      </c>
      <c r="D147" s="178">
        <f>+D47-D137</f>
        <v>0</v>
      </c>
      <c r="E147" s="19"/>
      <c r="F147" s="20"/>
      <c r="G147" s="42"/>
    </row>
    <row r="148" spans="1:7">
      <c r="A148" s="201" t="s">
        <v>110</v>
      </c>
      <c r="B148" s="178">
        <f>+B48-B138</f>
        <v>0</v>
      </c>
      <c r="C148" s="178">
        <f>+C48-C138</f>
        <v>0</v>
      </c>
      <c r="D148" s="178">
        <f>+D48-D138</f>
        <v>0</v>
      </c>
      <c r="E148" s="19"/>
      <c r="F148" s="20"/>
      <c r="G148" s="42"/>
    </row>
    <row r="149" spans="1:7">
      <c r="D149" s="131"/>
      <c r="E149" s="21"/>
      <c r="F149" s="22"/>
      <c r="G149" s="43"/>
    </row>
    <row r="150" spans="1:7">
      <c r="A150" s="179" t="s">
        <v>111</v>
      </c>
      <c r="B150" s="180">
        <f>+B51/B130-1</f>
        <v>0.36861544688709547</v>
      </c>
      <c r="C150" s="180">
        <f>+C51/C130-1</f>
        <v>4.8829497978345016E-2</v>
      </c>
    </row>
  </sheetData>
  <mergeCells count="5">
    <mergeCell ref="H1:J1"/>
    <mergeCell ref="K1:M1"/>
    <mergeCell ref="N1:P1"/>
    <mergeCell ref="Q1:S1"/>
    <mergeCell ref="T1:V1"/>
  </mergeCells>
  <conditionalFormatting sqref="B141:D148">
    <cfRule type="cellIs" dxfId="27" priority="1" operator="lessThan">
      <formula>0</formula>
    </cfRule>
    <cfRule type="cellIs" dxfId="26" priority="2" operator="greaterThan">
      <formula>0</formula>
    </cfRule>
  </conditionalFormatting>
  <conditionalFormatting sqref="D4:D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{B1429493-2B00-4B7C-B4A3-62F252EFDCAF}</x14:id>
        </ext>
      </extLst>
    </cfRule>
  </conditionalFormatting>
  <conditionalFormatting sqref="D13:D2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{7287E304-3275-401A-8B5E-C4ED2898317C}</x14:id>
        </ext>
      </extLst>
    </cfRule>
  </conditionalFormatting>
  <conditionalFormatting sqref="D22:D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{E3A54AC3-62F1-4644-9AA1-73D35D1683C9}</x14:id>
        </ext>
      </extLst>
    </cfRule>
  </conditionalFormatting>
  <conditionalFormatting sqref="D31:D3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{97BD4C35-9358-4FAF-BE22-A2DD36E4EFC8}</x14:id>
        </ext>
      </extLst>
    </cfRule>
  </conditionalFormatting>
  <conditionalFormatting sqref="D35:D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{2BB2FB73-8071-4BFD-8585-1A83BF8E5D7A}</x14:id>
        </ext>
      </extLst>
    </cfRule>
  </conditionalFormatting>
  <conditionalFormatting sqref="D40:D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{6B13005C-69C2-400A-9613-ED74CC5C8409}</x14:id>
        </ext>
      </extLst>
    </cfRule>
  </conditionalFormatting>
  <conditionalFormatting sqref="D43:D4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{B0970777-9B84-41A7-8C91-AED2333647D3}</x14:id>
        </ext>
      </extLst>
    </cfRule>
  </conditionalFormatting>
  <conditionalFormatting sqref="D46:D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{735ACEBA-D726-439D-B695-921E08A0B621}</x14:id>
        </ext>
      </extLst>
    </cfRule>
  </conditionalFormatting>
  <conditionalFormatting sqref="D49:D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{57852418-010E-42D2-8E1B-94A32DC71419}</x14:id>
        </ext>
      </extLst>
    </cfRule>
  </conditionalFormatting>
  <pageMargins left="0.7" right="0.7" top="0.78740157499999996" bottom="0.78740157499999996" header="0.3" footer="0.3"/>
  <pageSetup paperSize="8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429493-2B00-4B7C-B4A3-62F252EFD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7287E304-3275-401A-8B5E-C4ED289831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E3A54AC3-62F1-4644-9AA1-73D35D168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97BD4C35-9358-4FAF-BE22-A2DD36E4E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2BB2FB73-8071-4BFD-8585-1A83BF8E5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6B13005C-69C2-400A-9613-ED74CC5C8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B0970777-9B84-41A7-8C91-AED2333647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735ACEBA-D726-439D-B695-921E08A0B6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57852418-010E-42D2-8E1B-94A32DC714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150"/>
  <sheetViews>
    <sheetView zoomScale="90" zoomScaleNormal="90" workbookViewId="0">
      <pane ySplit="2" topLeftCell="A80" activePane="bottomLeft" state="frozen"/>
      <selection pane="bottomLeft"/>
    </sheetView>
  </sheetViews>
  <sheetFormatPr defaultRowHeight="14.25" outlineLevelRow="2"/>
  <cols>
    <col min="1" max="1" width="30.85546875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  <col min="23" max="23" width="24.28515625" bestFit="1" customWidth="1"/>
  </cols>
  <sheetData>
    <row r="1" spans="1:23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3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3" s="23" customFormat="1">
      <c r="A3" s="44" t="s">
        <v>13</v>
      </c>
      <c r="B3" s="91">
        <f>SUM(B4:B11)</f>
        <v>1365000</v>
      </c>
      <c r="C3" s="91">
        <f>SUM(C4:C11)</f>
        <v>926865.96</v>
      </c>
      <c r="D3" s="91">
        <f>SUM(D4:D11)</f>
        <v>-438134.04</v>
      </c>
      <c r="E3" s="46">
        <f>SUM(E4:E11)</f>
        <v>883</v>
      </c>
      <c r="F3" s="46">
        <f>SUM(F4:F11)</f>
        <v>50.874305555555551</v>
      </c>
      <c r="G3" s="36"/>
      <c r="H3" s="45">
        <f t="shared" ref="H3:V3" si="0">SUM(H4:H11)</f>
        <v>201952.44</v>
      </c>
      <c r="I3" s="46">
        <f t="shared" si="0"/>
        <v>197</v>
      </c>
      <c r="J3" s="46">
        <f t="shared" si="0"/>
        <v>10.819444444444443</v>
      </c>
      <c r="K3" s="45">
        <f t="shared" si="0"/>
        <v>194797.44</v>
      </c>
      <c r="L3" s="46">
        <f t="shared" si="0"/>
        <v>175</v>
      </c>
      <c r="M3" s="46">
        <f t="shared" si="0"/>
        <v>9.9895833333333321</v>
      </c>
      <c r="N3" s="45">
        <f t="shared" si="0"/>
        <v>202698.72</v>
      </c>
      <c r="O3" s="46">
        <f t="shared" si="0"/>
        <v>193</v>
      </c>
      <c r="P3" s="46">
        <f t="shared" si="0"/>
        <v>10.670138888888889</v>
      </c>
      <c r="Q3" s="45">
        <f t="shared" si="0"/>
        <v>184876.79999999999</v>
      </c>
      <c r="R3" s="46">
        <f t="shared" si="0"/>
        <v>180</v>
      </c>
      <c r="S3" s="46">
        <f t="shared" si="0"/>
        <v>11.909027777777778</v>
      </c>
      <c r="T3" s="45">
        <f t="shared" si="0"/>
        <v>142540.56</v>
      </c>
      <c r="U3" s="46">
        <f t="shared" si="0"/>
        <v>138</v>
      </c>
      <c r="V3" s="46">
        <f t="shared" si="0"/>
        <v>7.4861111111111116</v>
      </c>
    </row>
    <row r="4" spans="1:23" outlineLevel="2">
      <c r="A4" s="132" t="s">
        <v>14</v>
      </c>
      <c r="B4" s="92">
        <v>200000</v>
      </c>
      <c r="C4" s="92">
        <f>+H4+K4+N4+Q4+T4</f>
        <v>179540.28000000003</v>
      </c>
      <c r="D4" s="93">
        <f t="shared" ref="D4:D11" si="1">+C4-B4</f>
        <v>-20459.719999999972</v>
      </c>
      <c r="E4" s="18">
        <f>+I4+L4+O4+R4+U4</f>
        <v>191</v>
      </c>
      <c r="F4" s="18">
        <f>+J4+M4+P4+S4+V4</f>
        <v>11.121527777777779</v>
      </c>
      <c r="G4" s="37"/>
      <c r="H4" s="181">
        <v>32374.080000000002</v>
      </c>
      <c r="I4" s="182">
        <v>35</v>
      </c>
      <c r="J4" s="183">
        <v>2.0555555555555554</v>
      </c>
      <c r="K4" s="184">
        <v>40807.800000000003</v>
      </c>
      <c r="L4" s="185">
        <v>43</v>
      </c>
      <c r="M4" s="186">
        <v>2.5243055555555554</v>
      </c>
      <c r="N4" s="184">
        <v>38727.72</v>
      </c>
      <c r="O4" s="185">
        <v>36</v>
      </c>
      <c r="P4" s="186">
        <v>2.375</v>
      </c>
      <c r="Q4" s="187">
        <v>40599.360000000001</v>
      </c>
      <c r="R4" s="185">
        <v>42</v>
      </c>
      <c r="S4" s="186">
        <v>2.4652777777777777</v>
      </c>
      <c r="T4" s="187">
        <v>27031.32</v>
      </c>
      <c r="U4" s="185">
        <v>35</v>
      </c>
      <c r="V4" s="186">
        <v>1.7013888888888888</v>
      </c>
      <c r="W4" s="295"/>
    </row>
    <row r="5" spans="1:23" outlineLevel="2">
      <c r="A5" s="133" t="s">
        <v>15</v>
      </c>
      <c r="B5" s="92">
        <v>200000</v>
      </c>
      <c r="C5" s="92">
        <f t="shared" ref="C5:C50" si="2">+H5+K5+N5+Q5+T5</f>
        <v>137392.20000000001</v>
      </c>
      <c r="D5" s="93">
        <f t="shared" si="1"/>
        <v>-62607.799999999988</v>
      </c>
      <c r="E5" s="18">
        <f t="shared" ref="E5:F11" si="3">+I5+L5+O5+R5+U5</f>
        <v>113</v>
      </c>
      <c r="F5" s="18">
        <f t="shared" si="3"/>
        <v>8.7569444444444446</v>
      </c>
      <c r="G5" s="37"/>
      <c r="H5" s="181">
        <v>31536</v>
      </c>
      <c r="I5" s="182">
        <v>24</v>
      </c>
      <c r="J5" s="183">
        <v>2</v>
      </c>
      <c r="K5" s="184">
        <v>34193.879999999997</v>
      </c>
      <c r="L5" s="185">
        <v>28</v>
      </c>
      <c r="M5" s="186">
        <v>2.1875</v>
      </c>
      <c r="N5" s="184">
        <v>20835.36</v>
      </c>
      <c r="O5" s="185">
        <v>18</v>
      </c>
      <c r="P5" s="186">
        <v>1.3472222222222223</v>
      </c>
      <c r="Q5" s="187">
        <v>30488.400000000001</v>
      </c>
      <c r="R5" s="185">
        <v>26</v>
      </c>
      <c r="S5" s="186">
        <v>1.9305555555555556</v>
      </c>
      <c r="T5" s="187">
        <v>20338.560000000001</v>
      </c>
      <c r="U5" s="185">
        <v>17</v>
      </c>
      <c r="V5" s="186">
        <v>1.2916666666666667</v>
      </c>
      <c r="W5" s="295"/>
    </row>
    <row r="6" spans="1:23" outlineLevel="2">
      <c r="A6" s="133" t="s">
        <v>16</v>
      </c>
      <c r="B6" s="92">
        <v>200000</v>
      </c>
      <c r="C6" s="92">
        <f t="shared" si="2"/>
        <v>99048.12</v>
      </c>
      <c r="D6" s="93">
        <f t="shared" si="1"/>
        <v>-100951.88</v>
      </c>
      <c r="E6" s="18">
        <f t="shared" si="3"/>
        <v>101</v>
      </c>
      <c r="F6" s="18">
        <f t="shared" si="3"/>
        <v>8.2145833333333336</v>
      </c>
      <c r="G6" s="37"/>
      <c r="H6" s="181">
        <v>30973.32</v>
      </c>
      <c r="I6" s="182">
        <v>33</v>
      </c>
      <c r="J6" s="183">
        <v>1.9513888888888888</v>
      </c>
      <c r="K6" s="184"/>
      <c r="L6" s="185"/>
      <c r="M6" s="186"/>
      <c r="N6" s="184">
        <v>32910.839999999997</v>
      </c>
      <c r="O6" s="185">
        <v>40</v>
      </c>
      <c r="P6" s="186">
        <v>2.0798611111111112</v>
      </c>
      <c r="Q6" s="187">
        <v>22592.76</v>
      </c>
      <c r="R6" s="185">
        <v>18</v>
      </c>
      <c r="S6" s="186">
        <v>3.35</v>
      </c>
      <c r="T6" s="187">
        <v>12571.2</v>
      </c>
      <c r="U6" s="185">
        <v>10</v>
      </c>
      <c r="V6" s="186">
        <v>0.83333333333333337</v>
      </c>
      <c r="W6" s="295"/>
    </row>
    <row r="7" spans="1:23" s="78" customFormat="1" outlineLevel="2">
      <c r="A7" s="134" t="s">
        <v>119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3" outlineLevel="2">
      <c r="A8" s="132" t="s">
        <v>18</v>
      </c>
      <c r="B8" s="92">
        <f>450000*0.2</f>
        <v>90000</v>
      </c>
      <c r="C8" s="92">
        <f t="shared" si="2"/>
        <v>4887</v>
      </c>
      <c r="D8" s="93">
        <f t="shared" si="1"/>
        <v>-85113</v>
      </c>
      <c r="E8" s="18">
        <f t="shared" si="3"/>
        <v>25</v>
      </c>
      <c r="F8" s="18">
        <f t="shared" si="3"/>
        <v>0.1736111111111111</v>
      </c>
      <c r="G8" s="37"/>
      <c r="H8" s="195">
        <v>1368.36</v>
      </c>
      <c r="I8" s="182">
        <v>7</v>
      </c>
      <c r="J8" s="183">
        <v>4.8611111111111112E-2</v>
      </c>
      <c r="K8" s="184">
        <v>1172.8800000000001</v>
      </c>
      <c r="L8" s="185">
        <v>6</v>
      </c>
      <c r="M8" s="186">
        <v>4.1666666666666664E-2</v>
      </c>
      <c r="N8" s="184">
        <v>1172.8800000000001</v>
      </c>
      <c r="O8" s="185">
        <v>6</v>
      </c>
      <c r="P8" s="186">
        <v>4.1666666666666664E-2</v>
      </c>
      <c r="Q8" s="187">
        <v>1172.8800000000001</v>
      </c>
      <c r="R8" s="185">
        <v>6</v>
      </c>
      <c r="S8" s="186">
        <v>4.1666666666666664E-2</v>
      </c>
      <c r="T8" s="187">
        <v>0</v>
      </c>
      <c r="U8" s="185"/>
      <c r="V8" s="186"/>
      <c r="W8" s="295"/>
    </row>
    <row r="9" spans="1:23" outlineLevel="2">
      <c r="A9" s="132" t="s">
        <v>49</v>
      </c>
      <c r="B9" s="92">
        <f>450000*0.5</f>
        <v>225000</v>
      </c>
      <c r="C9" s="92">
        <f t="shared" si="2"/>
        <v>127490.76</v>
      </c>
      <c r="D9" s="93">
        <f t="shared" si="1"/>
        <v>-97509.24</v>
      </c>
      <c r="E9" s="18">
        <f t="shared" si="3"/>
        <v>150</v>
      </c>
      <c r="F9" s="18">
        <f t="shared" si="3"/>
        <v>5.2569444444444446</v>
      </c>
      <c r="G9" s="37"/>
      <c r="H9" s="195">
        <v>22904.639999999999</v>
      </c>
      <c r="I9" s="182">
        <v>31</v>
      </c>
      <c r="J9" s="183">
        <v>0.95833333333333337</v>
      </c>
      <c r="K9" s="184">
        <v>27547.56</v>
      </c>
      <c r="L9" s="185">
        <v>31</v>
      </c>
      <c r="M9" s="186">
        <v>1.125</v>
      </c>
      <c r="N9" s="184">
        <v>28045.439999999999</v>
      </c>
      <c r="O9" s="185">
        <v>31</v>
      </c>
      <c r="P9" s="186">
        <v>1.1458333333333333</v>
      </c>
      <c r="Q9" s="187">
        <v>15954.84</v>
      </c>
      <c r="R9" s="185">
        <v>22</v>
      </c>
      <c r="S9" s="186">
        <v>0.65277777777777779</v>
      </c>
      <c r="T9" s="187">
        <v>33038.28</v>
      </c>
      <c r="U9" s="185">
        <v>35</v>
      </c>
      <c r="V9" s="186">
        <v>1.375</v>
      </c>
      <c r="W9" s="295"/>
    </row>
    <row r="10" spans="1:23" s="226" customFormat="1" outlineLevel="2">
      <c r="A10" s="165" t="s">
        <v>114</v>
      </c>
      <c r="B10" s="92">
        <f>450000</f>
        <v>450000</v>
      </c>
      <c r="C10" s="215">
        <f t="shared" si="2"/>
        <v>378507.6</v>
      </c>
      <c r="D10" s="216">
        <f t="shared" si="1"/>
        <v>-71492.400000000023</v>
      </c>
      <c r="E10" s="217">
        <f t="shared" si="3"/>
        <v>303</v>
      </c>
      <c r="F10" s="217">
        <f t="shared" si="3"/>
        <v>17.350694444444443</v>
      </c>
      <c r="G10" s="218"/>
      <c r="H10" s="219">
        <v>82796.039999999994</v>
      </c>
      <c r="I10" s="220">
        <v>67</v>
      </c>
      <c r="J10" s="221">
        <v>3.8055555555555554</v>
      </c>
      <c r="K10" s="222">
        <v>91075.32</v>
      </c>
      <c r="L10" s="223">
        <v>67</v>
      </c>
      <c r="M10" s="224">
        <v>4.1111111111111107</v>
      </c>
      <c r="N10" s="222">
        <v>81006.48</v>
      </c>
      <c r="O10" s="223">
        <v>62</v>
      </c>
      <c r="P10" s="224">
        <v>3.6805555555555554</v>
      </c>
      <c r="Q10" s="225">
        <v>74068.56</v>
      </c>
      <c r="R10" s="223">
        <v>66</v>
      </c>
      <c r="S10" s="224">
        <v>3.46875</v>
      </c>
      <c r="T10" s="225">
        <v>49561.2</v>
      </c>
      <c r="U10" s="223">
        <v>41</v>
      </c>
      <c r="V10" s="224">
        <v>2.2847222222222223</v>
      </c>
      <c r="W10" s="294"/>
    </row>
    <row r="11" spans="1:23" s="226" customFormat="1" outlineLevel="2">
      <c r="A11" s="165" t="s">
        <v>115</v>
      </c>
      <c r="B11" s="94">
        <v>0</v>
      </c>
      <c r="C11" s="94">
        <f t="shared" si="2"/>
        <v>0</v>
      </c>
      <c r="D11" s="95">
        <f t="shared" si="1"/>
        <v>0</v>
      </c>
      <c r="E11" s="69">
        <f t="shared" si="3"/>
        <v>0</v>
      </c>
      <c r="F11" s="69">
        <f t="shared" si="3"/>
        <v>0</v>
      </c>
      <c r="G11" s="218"/>
      <c r="H11" s="219"/>
      <c r="I11" s="220"/>
      <c r="J11" s="221"/>
      <c r="K11" s="222"/>
      <c r="L11" s="223"/>
      <c r="M11" s="224"/>
      <c r="N11" s="222"/>
      <c r="O11" s="223"/>
      <c r="P11" s="224"/>
      <c r="Q11" s="225"/>
      <c r="R11" s="223"/>
      <c r="S11" s="224"/>
      <c r="T11" s="225"/>
      <c r="U11" s="223"/>
      <c r="V11" s="224"/>
    </row>
    <row r="12" spans="1:23">
      <c r="A12" s="58" t="s">
        <v>22</v>
      </c>
      <c r="B12" s="96">
        <f>SUM(B13:B20)</f>
        <v>340000</v>
      </c>
      <c r="C12" s="96">
        <f t="shared" ref="C12:D12" si="4">SUM(C13:C20)</f>
        <v>159456.78</v>
      </c>
      <c r="D12" s="96">
        <f t="shared" si="4"/>
        <v>-180543.22</v>
      </c>
      <c r="E12" s="54">
        <f>SUM(E13:E20)</f>
        <v>211</v>
      </c>
      <c r="F12" s="54">
        <f>SUM(F13:F20)</f>
        <v>11.649305555555555</v>
      </c>
      <c r="G12" s="37"/>
      <c r="H12" s="53">
        <f t="shared" ref="H12" si="5">SUM(H13:H20)</f>
        <v>33270.020000000004</v>
      </c>
      <c r="I12" s="54">
        <f>SUM(I13:I20)</f>
        <v>42</v>
      </c>
      <c r="J12" s="54">
        <f>SUM(J13:J20)</f>
        <v>2.4305555555555558</v>
      </c>
      <c r="K12" s="53">
        <f t="shared" ref="K12" si="6">SUM(K13:K20)</f>
        <v>31511.9</v>
      </c>
      <c r="L12" s="54">
        <f>SUM(L13:L20)</f>
        <v>40</v>
      </c>
      <c r="M12" s="54">
        <f>SUM(M13:M20)</f>
        <v>2.3020833333333335</v>
      </c>
      <c r="N12" s="53">
        <f t="shared" ref="N12" si="7">SUM(N13:N20)</f>
        <v>38592.400000000001</v>
      </c>
      <c r="O12" s="54">
        <f>SUM(O13:O20)</f>
        <v>49</v>
      </c>
      <c r="P12" s="54">
        <f>SUM(P13:P20)</f>
        <v>2.8194444444444446</v>
      </c>
      <c r="Q12" s="53">
        <f t="shared" ref="Q12" si="8">SUM(Q13:Q20)</f>
        <v>27424.32</v>
      </c>
      <c r="R12" s="54">
        <f>SUM(R13:R20)</f>
        <v>36</v>
      </c>
      <c r="S12" s="54">
        <f>SUM(S13:S20)</f>
        <v>2.0034722222222223</v>
      </c>
      <c r="T12" s="53">
        <f t="shared" ref="T12" si="9">SUM(T13:T20)</f>
        <v>28658.14</v>
      </c>
      <c r="U12" s="54">
        <f>SUM(U13:U20)</f>
        <v>44</v>
      </c>
      <c r="V12" s="54">
        <f>SUM(V13:V20)</f>
        <v>2.09375</v>
      </c>
    </row>
    <row r="13" spans="1:23" outlineLevel="2">
      <c r="A13" s="133" t="s">
        <v>23</v>
      </c>
      <c r="B13" s="97">
        <f>200000*0.85</f>
        <v>170000</v>
      </c>
      <c r="C13" s="92">
        <f t="shared" si="2"/>
        <v>91110.6</v>
      </c>
      <c r="D13" s="93">
        <f t="shared" ref="D13:D20" si="10">+C13-B13</f>
        <v>-78889.399999999994</v>
      </c>
      <c r="E13" s="18">
        <f t="shared" ref="E13:F20" si="11">+I13+L13+O13+R13+U13</f>
        <v>132</v>
      </c>
      <c r="F13" s="18">
        <f t="shared" si="11"/>
        <v>6.65625</v>
      </c>
      <c r="G13" s="37"/>
      <c r="H13" s="181">
        <v>20151.740000000002</v>
      </c>
      <c r="I13" s="182">
        <v>30</v>
      </c>
      <c r="J13" s="183">
        <v>1.4722222222222223</v>
      </c>
      <c r="K13" s="184">
        <v>23526.86</v>
      </c>
      <c r="L13" s="185">
        <v>29</v>
      </c>
      <c r="M13" s="186">
        <v>1.71875</v>
      </c>
      <c r="N13" s="184">
        <v>19770.52</v>
      </c>
      <c r="O13" s="185">
        <v>28</v>
      </c>
      <c r="P13" s="186">
        <v>1.4444444444444444</v>
      </c>
      <c r="Q13" s="187">
        <v>13545.56</v>
      </c>
      <c r="R13" s="185">
        <v>19</v>
      </c>
      <c r="S13" s="186">
        <v>0.98958333333333337</v>
      </c>
      <c r="T13" s="187">
        <v>14115.92</v>
      </c>
      <c r="U13" s="185">
        <v>26</v>
      </c>
      <c r="V13" s="186">
        <v>1.03125</v>
      </c>
      <c r="W13" s="295"/>
    </row>
    <row r="14" spans="1:23" s="226" customFormat="1" outlineLevel="2">
      <c r="A14" s="165" t="s">
        <v>54</v>
      </c>
      <c r="B14" s="215">
        <f t="shared" ref="B14" si="12">200000*0.85</f>
        <v>170000</v>
      </c>
      <c r="C14" s="215">
        <f t="shared" si="2"/>
        <v>68346.179999999993</v>
      </c>
      <c r="D14" s="216">
        <f t="shared" si="10"/>
        <v>-101653.82</v>
      </c>
      <c r="E14" s="217">
        <f t="shared" si="11"/>
        <v>79</v>
      </c>
      <c r="F14" s="217">
        <f t="shared" si="11"/>
        <v>4.9930555555555554</v>
      </c>
      <c r="G14" s="218"/>
      <c r="H14" s="219">
        <v>13118.28</v>
      </c>
      <c r="I14" s="220">
        <v>12</v>
      </c>
      <c r="J14" s="221">
        <v>0.95833333333333337</v>
      </c>
      <c r="K14" s="222">
        <v>7985.04</v>
      </c>
      <c r="L14" s="223">
        <v>11</v>
      </c>
      <c r="M14" s="224">
        <v>0.58333333333333337</v>
      </c>
      <c r="N14" s="222">
        <v>18821.88</v>
      </c>
      <c r="O14" s="223">
        <v>21</v>
      </c>
      <c r="P14" s="224">
        <v>1.375</v>
      </c>
      <c r="Q14" s="225">
        <v>13878.76</v>
      </c>
      <c r="R14" s="223">
        <v>17</v>
      </c>
      <c r="S14" s="224">
        <v>1.0138888888888888</v>
      </c>
      <c r="T14" s="225">
        <v>14542.22</v>
      </c>
      <c r="U14" s="223">
        <v>18</v>
      </c>
      <c r="V14" s="224">
        <v>1.0625</v>
      </c>
      <c r="W14" s="294"/>
    </row>
    <row r="15" spans="1:23" s="78" customFormat="1" outlineLevel="2">
      <c r="A15" s="134" t="s">
        <v>25</v>
      </c>
      <c r="B15" s="94">
        <v>0</v>
      </c>
      <c r="C15" s="94">
        <f t="shared" si="2"/>
        <v>0</v>
      </c>
      <c r="D15" s="95">
        <f t="shared" si="10"/>
        <v>0</v>
      </c>
      <c r="E15" s="69">
        <f t="shared" si="11"/>
        <v>0</v>
      </c>
      <c r="F15" s="69">
        <f t="shared" si="11"/>
        <v>0</v>
      </c>
      <c r="G15" s="70"/>
      <c r="H15" s="188"/>
      <c r="I15" s="189"/>
      <c r="J15" s="190"/>
      <c r="K15" s="191"/>
      <c r="L15" s="192"/>
      <c r="M15" s="193"/>
      <c r="N15" s="191"/>
      <c r="O15" s="192"/>
      <c r="P15" s="193"/>
      <c r="Q15" s="194"/>
      <c r="R15" s="192"/>
      <c r="S15" s="193"/>
      <c r="T15" s="194"/>
      <c r="U15" s="192"/>
      <c r="V15" s="193"/>
    </row>
    <row r="16" spans="1:23" s="78" customFormat="1" outlineLevel="2">
      <c r="A16" s="134" t="s">
        <v>26</v>
      </c>
      <c r="B16" s="94">
        <v>0</v>
      </c>
      <c r="C16" s="94">
        <f t="shared" si="2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3" s="78" customFormat="1" outlineLevel="2">
      <c r="A17" s="134" t="s">
        <v>120</v>
      </c>
      <c r="B17" s="94">
        <v>0</v>
      </c>
      <c r="C17" s="94">
        <f t="shared" si="2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3" s="78" customFormat="1" outlineLevel="2">
      <c r="A18" s="134" t="s">
        <v>28</v>
      </c>
      <c r="B18" s="94">
        <v>0</v>
      </c>
      <c r="C18" s="94">
        <f t="shared" si="2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3" s="78" customFormat="1" outlineLevel="2">
      <c r="A19" s="134" t="s">
        <v>20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3" s="78" customFormat="1" outlineLevel="2">
      <c r="A20" s="134" t="s">
        <v>21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3">
      <c r="A21" s="57" t="s">
        <v>29</v>
      </c>
      <c r="B21" s="98">
        <f>SUM(B22:B29)</f>
        <v>170000</v>
      </c>
      <c r="C21" s="98">
        <f>SUM(C22:C29)</f>
        <v>109409.16</v>
      </c>
      <c r="D21" s="98">
        <f>SUM(D22:D29)</f>
        <v>-60590.84</v>
      </c>
      <c r="E21" s="56">
        <f>SUM(E22:E29)</f>
        <v>123</v>
      </c>
      <c r="F21" s="56">
        <f>SUM(F22:F29)</f>
        <v>7.9930555555555554</v>
      </c>
      <c r="G21" s="37"/>
      <c r="H21" s="55">
        <f t="shared" ref="H21:V21" si="13">SUM(H22:H29)</f>
        <v>23192.68</v>
      </c>
      <c r="I21" s="56">
        <f t="shared" si="13"/>
        <v>23</v>
      </c>
      <c r="J21" s="56">
        <f t="shared" si="13"/>
        <v>1.6944444444444444</v>
      </c>
      <c r="K21" s="55">
        <f t="shared" si="13"/>
        <v>27661.48</v>
      </c>
      <c r="L21" s="56">
        <f t="shared" si="13"/>
        <v>32</v>
      </c>
      <c r="M21" s="56">
        <f t="shared" si="13"/>
        <v>2.0208333333333335</v>
      </c>
      <c r="N21" s="55">
        <f t="shared" si="13"/>
        <v>18060.419999999998</v>
      </c>
      <c r="O21" s="56">
        <f t="shared" si="13"/>
        <v>19</v>
      </c>
      <c r="P21" s="56">
        <f t="shared" si="13"/>
        <v>1.3194444444444444</v>
      </c>
      <c r="Q21" s="55">
        <f t="shared" si="13"/>
        <v>22528.240000000002</v>
      </c>
      <c r="R21" s="56">
        <f t="shared" si="13"/>
        <v>22</v>
      </c>
      <c r="S21" s="56">
        <f t="shared" si="13"/>
        <v>1.6458333333333333</v>
      </c>
      <c r="T21" s="55">
        <f t="shared" si="13"/>
        <v>17966.34</v>
      </c>
      <c r="U21" s="56">
        <f t="shared" si="13"/>
        <v>27</v>
      </c>
      <c r="V21" s="56">
        <f t="shared" si="13"/>
        <v>1.3125</v>
      </c>
    </row>
    <row r="22" spans="1:23" s="226" customFormat="1" outlineLevel="2">
      <c r="A22" s="165" t="s">
        <v>30</v>
      </c>
      <c r="B22" s="215">
        <f>200000*0.85</f>
        <v>170000</v>
      </c>
      <c r="C22" s="215">
        <f t="shared" si="2"/>
        <v>109409.16</v>
      </c>
      <c r="D22" s="216">
        <f t="shared" ref="D22:D50" si="14">+C22-B22</f>
        <v>-60590.84</v>
      </c>
      <c r="E22" s="217">
        <f t="shared" ref="E22:F29" si="15">+I22+L22+O22+R22+U22</f>
        <v>123</v>
      </c>
      <c r="F22" s="217">
        <f t="shared" si="15"/>
        <v>7.9930555555555554</v>
      </c>
      <c r="G22" s="218"/>
      <c r="H22" s="219">
        <v>23192.68</v>
      </c>
      <c r="I22" s="220">
        <v>23</v>
      </c>
      <c r="J22" s="221">
        <v>1.6944444444444444</v>
      </c>
      <c r="K22" s="222">
        <v>27661.48</v>
      </c>
      <c r="L22" s="223">
        <v>32</v>
      </c>
      <c r="M22" s="224">
        <v>2.0208333333333335</v>
      </c>
      <c r="N22" s="222">
        <v>18060.419999999998</v>
      </c>
      <c r="O22" s="223">
        <v>19</v>
      </c>
      <c r="P22" s="224">
        <v>1.3194444444444444</v>
      </c>
      <c r="Q22" s="225">
        <v>22528.240000000002</v>
      </c>
      <c r="R22" s="223">
        <v>22</v>
      </c>
      <c r="S22" s="224">
        <v>1.6458333333333333</v>
      </c>
      <c r="T22" s="225">
        <v>17966.34</v>
      </c>
      <c r="U22" s="223">
        <v>27</v>
      </c>
      <c r="V22" s="224">
        <v>1.3125</v>
      </c>
      <c r="W22" s="294"/>
    </row>
    <row r="23" spans="1:23" s="78" customFormat="1" outlineLevel="2">
      <c r="A23" s="134" t="s">
        <v>117</v>
      </c>
      <c r="B23" s="94">
        <v>0</v>
      </c>
      <c r="C23" s="94">
        <f t="shared" si="2"/>
        <v>0</v>
      </c>
      <c r="D23" s="95">
        <f t="shared" si="14"/>
        <v>0</v>
      </c>
      <c r="E23" s="69">
        <f t="shared" si="15"/>
        <v>0</v>
      </c>
      <c r="F23" s="69">
        <f t="shared" si="15"/>
        <v>0</v>
      </c>
      <c r="G23" s="70"/>
      <c r="H23" s="188"/>
      <c r="I23" s="189"/>
      <c r="J23" s="190"/>
      <c r="K23" s="191"/>
      <c r="L23" s="192"/>
      <c r="M23" s="193"/>
      <c r="N23" s="191"/>
      <c r="O23" s="192"/>
      <c r="P23" s="193"/>
      <c r="Q23" s="194"/>
      <c r="R23" s="192"/>
      <c r="S23" s="193"/>
      <c r="T23" s="194"/>
      <c r="U23" s="192"/>
      <c r="V23" s="193"/>
    </row>
    <row r="24" spans="1:23" s="78" customFormat="1" outlineLevel="2">
      <c r="A24" s="134" t="s">
        <v>118</v>
      </c>
      <c r="B24" s="94">
        <v>0</v>
      </c>
      <c r="C24" s="94">
        <f t="shared" si="2"/>
        <v>0</v>
      </c>
      <c r="D24" s="95">
        <f t="shared" si="14"/>
        <v>0</v>
      </c>
      <c r="E24" s="69">
        <f t="shared" si="15"/>
        <v>0</v>
      </c>
      <c r="F24" s="69">
        <f t="shared" si="15"/>
        <v>0</v>
      </c>
      <c r="G24" s="70"/>
      <c r="H24" s="188"/>
      <c r="I24" s="189"/>
      <c r="J24" s="190"/>
      <c r="K24" s="191"/>
      <c r="L24" s="192"/>
      <c r="M24" s="193"/>
      <c r="N24" s="191"/>
      <c r="O24" s="192"/>
      <c r="P24" s="193"/>
      <c r="Q24" s="194"/>
      <c r="R24" s="192"/>
      <c r="S24" s="193"/>
      <c r="T24" s="194"/>
      <c r="U24" s="192"/>
      <c r="V24" s="193"/>
    </row>
    <row r="25" spans="1:23" s="78" customFormat="1" outlineLevel="2">
      <c r="A25" s="134" t="s">
        <v>33</v>
      </c>
      <c r="B25" s="94">
        <v>0</v>
      </c>
      <c r="C25" s="94">
        <f t="shared" si="2"/>
        <v>0</v>
      </c>
      <c r="D25" s="95">
        <f t="shared" si="14"/>
        <v>0</v>
      </c>
      <c r="E25" s="69">
        <f t="shared" si="15"/>
        <v>0</v>
      </c>
      <c r="F25" s="69">
        <f t="shared" si="15"/>
        <v>0</v>
      </c>
      <c r="G25" s="70"/>
      <c r="H25" s="188"/>
      <c r="I25" s="189"/>
      <c r="J25" s="190"/>
      <c r="K25" s="191"/>
      <c r="L25" s="192"/>
      <c r="M25" s="193"/>
      <c r="N25" s="191"/>
      <c r="O25" s="192"/>
      <c r="P25" s="193"/>
      <c r="Q25" s="194"/>
      <c r="R25" s="192"/>
      <c r="S25" s="193"/>
      <c r="T25" s="194"/>
      <c r="U25" s="192"/>
      <c r="V25" s="193"/>
    </row>
    <row r="26" spans="1:23" s="78" customFormat="1" outlineLevel="2">
      <c r="A26" s="134" t="s">
        <v>27</v>
      </c>
      <c r="B26" s="94">
        <v>0</v>
      </c>
      <c r="C26" s="94">
        <f t="shared" si="2"/>
        <v>0</v>
      </c>
      <c r="D26" s="95">
        <f t="shared" si="14"/>
        <v>0</v>
      </c>
      <c r="E26" s="69">
        <f t="shared" si="15"/>
        <v>0</v>
      </c>
      <c r="F26" s="69">
        <f t="shared" si="15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3" s="78" customFormat="1" outlineLevel="2">
      <c r="A27" s="134" t="s">
        <v>28</v>
      </c>
      <c r="B27" s="94">
        <v>0</v>
      </c>
      <c r="C27" s="94">
        <f t="shared" si="2"/>
        <v>0</v>
      </c>
      <c r="D27" s="95">
        <f t="shared" si="14"/>
        <v>0</v>
      </c>
      <c r="E27" s="69">
        <f t="shared" si="15"/>
        <v>0</v>
      </c>
      <c r="F27" s="69">
        <f t="shared" si="15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3" s="78" customFormat="1" outlineLevel="2">
      <c r="A28" s="134" t="s">
        <v>20</v>
      </c>
      <c r="B28" s="94">
        <v>0</v>
      </c>
      <c r="C28" s="94">
        <f t="shared" si="2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3" s="78" customFormat="1" outlineLevel="2">
      <c r="A29" s="134" t="s">
        <v>21</v>
      </c>
      <c r="B29" s="94">
        <v>0</v>
      </c>
      <c r="C29" s="94">
        <f t="shared" si="2"/>
        <v>0</v>
      </c>
      <c r="D29" s="95">
        <f t="shared" si="14"/>
        <v>0</v>
      </c>
      <c r="E29" s="69">
        <f t="shared" si="15"/>
        <v>0</v>
      </c>
      <c r="F29" s="69">
        <f t="shared" si="15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3">
      <c r="A30" s="50" t="s">
        <v>34</v>
      </c>
      <c r="B30" s="99">
        <f>SUM(B31:B38)</f>
        <v>34000</v>
      </c>
      <c r="C30" s="99">
        <f t="shared" ref="C30:D30" si="16">SUM(C31:C38)</f>
        <v>26756.939999999995</v>
      </c>
      <c r="D30" s="99">
        <f t="shared" si="16"/>
        <v>-7243.0600000000049</v>
      </c>
      <c r="E30" s="52">
        <f>SUM(E31:E38)</f>
        <v>31</v>
      </c>
      <c r="F30" s="52">
        <f>SUM(F31:F38)</f>
        <v>1.9548611111111112</v>
      </c>
      <c r="G30" s="37"/>
      <c r="H30" s="51">
        <f t="shared" ref="H30" si="17">SUM(H31:H38)</f>
        <v>4561.8999999999996</v>
      </c>
      <c r="I30" s="52">
        <f>SUM(I31:I38)</f>
        <v>6</v>
      </c>
      <c r="J30" s="52">
        <f>SUM(J31:J38)</f>
        <v>0.33333333333333331</v>
      </c>
      <c r="K30" s="51">
        <f t="shared" ref="K30" si="18">SUM(K31:K38)</f>
        <v>5133.24</v>
      </c>
      <c r="L30" s="52">
        <f>SUM(L31:L38)</f>
        <v>5</v>
      </c>
      <c r="M30" s="52">
        <f>SUM(M31:M38)</f>
        <v>0.375</v>
      </c>
      <c r="N30" s="51">
        <f t="shared" ref="N30" si="19">SUM(N31:N38)</f>
        <v>4371.78</v>
      </c>
      <c r="O30" s="52">
        <f>SUM(O31:O38)</f>
        <v>6</v>
      </c>
      <c r="P30" s="52">
        <f>SUM(P31:P38)</f>
        <v>0.31944444444444442</v>
      </c>
      <c r="Q30" s="51">
        <f t="shared" ref="Q30" si="20">SUM(Q31:Q38)</f>
        <v>4419.8</v>
      </c>
      <c r="R30" s="52">
        <f>SUM(R31:R38)</f>
        <v>6</v>
      </c>
      <c r="S30" s="52">
        <f>SUM(S31:S38)</f>
        <v>0.32291666666666669</v>
      </c>
      <c r="T30" s="51">
        <f t="shared" ref="T30" si="21">SUM(T31:T38)</f>
        <v>8270.2199999999993</v>
      </c>
      <c r="U30" s="52">
        <f>SUM(U31:U38)</f>
        <v>8</v>
      </c>
      <c r="V30" s="52">
        <f>SUM(V31:V38)</f>
        <v>0.60416666666666663</v>
      </c>
    </row>
    <row r="31" spans="1:23" s="226" customFormat="1" outlineLevel="2">
      <c r="A31" s="165" t="s">
        <v>35</v>
      </c>
      <c r="B31" s="215">
        <f>200000*0.2*0.85</f>
        <v>34000</v>
      </c>
      <c r="C31" s="215">
        <f t="shared" si="2"/>
        <v>26756.939999999995</v>
      </c>
      <c r="D31" s="216">
        <f t="shared" si="14"/>
        <v>-7243.0600000000049</v>
      </c>
      <c r="E31" s="217">
        <f t="shared" ref="E31:F38" si="22">+I31+L31+O31+R31+U31</f>
        <v>31</v>
      </c>
      <c r="F31" s="217">
        <f t="shared" si="22"/>
        <v>1.9548611111111112</v>
      </c>
      <c r="G31" s="218"/>
      <c r="H31" s="219">
        <v>4561.8999999999996</v>
      </c>
      <c r="I31" s="220">
        <v>6</v>
      </c>
      <c r="J31" s="221">
        <v>0.33333333333333331</v>
      </c>
      <c r="K31" s="222">
        <v>5133.24</v>
      </c>
      <c r="L31" s="223">
        <v>5</v>
      </c>
      <c r="M31" s="224">
        <v>0.375</v>
      </c>
      <c r="N31" s="222">
        <v>4371.78</v>
      </c>
      <c r="O31" s="223">
        <v>6</v>
      </c>
      <c r="P31" s="224">
        <v>0.31944444444444442</v>
      </c>
      <c r="Q31" s="225">
        <v>4419.8</v>
      </c>
      <c r="R31" s="223">
        <v>6</v>
      </c>
      <c r="S31" s="224">
        <v>0.32291666666666669</v>
      </c>
      <c r="T31" s="225">
        <v>8270.2199999999993</v>
      </c>
      <c r="U31" s="223">
        <v>8</v>
      </c>
      <c r="V31" s="224">
        <v>0.60416666666666663</v>
      </c>
      <c r="W31" s="294"/>
    </row>
    <row r="32" spans="1:23" s="78" customFormat="1" outlineLevel="2">
      <c r="A32" s="134" t="s">
        <v>36</v>
      </c>
      <c r="B32" s="94">
        <v>0</v>
      </c>
      <c r="C32" s="94">
        <f t="shared" si="2"/>
        <v>0</v>
      </c>
      <c r="D32" s="95">
        <f t="shared" si="14"/>
        <v>0</v>
      </c>
      <c r="E32" s="69">
        <f t="shared" si="22"/>
        <v>0</v>
      </c>
      <c r="F32" s="69">
        <f t="shared" si="22"/>
        <v>0</v>
      </c>
      <c r="G32" s="70"/>
      <c r="H32" s="188"/>
      <c r="I32" s="189"/>
      <c r="J32" s="190"/>
      <c r="K32" s="191"/>
      <c r="L32" s="192"/>
      <c r="M32" s="193"/>
      <c r="N32" s="191"/>
      <c r="O32" s="192"/>
      <c r="P32" s="193"/>
      <c r="Q32" s="194"/>
      <c r="R32" s="192"/>
      <c r="S32" s="193"/>
      <c r="T32" s="194"/>
      <c r="U32" s="192"/>
      <c r="V32" s="193"/>
    </row>
    <row r="33" spans="1:23" s="78" customFormat="1" outlineLevel="2">
      <c r="A33" s="134" t="s">
        <v>121</v>
      </c>
      <c r="B33" s="94">
        <v>0</v>
      </c>
      <c r="C33" s="94">
        <f t="shared" si="2"/>
        <v>0</v>
      </c>
      <c r="D33" s="95">
        <f t="shared" si="14"/>
        <v>0</v>
      </c>
      <c r="E33" s="69">
        <f t="shared" si="22"/>
        <v>0</v>
      </c>
      <c r="F33" s="69">
        <f t="shared" si="22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3" s="78" customFormat="1" outlineLevel="2">
      <c r="A34" s="134" t="s">
        <v>26</v>
      </c>
      <c r="B34" s="94">
        <v>0</v>
      </c>
      <c r="C34" s="94">
        <f t="shared" si="2"/>
        <v>0</v>
      </c>
      <c r="D34" s="95">
        <f t="shared" si="14"/>
        <v>0</v>
      </c>
      <c r="E34" s="69">
        <f t="shared" si="22"/>
        <v>0</v>
      </c>
      <c r="F34" s="69">
        <f t="shared" si="22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3" s="78" customFormat="1" outlineLevel="2">
      <c r="A35" s="134" t="s">
        <v>37</v>
      </c>
      <c r="B35" s="94">
        <v>0</v>
      </c>
      <c r="C35" s="94">
        <f t="shared" si="2"/>
        <v>0</v>
      </c>
      <c r="D35" s="95">
        <f t="shared" si="14"/>
        <v>0</v>
      </c>
      <c r="E35" s="69">
        <f t="shared" si="22"/>
        <v>0</v>
      </c>
      <c r="F35" s="69">
        <f t="shared" si="22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3" s="78" customFormat="1" outlineLevel="2">
      <c r="A36" s="134" t="s">
        <v>28</v>
      </c>
      <c r="B36" s="94">
        <v>0</v>
      </c>
      <c r="C36" s="94">
        <f t="shared" si="2"/>
        <v>0</v>
      </c>
      <c r="D36" s="95">
        <f t="shared" si="14"/>
        <v>0</v>
      </c>
      <c r="E36" s="69">
        <f t="shared" si="22"/>
        <v>0</v>
      </c>
      <c r="F36" s="69">
        <f t="shared" si="22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3" s="78" customFormat="1" outlineLevel="2">
      <c r="A37" s="134" t="s">
        <v>20</v>
      </c>
      <c r="B37" s="94">
        <v>0</v>
      </c>
      <c r="C37" s="94">
        <f t="shared" si="2"/>
        <v>0</v>
      </c>
      <c r="D37" s="95">
        <f t="shared" si="14"/>
        <v>0</v>
      </c>
      <c r="E37" s="69">
        <f t="shared" si="22"/>
        <v>0</v>
      </c>
      <c r="F37" s="69">
        <f t="shared" si="22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3" s="78" customFormat="1" outlineLevel="2">
      <c r="A38" s="134" t="s">
        <v>21</v>
      </c>
      <c r="B38" s="94">
        <v>0</v>
      </c>
      <c r="C38" s="94">
        <f t="shared" si="2"/>
        <v>0</v>
      </c>
      <c r="D38" s="95">
        <f t="shared" si="14"/>
        <v>0</v>
      </c>
      <c r="E38" s="69">
        <f t="shared" si="22"/>
        <v>0</v>
      </c>
      <c r="F38" s="69">
        <f t="shared" si="22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3">
      <c r="A39" s="67" t="s">
        <v>38</v>
      </c>
      <c r="B39" s="100">
        <f>SUM(B40:B41)</f>
        <v>170000</v>
      </c>
      <c r="C39" s="100">
        <f>SUM(C40:C41)</f>
        <v>37262.539999999994</v>
      </c>
      <c r="D39" s="100">
        <f>SUM(D40:D41)</f>
        <v>-132737.46000000002</v>
      </c>
      <c r="E39" s="60">
        <f>SUM(E40:E41)</f>
        <v>41</v>
      </c>
      <c r="F39" s="60">
        <f>SUM(F40:F41)</f>
        <v>2.7222222222222223</v>
      </c>
      <c r="G39" s="37"/>
      <c r="H39" s="59">
        <f t="shared" ref="H39:V39" si="23">SUM(H40:H41)</f>
        <v>11026.96</v>
      </c>
      <c r="I39" s="60">
        <f t="shared" si="23"/>
        <v>15</v>
      </c>
      <c r="J39" s="60">
        <f t="shared" si="23"/>
        <v>0.80555555555555558</v>
      </c>
      <c r="K39" s="59">
        <f t="shared" si="23"/>
        <v>9980.32</v>
      </c>
      <c r="L39" s="60">
        <f t="shared" si="23"/>
        <v>11</v>
      </c>
      <c r="M39" s="60">
        <f t="shared" si="23"/>
        <v>0.72916666666666663</v>
      </c>
      <c r="N39" s="59">
        <f t="shared" si="23"/>
        <v>0</v>
      </c>
      <c r="O39" s="60">
        <f t="shared" si="23"/>
        <v>0</v>
      </c>
      <c r="P39" s="60">
        <f t="shared" si="23"/>
        <v>0</v>
      </c>
      <c r="Q39" s="59">
        <f t="shared" si="23"/>
        <v>2566.62</v>
      </c>
      <c r="R39" s="60">
        <f t="shared" si="23"/>
        <v>3</v>
      </c>
      <c r="S39" s="60">
        <f t="shared" si="23"/>
        <v>0.1875</v>
      </c>
      <c r="T39" s="59">
        <f t="shared" si="23"/>
        <v>13688.64</v>
      </c>
      <c r="U39" s="60">
        <f t="shared" si="23"/>
        <v>12</v>
      </c>
      <c r="V39" s="60">
        <f t="shared" si="23"/>
        <v>1</v>
      </c>
    </row>
    <row r="40" spans="1:23" outlineLevel="2">
      <c r="A40" s="133" t="s">
        <v>39</v>
      </c>
      <c r="B40" s="97">
        <v>170000</v>
      </c>
      <c r="C40" s="92">
        <f t="shared" si="2"/>
        <v>37262.539999999994</v>
      </c>
      <c r="D40" s="93">
        <f t="shared" si="14"/>
        <v>-132737.46000000002</v>
      </c>
      <c r="E40" s="18">
        <f t="shared" ref="E40:F41" si="24">+I40+L40+O40+R40+U40</f>
        <v>41</v>
      </c>
      <c r="F40" s="18">
        <f t="shared" si="24"/>
        <v>2.7222222222222223</v>
      </c>
      <c r="G40" s="37"/>
      <c r="H40" s="181">
        <v>11026.96</v>
      </c>
      <c r="I40" s="182">
        <v>15</v>
      </c>
      <c r="J40" s="183">
        <v>0.80555555555555558</v>
      </c>
      <c r="K40" s="184">
        <v>9980.32</v>
      </c>
      <c r="L40" s="185">
        <v>11</v>
      </c>
      <c r="M40" s="186">
        <v>0.72916666666666663</v>
      </c>
      <c r="N40" s="184"/>
      <c r="O40" s="185"/>
      <c r="P40" s="186"/>
      <c r="Q40" s="187">
        <v>2566.62</v>
      </c>
      <c r="R40" s="185">
        <v>3</v>
      </c>
      <c r="S40" s="186">
        <v>0.1875</v>
      </c>
      <c r="T40" s="187">
        <v>13688.64</v>
      </c>
      <c r="U40" s="185">
        <v>12</v>
      </c>
      <c r="V40" s="186">
        <v>1</v>
      </c>
      <c r="W40" s="295"/>
    </row>
    <row r="41" spans="1:23" s="78" customFormat="1" outlineLevel="2">
      <c r="A41" s="134" t="s">
        <v>36</v>
      </c>
      <c r="B41" s="94">
        <v>0</v>
      </c>
      <c r="C41" s="94">
        <f t="shared" si="2"/>
        <v>0</v>
      </c>
      <c r="D41" s="95">
        <f t="shared" si="14"/>
        <v>0</v>
      </c>
      <c r="E41" s="69">
        <f t="shared" si="24"/>
        <v>0</v>
      </c>
      <c r="F41" s="69">
        <f t="shared" si="24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3">
      <c r="A42" s="47" t="s">
        <v>40</v>
      </c>
      <c r="B42" s="101">
        <f>SUM(B43:B44)</f>
        <v>85000</v>
      </c>
      <c r="C42" s="101">
        <f>SUM(C43:C44)</f>
        <v>38214.120000000003</v>
      </c>
      <c r="D42" s="101">
        <f>SUM(D43:D44)</f>
        <v>-46785.88</v>
      </c>
      <c r="E42" s="49">
        <f>SUM(E43:E44)</f>
        <v>44</v>
      </c>
      <c r="F42" s="49">
        <f>SUM(F43:F44)</f>
        <v>2.791666666666667</v>
      </c>
      <c r="G42" s="37"/>
      <c r="H42" s="48">
        <f t="shared" ref="H42:V42" si="25">SUM(H43:H44)</f>
        <v>9886.24</v>
      </c>
      <c r="I42" s="49">
        <f t="shared" si="25"/>
        <v>16</v>
      </c>
      <c r="J42" s="49">
        <f t="shared" si="25"/>
        <v>0.72222222222222221</v>
      </c>
      <c r="K42" s="48">
        <f t="shared" si="25"/>
        <v>11787.44</v>
      </c>
      <c r="L42" s="49">
        <f t="shared" si="25"/>
        <v>13</v>
      </c>
      <c r="M42" s="49">
        <f t="shared" si="25"/>
        <v>0.86111111111111116</v>
      </c>
      <c r="N42" s="48">
        <f t="shared" si="25"/>
        <v>10836.84</v>
      </c>
      <c r="O42" s="49">
        <f t="shared" si="25"/>
        <v>11</v>
      </c>
      <c r="P42" s="49">
        <f t="shared" si="25"/>
        <v>0.79166666666666663</v>
      </c>
      <c r="Q42" s="48">
        <f t="shared" si="25"/>
        <v>2851.8</v>
      </c>
      <c r="R42" s="49">
        <f t="shared" si="25"/>
        <v>2</v>
      </c>
      <c r="S42" s="49">
        <f t="shared" si="25"/>
        <v>0.20833333333333334</v>
      </c>
      <c r="T42" s="48">
        <f t="shared" si="25"/>
        <v>2851.8</v>
      </c>
      <c r="U42" s="49">
        <f t="shared" si="25"/>
        <v>2</v>
      </c>
      <c r="V42" s="49">
        <f t="shared" si="25"/>
        <v>0.20833333333333334</v>
      </c>
    </row>
    <row r="43" spans="1:23" outlineLevel="2">
      <c r="A43" s="1" t="s">
        <v>41</v>
      </c>
      <c r="B43" s="97">
        <f>200000/2*0.85</f>
        <v>85000</v>
      </c>
      <c r="C43" s="92">
        <f t="shared" si="2"/>
        <v>38214.120000000003</v>
      </c>
      <c r="D43" s="93">
        <f t="shared" ref="D43:D44" si="26">+C43-B43</f>
        <v>-46785.88</v>
      </c>
      <c r="E43" s="18">
        <f t="shared" ref="E43:F44" si="27">+I43+L43+O43+R43+U43</f>
        <v>44</v>
      </c>
      <c r="F43" s="18">
        <f t="shared" si="27"/>
        <v>2.791666666666667</v>
      </c>
      <c r="G43" s="37"/>
      <c r="H43" s="181">
        <v>9886.24</v>
      </c>
      <c r="I43" s="182">
        <v>16</v>
      </c>
      <c r="J43" s="183">
        <v>0.72222222222222221</v>
      </c>
      <c r="K43" s="184">
        <v>11787.44</v>
      </c>
      <c r="L43" s="185">
        <v>13</v>
      </c>
      <c r="M43" s="186">
        <v>0.86111111111111116</v>
      </c>
      <c r="N43" s="184">
        <v>10836.84</v>
      </c>
      <c r="O43" s="185">
        <v>11</v>
      </c>
      <c r="P43" s="186">
        <v>0.79166666666666663</v>
      </c>
      <c r="Q43" s="187">
        <v>2851.8</v>
      </c>
      <c r="R43" s="185">
        <v>2</v>
      </c>
      <c r="S43" s="186">
        <v>0.20833333333333334</v>
      </c>
      <c r="T43" s="187">
        <v>2851.8</v>
      </c>
      <c r="U43" s="185">
        <v>2</v>
      </c>
      <c r="V43" s="186">
        <v>0.20833333333333334</v>
      </c>
      <c r="W43" s="295"/>
    </row>
    <row r="44" spans="1:23" s="78" customFormat="1" outlineLevel="2">
      <c r="A44" s="68" t="s">
        <v>36</v>
      </c>
      <c r="B44" s="94">
        <v>0</v>
      </c>
      <c r="C44" s="94">
        <f t="shared" si="2"/>
        <v>0</v>
      </c>
      <c r="D44" s="95">
        <f t="shared" si="26"/>
        <v>0</v>
      </c>
      <c r="E44" s="69">
        <f t="shared" si="27"/>
        <v>0</v>
      </c>
      <c r="F44" s="69">
        <f t="shared" si="27"/>
        <v>0</v>
      </c>
      <c r="G44" s="70"/>
      <c r="H44" s="188"/>
      <c r="I44" s="189"/>
      <c r="J44" s="190"/>
      <c r="K44" s="191"/>
      <c r="L44" s="192"/>
      <c r="M44" s="193"/>
      <c r="N44" s="191"/>
      <c r="O44" s="192"/>
      <c r="P44" s="193"/>
      <c r="Q44" s="194"/>
      <c r="R44" s="192"/>
      <c r="S44" s="193"/>
      <c r="T44" s="194"/>
      <c r="U44" s="192"/>
      <c r="V44" s="193"/>
    </row>
    <row r="45" spans="1:23">
      <c r="A45" s="198" t="s">
        <v>42</v>
      </c>
      <c r="B45" s="199">
        <f>SUM(B46:B47)</f>
        <v>0</v>
      </c>
      <c r="C45" s="199">
        <f>SUM(C46:C47)</f>
        <v>0</v>
      </c>
      <c r="D45" s="199">
        <f>SUM(D46:D47)</f>
        <v>0</v>
      </c>
      <c r="E45" s="200">
        <f>SUM(E46:E47)</f>
        <v>0</v>
      </c>
      <c r="F45" s="200">
        <f>SUM(F46:F47)</f>
        <v>0</v>
      </c>
      <c r="G45" s="37"/>
      <c r="H45" s="211">
        <f t="shared" ref="H45:V45" si="28">SUM(H46:H47)</f>
        <v>0</v>
      </c>
      <c r="I45" s="200">
        <f t="shared" si="28"/>
        <v>0</v>
      </c>
      <c r="J45" s="200">
        <f t="shared" si="28"/>
        <v>0</v>
      </c>
      <c r="K45" s="211">
        <f t="shared" si="28"/>
        <v>0</v>
      </c>
      <c r="L45" s="200">
        <f t="shared" si="28"/>
        <v>0</v>
      </c>
      <c r="M45" s="200">
        <f t="shared" si="28"/>
        <v>0</v>
      </c>
      <c r="N45" s="211">
        <f t="shared" si="28"/>
        <v>0</v>
      </c>
      <c r="O45" s="200">
        <f t="shared" si="28"/>
        <v>0</v>
      </c>
      <c r="P45" s="200">
        <f t="shared" si="28"/>
        <v>0</v>
      </c>
      <c r="Q45" s="211">
        <f t="shared" si="28"/>
        <v>0</v>
      </c>
      <c r="R45" s="200">
        <f t="shared" si="28"/>
        <v>0</v>
      </c>
      <c r="S45" s="200">
        <f t="shared" si="28"/>
        <v>0</v>
      </c>
      <c r="T45" s="211">
        <f t="shared" si="28"/>
        <v>0</v>
      </c>
      <c r="U45" s="200">
        <f t="shared" si="28"/>
        <v>0</v>
      </c>
      <c r="V45" s="200">
        <f t="shared" si="28"/>
        <v>0</v>
      </c>
    </row>
    <row r="46" spans="1:23" s="78" customFormat="1" outlineLevel="2">
      <c r="A46" s="68" t="s">
        <v>43</v>
      </c>
      <c r="B46" s="94">
        <v>0</v>
      </c>
      <c r="C46" s="94">
        <f t="shared" si="2"/>
        <v>0</v>
      </c>
      <c r="D46" s="95">
        <f t="shared" ref="D46:D47" si="29">+C46-B46</f>
        <v>0</v>
      </c>
      <c r="E46" s="69">
        <f t="shared" ref="E46:F47" si="30">+I46+L46+O46+R46+U46</f>
        <v>0</v>
      </c>
      <c r="F46" s="69">
        <f t="shared" si="30"/>
        <v>0</v>
      </c>
      <c r="G46" s="70"/>
      <c r="H46" s="188"/>
      <c r="I46" s="189"/>
      <c r="J46" s="190"/>
      <c r="K46" s="191"/>
      <c r="L46" s="192"/>
      <c r="M46" s="193"/>
      <c r="N46" s="191"/>
      <c r="O46" s="192"/>
      <c r="P46" s="193"/>
      <c r="Q46" s="194"/>
      <c r="R46" s="192"/>
      <c r="S46" s="193"/>
      <c r="T46" s="194"/>
      <c r="U46" s="192"/>
      <c r="V46" s="193"/>
    </row>
    <row r="47" spans="1:23" s="78" customFormat="1" outlineLevel="2">
      <c r="A47" s="68" t="s">
        <v>36</v>
      </c>
      <c r="B47" s="94">
        <v>0</v>
      </c>
      <c r="C47" s="94">
        <f t="shared" si="2"/>
        <v>0</v>
      </c>
      <c r="D47" s="95">
        <f t="shared" si="29"/>
        <v>0</v>
      </c>
      <c r="E47" s="69">
        <f t="shared" si="30"/>
        <v>0</v>
      </c>
      <c r="F47" s="69">
        <f t="shared" si="30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3">
      <c r="A48" s="198" t="s">
        <v>44</v>
      </c>
      <c r="B48" s="199">
        <f>SUM(B49:B50)</f>
        <v>0</v>
      </c>
      <c r="C48" s="199">
        <f>SUM(C49:C50)</f>
        <v>0</v>
      </c>
      <c r="D48" s="199">
        <f>SUM(D49:D50)</f>
        <v>0</v>
      </c>
      <c r="E48" s="200">
        <f>SUM(E49:E50)</f>
        <v>0</v>
      </c>
      <c r="F48" s="200">
        <f>SUM(F49:F50)</f>
        <v>0</v>
      </c>
      <c r="G48" s="37"/>
      <c r="H48" s="211">
        <f t="shared" ref="H48:V48" si="31">SUM(H49:H50)</f>
        <v>0</v>
      </c>
      <c r="I48" s="200">
        <f t="shared" si="31"/>
        <v>0</v>
      </c>
      <c r="J48" s="200">
        <f t="shared" si="31"/>
        <v>0</v>
      </c>
      <c r="K48" s="211">
        <f t="shared" si="31"/>
        <v>0</v>
      </c>
      <c r="L48" s="200">
        <f t="shared" si="31"/>
        <v>0</v>
      </c>
      <c r="M48" s="200">
        <f t="shared" si="31"/>
        <v>0</v>
      </c>
      <c r="N48" s="211">
        <f t="shared" si="31"/>
        <v>0</v>
      </c>
      <c r="O48" s="200">
        <f t="shared" si="31"/>
        <v>0</v>
      </c>
      <c r="P48" s="200">
        <f t="shared" si="31"/>
        <v>0</v>
      </c>
      <c r="Q48" s="211">
        <f t="shared" si="31"/>
        <v>0</v>
      </c>
      <c r="R48" s="200">
        <f t="shared" si="31"/>
        <v>0</v>
      </c>
      <c r="S48" s="200">
        <f t="shared" si="31"/>
        <v>0</v>
      </c>
      <c r="T48" s="211">
        <f t="shared" si="31"/>
        <v>0</v>
      </c>
      <c r="U48" s="200">
        <f t="shared" si="31"/>
        <v>0</v>
      </c>
      <c r="V48" s="200">
        <f t="shared" si="31"/>
        <v>0</v>
      </c>
    </row>
    <row r="49" spans="1:22" s="78" customFormat="1" outlineLevel="2">
      <c r="A49" s="68" t="s">
        <v>43</v>
      </c>
      <c r="B49" s="94">
        <v>0</v>
      </c>
      <c r="C49" s="94">
        <f t="shared" si="2"/>
        <v>0</v>
      </c>
      <c r="D49" s="95">
        <f t="shared" si="14"/>
        <v>0</v>
      </c>
      <c r="E49" s="69">
        <f t="shared" ref="E49:F50" si="32">+I49+L49+O49+R49+U49</f>
        <v>0</v>
      </c>
      <c r="F49" s="69">
        <f t="shared" si="32"/>
        <v>0</v>
      </c>
      <c r="G49" s="70"/>
      <c r="H49" s="188"/>
      <c r="I49" s="189"/>
      <c r="J49" s="190"/>
      <c r="K49" s="191"/>
      <c r="L49" s="192"/>
      <c r="M49" s="193"/>
      <c r="N49" s="191"/>
      <c r="O49" s="192"/>
      <c r="P49" s="193"/>
      <c r="Q49" s="194"/>
      <c r="R49" s="192"/>
      <c r="S49" s="193"/>
      <c r="T49" s="194"/>
      <c r="U49" s="192"/>
      <c r="V49" s="193"/>
    </row>
    <row r="50" spans="1:22" s="78" customFormat="1" outlineLevel="2">
      <c r="A50" s="68" t="s">
        <v>36</v>
      </c>
      <c r="B50" s="94">
        <v>0</v>
      </c>
      <c r="C50" s="94">
        <f t="shared" si="2"/>
        <v>0</v>
      </c>
      <c r="D50" s="95">
        <f t="shared" si="14"/>
        <v>0</v>
      </c>
      <c r="E50" s="69">
        <f t="shared" si="32"/>
        <v>0</v>
      </c>
      <c r="F50" s="69">
        <f t="shared" si="32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ht="18">
      <c r="A51" s="138" t="s">
        <v>45</v>
      </c>
      <c r="B51" s="102">
        <f>+B48+B39+B30+B21+B12+B3+B45+B42</f>
        <v>2164000</v>
      </c>
      <c r="C51" s="102">
        <f>+C48+C39+C30+C21+C12+C3+C45+C42</f>
        <v>1297965.5</v>
      </c>
      <c r="D51" s="102">
        <f>+D48+D39+D30+D21+D12+D3+D45+D42</f>
        <v>-866034.5</v>
      </c>
      <c r="E51" s="90">
        <f>+E48+E39+E30+E21+E12+E3+E45+E42</f>
        <v>1333</v>
      </c>
      <c r="F51" s="90">
        <f>+F48+F39+F30+F21+F12+F3+F45+F42</f>
        <v>77.985416666666666</v>
      </c>
      <c r="G51" s="38"/>
      <c r="H51" s="196">
        <f t="shared" ref="H51:V51" si="33">+H48+H39+H30+H21+H12+H3+H45+H42</f>
        <v>283890.24</v>
      </c>
      <c r="I51" s="197">
        <f t="shared" si="33"/>
        <v>299</v>
      </c>
      <c r="J51" s="197">
        <f t="shared" si="33"/>
        <v>16.805555555555554</v>
      </c>
      <c r="K51" s="196">
        <f t="shared" si="33"/>
        <v>280871.82</v>
      </c>
      <c r="L51" s="197">
        <f t="shared" si="33"/>
        <v>276</v>
      </c>
      <c r="M51" s="197">
        <f t="shared" si="33"/>
        <v>16.277777777777779</v>
      </c>
      <c r="N51" s="196">
        <f t="shared" si="33"/>
        <v>274560.16000000003</v>
      </c>
      <c r="O51" s="197">
        <f t="shared" si="33"/>
        <v>278</v>
      </c>
      <c r="P51" s="197">
        <f t="shared" si="33"/>
        <v>15.920138888888889</v>
      </c>
      <c r="Q51" s="196">
        <f t="shared" si="33"/>
        <v>244667.58</v>
      </c>
      <c r="R51" s="197">
        <f t="shared" si="33"/>
        <v>249</v>
      </c>
      <c r="S51" s="197">
        <f t="shared" si="33"/>
        <v>16.277083333333334</v>
      </c>
      <c r="T51" s="196">
        <f t="shared" si="33"/>
        <v>213975.69999999998</v>
      </c>
      <c r="U51" s="197">
        <f t="shared" si="33"/>
        <v>231</v>
      </c>
      <c r="V51" s="197">
        <f t="shared" si="33"/>
        <v>12.704861111111112</v>
      </c>
    </row>
    <row r="53" spans="1:22" ht="18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  <c r="J53" s="176"/>
    </row>
    <row r="54" spans="1:22">
      <c r="A54" s="87" t="s">
        <v>47</v>
      </c>
      <c r="B54" s="105">
        <f>+B55+B64+B73+B82+B91+B100+B94+B97</f>
        <v>990260</v>
      </c>
      <c r="C54" s="105">
        <f>+C55+C64+C73+C82+C91+C100+C94+C97</f>
        <v>990997</v>
      </c>
      <c r="D54" s="106">
        <f>+C54-B54</f>
        <v>737</v>
      </c>
    </row>
    <row r="55" spans="1:22" outlineLevel="1">
      <c r="A55" s="44" t="s">
        <v>48</v>
      </c>
      <c r="B55" s="107">
        <f>SUM(B56:B63)*1.34</f>
        <v>600320</v>
      </c>
      <c r="C55" s="107">
        <f>SUM(C56:C63)*1.34</f>
        <v>599047</v>
      </c>
      <c r="D55" s="108">
        <f>+C55-B55</f>
        <v>-1273</v>
      </c>
    </row>
    <row r="56" spans="1:22" outlineLevel="2">
      <c r="A56" s="132" t="str">
        <f t="shared" ref="A56:A102" si="34">+A4</f>
        <v>psych. s. 1 - NÁGLOVÁ</v>
      </c>
      <c r="B56" s="93">
        <v>60000</v>
      </c>
      <c r="C56" s="93">
        <v>62550</v>
      </c>
      <c r="D56" s="109">
        <f t="shared" ref="D56:D129" si="35">+C56-B56</f>
        <v>2550</v>
      </c>
      <c r="F56" s="16"/>
      <c r="G56" s="40"/>
    </row>
    <row r="57" spans="1:22" outlineLevel="2">
      <c r="A57" s="133" t="str">
        <f t="shared" si="34"/>
        <v>psych. s. 2 - HAJASOVÁ</v>
      </c>
      <c r="B57" s="93">
        <v>47000</v>
      </c>
      <c r="C57" s="93">
        <f>+B57</f>
        <v>47000</v>
      </c>
      <c r="D57" s="109">
        <f t="shared" si="35"/>
        <v>0</v>
      </c>
      <c r="F57" s="16"/>
      <c r="G57" s="40"/>
    </row>
    <row r="58" spans="1:22" outlineLevel="2">
      <c r="A58" s="133" t="str">
        <f t="shared" si="34"/>
        <v>psych. s. 3 -  KAŠPÁRKOVÁ/Pekárová</v>
      </c>
      <c r="B58" s="93">
        <v>65000</v>
      </c>
      <c r="C58" s="93">
        <f>+B58</f>
        <v>65000</v>
      </c>
      <c r="D58" s="109">
        <f t="shared" si="35"/>
        <v>0</v>
      </c>
      <c r="F58" s="16"/>
      <c r="G58" s="40"/>
    </row>
    <row r="59" spans="1:22" s="164" customFormat="1" outlineLevel="2">
      <c r="A59" s="134" t="str">
        <f t="shared" si="34"/>
        <v>psych. s. 4 -</v>
      </c>
      <c r="B59" s="155">
        <v>0</v>
      </c>
      <c r="C59" s="155">
        <v>0</v>
      </c>
      <c r="D59" s="156">
        <f t="shared" si="35"/>
        <v>0</v>
      </c>
      <c r="E59" s="157"/>
      <c r="F59" s="157"/>
      <c r="G59" s="158"/>
      <c r="H59" s="159"/>
      <c r="I59" s="160"/>
      <c r="J59" s="160"/>
      <c r="K59" s="159"/>
      <c r="L59" s="161"/>
      <c r="M59" s="162"/>
      <c r="N59" s="159"/>
      <c r="O59" s="161"/>
      <c r="P59" s="163"/>
      <c r="Q59" s="159"/>
      <c r="R59" s="161"/>
      <c r="S59" s="163"/>
      <c r="T59" s="159"/>
      <c r="U59" s="161"/>
      <c r="V59" s="163"/>
    </row>
    <row r="60" spans="1:22" outlineLevel="2">
      <c r="A60" s="133" t="str">
        <f t="shared" si="34"/>
        <v>psychiatr - GÁBEL 0,2</v>
      </c>
      <c r="B60" s="93">
        <v>16000</v>
      </c>
      <c r="C60" s="93">
        <f>+B60</f>
        <v>16000</v>
      </c>
      <c r="D60" s="109">
        <f t="shared" si="35"/>
        <v>0</v>
      </c>
      <c r="F60" s="16"/>
      <c r="G60" s="40"/>
      <c r="J60" s="82"/>
    </row>
    <row r="61" spans="1:22" outlineLevel="2">
      <c r="A61" s="133" t="str">
        <f t="shared" si="34"/>
        <v>psychiatr - PFEIFFER 0,5</v>
      </c>
      <c r="B61" s="93">
        <v>85000</v>
      </c>
      <c r="C61" s="93">
        <f>+B61</f>
        <v>85000</v>
      </c>
      <c r="D61" s="109">
        <f t="shared" si="35"/>
        <v>0</v>
      </c>
      <c r="F61" s="16"/>
      <c r="G61" s="40"/>
      <c r="J61" s="82"/>
    </row>
    <row r="62" spans="1:22" s="175" customFormat="1" outlineLevel="2">
      <c r="A62" s="133" t="str">
        <f t="shared" si="34"/>
        <v>psychiatr - Dr. Suchánková 1,0</v>
      </c>
      <c r="B62" s="166">
        <v>160000</v>
      </c>
      <c r="C62" s="166">
        <v>156500</v>
      </c>
      <c r="D62" s="167">
        <f t="shared" si="35"/>
        <v>-3500</v>
      </c>
      <c r="E62" s="168"/>
      <c r="F62" s="168"/>
      <c r="G62" s="169"/>
      <c r="H62" s="170"/>
      <c r="I62" s="171"/>
      <c r="J62" s="171"/>
      <c r="K62" s="170"/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75" customFormat="1" outlineLevel="2">
      <c r="A63" s="133" t="str">
        <f t="shared" si="34"/>
        <v>psycholog 2 - Lichtenbergová</v>
      </c>
      <c r="B63" s="166">
        <v>15000</v>
      </c>
      <c r="C63" s="166">
        <f>+B63</f>
        <v>15000</v>
      </c>
      <c r="D63" s="167">
        <f t="shared" si="35"/>
        <v>0</v>
      </c>
      <c r="E63" s="168"/>
      <c r="F63" s="168"/>
      <c r="G63" s="169"/>
      <c r="H63" s="170"/>
      <c r="I63" s="171"/>
      <c r="J63" s="171"/>
      <c r="K63" s="170"/>
      <c r="L63" s="172"/>
      <c r="M63" s="173"/>
      <c r="N63" s="170"/>
      <c r="O63" s="172"/>
      <c r="P63" s="174"/>
      <c r="Q63" s="170"/>
      <c r="R63" s="172"/>
      <c r="S63" s="174"/>
      <c r="T63" s="170"/>
      <c r="U63" s="172"/>
      <c r="V63" s="174"/>
    </row>
    <row r="64" spans="1:22" outlineLevel="1">
      <c r="A64" s="58" t="s">
        <v>52</v>
      </c>
      <c r="B64" s="111">
        <f>SUM(B65:B72)*1.34</f>
        <v>154100</v>
      </c>
      <c r="C64" s="111">
        <f>SUM(C65:C72)*1.34</f>
        <v>154100</v>
      </c>
      <c r="D64" s="112">
        <f>+C64-B64</f>
        <v>0</v>
      </c>
      <c r="F64" s="16"/>
      <c r="G64" s="40"/>
      <c r="J64" s="82"/>
    </row>
    <row r="65" spans="1:22" outlineLevel="2">
      <c r="A65" s="133" t="str">
        <f t="shared" si="34"/>
        <v>psych. s 1 - Blažková</v>
      </c>
      <c r="B65" s="93">
        <v>55000</v>
      </c>
      <c r="C65" s="93">
        <f>+B65</f>
        <v>55000</v>
      </c>
      <c r="D65" s="109">
        <f t="shared" si="35"/>
        <v>0</v>
      </c>
      <c r="F65" s="16"/>
      <c r="G65" s="40"/>
      <c r="J65" s="82"/>
    </row>
    <row r="66" spans="1:22" s="175" customFormat="1" outlineLevel="2">
      <c r="A66" s="133" t="str">
        <f t="shared" si="34"/>
        <v>psych. s 2 - Pátková</v>
      </c>
      <c r="B66" s="166">
        <v>60000</v>
      </c>
      <c r="C66" s="166">
        <f>+B66</f>
        <v>60000</v>
      </c>
      <c r="D66" s="167">
        <f t="shared" si="35"/>
        <v>0</v>
      </c>
      <c r="E66" s="168"/>
      <c r="F66" s="168"/>
      <c r="G66" s="169"/>
      <c r="H66" s="170"/>
      <c r="I66" s="171"/>
      <c r="J66" s="171"/>
      <c r="K66" s="170"/>
      <c r="L66" s="172"/>
      <c r="M66" s="173"/>
      <c r="N66" s="170"/>
      <c r="O66" s="172"/>
      <c r="P66" s="174"/>
      <c r="Q66" s="170"/>
      <c r="R66" s="172"/>
      <c r="S66" s="174"/>
      <c r="T66" s="170"/>
      <c r="U66" s="172"/>
      <c r="V66" s="174"/>
    </row>
    <row r="67" spans="1:22" s="164" customFormat="1" outlineLevel="2">
      <c r="A67" s="134" t="str">
        <f t="shared" si="34"/>
        <v>psych. s 3</v>
      </c>
      <c r="B67" s="155">
        <v>0</v>
      </c>
      <c r="C67" s="155">
        <v>0</v>
      </c>
      <c r="D67" s="156">
        <f t="shared" si="35"/>
        <v>0</v>
      </c>
      <c r="E67" s="157"/>
      <c r="F67" s="157"/>
      <c r="G67" s="158"/>
      <c r="H67" s="159"/>
      <c r="I67" s="160"/>
      <c r="J67" s="160"/>
      <c r="K67" s="159"/>
      <c r="L67" s="161"/>
      <c r="M67" s="162"/>
      <c r="N67" s="159"/>
      <c r="O67" s="161"/>
      <c r="P67" s="163"/>
      <c r="Q67" s="159"/>
      <c r="R67" s="161"/>
      <c r="S67" s="163"/>
      <c r="T67" s="159"/>
      <c r="U67" s="161"/>
      <c r="V67" s="163"/>
    </row>
    <row r="68" spans="1:22" s="164" customFormat="1" outlineLevel="2">
      <c r="A68" s="134" t="str">
        <f t="shared" si="34"/>
        <v>psych. s 4</v>
      </c>
      <c r="B68" s="155">
        <v>0</v>
      </c>
      <c r="C68" s="155">
        <v>0</v>
      </c>
      <c r="D68" s="156">
        <f t="shared" si="35"/>
        <v>0</v>
      </c>
      <c r="E68" s="157"/>
      <c r="F68" s="157"/>
      <c r="G68" s="158"/>
      <c r="H68" s="159"/>
      <c r="I68" s="160"/>
      <c r="J68" s="160"/>
      <c r="K68" s="159"/>
      <c r="L68" s="297"/>
      <c r="M68" s="162"/>
      <c r="N68" s="159"/>
      <c r="O68" s="161"/>
      <c r="P68" s="163"/>
      <c r="Q68" s="159"/>
      <c r="R68" s="161"/>
      <c r="S68" s="163"/>
      <c r="T68" s="159"/>
      <c r="U68" s="161"/>
      <c r="V68" s="163"/>
    </row>
    <row r="69" spans="1:22" s="164" customFormat="1" outlineLevel="2">
      <c r="A69" s="134" t="str">
        <f t="shared" si="34"/>
        <v>psychiatr 1 - 0,5 od ??</v>
      </c>
      <c r="B69" s="155">
        <v>0</v>
      </c>
      <c r="C69" s="155">
        <v>0</v>
      </c>
      <c r="D69" s="156">
        <f t="shared" si="35"/>
        <v>0</v>
      </c>
      <c r="E69" s="157"/>
      <c r="F69" s="157"/>
      <c r="G69" s="158"/>
      <c r="H69" s="159"/>
      <c r="I69" s="160"/>
      <c r="J69" s="160"/>
      <c r="K69" s="159"/>
      <c r="L69" s="161"/>
      <c r="M69" s="162"/>
      <c r="N69" s="159"/>
      <c r="O69" s="161"/>
      <c r="P69" s="163"/>
      <c r="Q69" s="159"/>
      <c r="R69" s="161"/>
      <c r="S69" s="163"/>
      <c r="T69" s="159"/>
      <c r="U69" s="161"/>
      <c r="V69" s="163"/>
    </row>
    <row r="70" spans="1:22" s="78" customFormat="1" outlineLevel="2">
      <c r="A70" s="134" t="str">
        <f t="shared" si="34"/>
        <v>psychiatr 2</v>
      </c>
      <c r="B70" s="95">
        <v>0</v>
      </c>
      <c r="C70" s="95">
        <v>0</v>
      </c>
      <c r="D70" s="110">
        <f t="shared" si="35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>
      <c r="A71" s="134" t="str">
        <f t="shared" si="34"/>
        <v>psycholog 1 - 0,5</v>
      </c>
      <c r="B71" s="95">
        <v>0</v>
      </c>
      <c r="C71" s="95">
        <v>0</v>
      </c>
      <c r="D71" s="110">
        <f t="shared" si="35"/>
        <v>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>
      <c r="A72" s="134" t="str">
        <f t="shared" si="34"/>
        <v>psycholog 2</v>
      </c>
      <c r="B72" s="95">
        <v>0</v>
      </c>
      <c r="C72" s="95">
        <v>0</v>
      </c>
      <c r="D72" s="110">
        <f t="shared" si="35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>
      <c r="A73" s="57" t="s">
        <v>58</v>
      </c>
      <c r="B73" s="113">
        <f>SUM(B74:B81)*1.34</f>
        <v>100500</v>
      </c>
      <c r="C73" s="113">
        <f>SUM(C74:C81)*1.34</f>
        <v>102510</v>
      </c>
      <c r="D73" s="114">
        <f>+C73-B73</f>
        <v>2010</v>
      </c>
      <c r="F73" s="16"/>
      <c r="G73" s="40"/>
      <c r="J73" s="82"/>
    </row>
    <row r="74" spans="1:22" outlineLevel="2">
      <c r="A74" s="165" t="str">
        <f t="shared" si="34"/>
        <v>psych. s 1 - ZELENKOVÁ</v>
      </c>
      <c r="B74" s="93">
        <v>75000</v>
      </c>
      <c r="C74" s="93">
        <v>76500</v>
      </c>
      <c r="D74" s="109">
        <f t="shared" si="35"/>
        <v>1500</v>
      </c>
      <c r="F74" s="16"/>
      <c r="G74" s="40"/>
      <c r="J74" s="83"/>
    </row>
    <row r="75" spans="1:22" s="175" customFormat="1" outlineLevel="2">
      <c r="A75" s="134" t="str">
        <f t="shared" si="34"/>
        <v>psych. s 2 - Vondráčková</v>
      </c>
      <c r="B75" s="95">
        <v>0</v>
      </c>
      <c r="C75" s="166">
        <v>0</v>
      </c>
      <c r="D75" s="167">
        <f t="shared" si="35"/>
        <v>0</v>
      </c>
      <c r="E75" s="168"/>
      <c r="F75" s="168"/>
      <c r="G75" s="169"/>
      <c r="H75" s="170"/>
      <c r="I75" s="171"/>
      <c r="J75" s="228"/>
      <c r="K75" s="170"/>
      <c r="L75" s="172"/>
      <c r="M75" s="173"/>
      <c r="N75" s="170"/>
      <c r="O75" s="172"/>
      <c r="P75" s="174"/>
      <c r="Q75" s="170"/>
      <c r="R75" s="172"/>
      <c r="S75" s="174"/>
      <c r="T75" s="170"/>
      <c r="U75" s="172"/>
      <c r="V75" s="174"/>
    </row>
    <row r="76" spans="1:22" s="175" customFormat="1" outlineLevel="2">
      <c r="A76" s="134" t="str">
        <f t="shared" si="34"/>
        <v>psych. s 3 - Nováková</v>
      </c>
      <c r="B76" s="95">
        <v>0</v>
      </c>
      <c r="C76" s="166">
        <v>0</v>
      </c>
      <c r="D76" s="167">
        <f t="shared" si="35"/>
        <v>0</v>
      </c>
      <c r="E76" s="168"/>
      <c r="F76" s="168"/>
      <c r="G76" s="169"/>
      <c r="H76" s="170"/>
      <c r="I76" s="171"/>
      <c r="J76" s="228"/>
      <c r="K76" s="170"/>
      <c r="L76" s="172"/>
      <c r="M76" s="173"/>
      <c r="N76" s="170"/>
      <c r="O76" s="172"/>
      <c r="P76" s="174"/>
      <c r="Q76" s="170"/>
      <c r="R76" s="172"/>
      <c r="S76" s="174"/>
      <c r="T76" s="170"/>
      <c r="U76" s="172"/>
      <c r="V76" s="174"/>
    </row>
    <row r="77" spans="1:22" s="175" customFormat="1" outlineLevel="2">
      <c r="A77" s="134" t="str">
        <f t="shared" si="34"/>
        <v>všeob. s 4 - Dušková</v>
      </c>
      <c r="B77" s="95">
        <v>0</v>
      </c>
      <c r="C77" s="166">
        <v>0</v>
      </c>
      <c r="D77" s="167">
        <f t="shared" si="35"/>
        <v>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>
      <c r="A78" s="134" t="str">
        <f t="shared" si="34"/>
        <v>psychiatr 1 - 0,5 od 1.4</v>
      </c>
      <c r="B78" s="95">
        <v>0</v>
      </c>
      <c r="C78" s="166">
        <v>0</v>
      </c>
      <c r="D78" s="167">
        <f t="shared" si="35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78" customFormat="1" outlineLevel="2">
      <c r="A79" s="134" t="str">
        <f t="shared" si="34"/>
        <v>psychiatr 2</v>
      </c>
      <c r="B79" s="95">
        <v>0</v>
      </c>
      <c r="C79" s="95">
        <v>0</v>
      </c>
      <c r="D79" s="110">
        <f t="shared" si="35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>
      <c r="A80" s="134" t="str">
        <f t="shared" si="34"/>
        <v>psycholog 1 - 0,5</v>
      </c>
      <c r="B80" s="95">
        <v>0</v>
      </c>
      <c r="C80" s="95">
        <v>0</v>
      </c>
      <c r="D80" s="110">
        <f t="shared" si="35"/>
        <v>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>
      <c r="A81" s="134" t="str">
        <f t="shared" si="34"/>
        <v>psycholog 2</v>
      </c>
      <c r="B81" s="95">
        <v>0</v>
      </c>
      <c r="C81" s="95">
        <v>0</v>
      </c>
      <c r="D81" s="110">
        <f t="shared" si="35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>
      <c r="A82" s="50" t="s">
        <v>60</v>
      </c>
      <c r="B82" s="115">
        <f>SUM(B83:B90)*1.34</f>
        <v>18760</v>
      </c>
      <c r="C82" s="115">
        <f>SUM(C83:C90)*1.34</f>
        <v>18760</v>
      </c>
      <c r="D82" s="116">
        <f>+C82-B82</f>
        <v>0</v>
      </c>
      <c r="F82" s="16"/>
      <c r="G82" s="40"/>
    </row>
    <row r="83" spans="1:22" s="175" customFormat="1" outlineLevel="2">
      <c r="A83" s="165" t="str">
        <f t="shared" si="34"/>
        <v>psych. s 1 - Štréblová 0,2 od 1.3 od 5 celý</v>
      </c>
      <c r="B83" s="166">
        <v>14000</v>
      </c>
      <c r="C83" s="166">
        <v>14000</v>
      </c>
      <c r="D83" s="167">
        <f t="shared" si="35"/>
        <v>0</v>
      </c>
      <c r="E83" s="168"/>
      <c r="F83" s="168"/>
      <c r="G83" s="169"/>
      <c r="H83" s="170"/>
      <c r="I83" s="171"/>
      <c r="J83" s="228"/>
      <c r="K83" s="170"/>
      <c r="L83" s="172"/>
      <c r="M83" s="173"/>
      <c r="N83" s="170"/>
      <c r="O83" s="172"/>
      <c r="P83" s="174"/>
      <c r="Q83" s="170"/>
      <c r="R83" s="172"/>
      <c r="S83" s="174"/>
      <c r="T83" s="170"/>
      <c r="U83" s="172"/>
      <c r="V83" s="174"/>
    </row>
    <row r="84" spans="1:22" s="78" customFormat="1" outlineLevel="2">
      <c r="A84" s="134" t="str">
        <f t="shared" si="34"/>
        <v>psych. s 2</v>
      </c>
      <c r="B84" s="95">
        <v>0</v>
      </c>
      <c r="C84" s="95">
        <v>0</v>
      </c>
      <c r="D84" s="110">
        <f t="shared" si="35"/>
        <v>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>
      <c r="A85" s="134" t="str">
        <f t="shared" si="34"/>
        <v>ho</v>
      </c>
      <c r="B85" s="95">
        <v>0</v>
      </c>
      <c r="C85" s="95">
        <v>0</v>
      </c>
      <c r="D85" s="110">
        <f t="shared" si="35"/>
        <v>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>
      <c r="A86" s="134" t="str">
        <f t="shared" si="34"/>
        <v>psych. s 4</v>
      </c>
      <c r="B86" s="95">
        <v>0</v>
      </c>
      <c r="C86" s="95">
        <v>0</v>
      </c>
      <c r="D86" s="110">
        <f t="shared" si="35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>
      <c r="A87" s="134" t="str">
        <f t="shared" si="34"/>
        <v xml:space="preserve">psychiatr 1 - 0,5 </v>
      </c>
      <c r="B87" s="95">
        <v>0</v>
      </c>
      <c r="C87" s="95">
        <v>0</v>
      </c>
      <c r="D87" s="110">
        <f t="shared" si="35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>
      <c r="A88" s="134" t="str">
        <f t="shared" si="34"/>
        <v>psychiatr 2</v>
      </c>
      <c r="B88" s="95">
        <v>0</v>
      </c>
      <c r="C88" s="95">
        <v>0</v>
      </c>
      <c r="D88" s="110">
        <f t="shared" si="35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>
      <c r="A89" s="134" t="str">
        <f t="shared" si="34"/>
        <v>psycholog 1 - 0,5</v>
      </c>
      <c r="B89" s="95">
        <v>0</v>
      </c>
      <c r="C89" s="95">
        <v>0</v>
      </c>
      <c r="D89" s="110">
        <f t="shared" si="35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>
      <c r="A90" s="134" t="str">
        <f t="shared" si="34"/>
        <v>psycholog 2</v>
      </c>
      <c r="B90" s="95">
        <v>0</v>
      </c>
      <c r="C90" s="95">
        <v>0</v>
      </c>
      <c r="D90" s="110">
        <f t="shared" si="35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>
      <c r="A91" s="135" t="s">
        <v>62</v>
      </c>
      <c r="B91" s="117">
        <f>SUM(B92:B93)*1.34</f>
        <v>96480</v>
      </c>
      <c r="C91" s="117">
        <f>SUM(C92:C93)*1.34</f>
        <v>96480</v>
      </c>
      <c r="D91" s="118">
        <f t="shared" si="35"/>
        <v>0</v>
      </c>
      <c r="F91" s="16"/>
      <c r="G91" s="40"/>
    </row>
    <row r="92" spans="1:22" outlineLevel="2">
      <c r="A92" s="165" t="str">
        <f t="shared" si="34"/>
        <v>psych. s 1 - Jirásková</v>
      </c>
      <c r="B92" s="93">
        <v>72000</v>
      </c>
      <c r="C92" s="93">
        <f>+B92</f>
        <v>72000</v>
      </c>
      <c r="D92" s="119">
        <f t="shared" si="35"/>
        <v>0</v>
      </c>
      <c r="F92" s="16"/>
      <c r="G92" s="40"/>
    </row>
    <row r="93" spans="1:22" s="78" customFormat="1" outlineLevel="2">
      <c r="A93" s="134" t="str">
        <f t="shared" si="34"/>
        <v>psych. s 2</v>
      </c>
      <c r="B93" s="95">
        <v>0</v>
      </c>
      <c r="C93" s="95">
        <v>0</v>
      </c>
      <c r="D93" s="110">
        <f t="shared" si="35"/>
        <v>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>
      <c r="A94" s="136" t="s">
        <v>63</v>
      </c>
      <c r="B94" s="120">
        <f>SUM(B95:B96)*1.34</f>
        <v>20100</v>
      </c>
      <c r="C94" s="120">
        <f>SUM(C95:C96)*1.34</f>
        <v>20100</v>
      </c>
      <c r="D94" s="121">
        <f t="shared" si="35"/>
        <v>0</v>
      </c>
      <c r="F94" s="16"/>
      <c r="G94" s="40"/>
    </row>
    <row r="95" spans="1:22" outlineLevel="2">
      <c r="A95" s="165" t="str">
        <f t="shared" si="34"/>
        <v>psych. s 1 Prajzová 0,5</v>
      </c>
      <c r="B95" s="93">
        <v>15000</v>
      </c>
      <c r="C95" s="93">
        <f>+B95</f>
        <v>15000</v>
      </c>
      <c r="D95" s="119">
        <f t="shared" si="35"/>
        <v>0</v>
      </c>
      <c r="F95" s="16"/>
      <c r="G95" s="40"/>
    </row>
    <row r="96" spans="1:22" s="78" customFormat="1" outlineLevel="2">
      <c r="A96" s="134" t="str">
        <f t="shared" si="34"/>
        <v>psych. s 2</v>
      </c>
      <c r="B96" s="95">
        <v>0</v>
      </c>
      <c r="C96" s="95">
        <v>0</v>
      </c>
      <c r="D96" s="110">
        <f t="shared" si="35"/>
        <v>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>
      <c r="A97" s="202" t="s">
        <v>64</v>
      </c>
      <c r="B97" s="203">
        <f>SUM(B98:B99)*1.34</f>
        <v>0</v>
      </c>
      <c r="C97" s="203">
        <f>SUM(C98:C99)*1.34</f>
        <v>0</v>
      </c>
      <c r="D97" s="204">
        <f t="shared" si="35"/>
        <v>0</v>
      </c>
      <c r="F97" s="16"/>
      <c r="G97" s="40"/>
    </row>
    <row r="98" spans="1:22" s="78" customFormat="1" outlineLevel="2">
      <c r="A98" s="134" t="str">
        <f t="shared" si="34"/>
        <v xml:space="preserve">psych. s 1 </v>
      </c>
      <c r="B98" s="95">
        <v>0</v>
      </c>
      <c r="C98" s="95">
        <v>0</v>
      </c>
      <c r="D98" s="110">
        <f t="shared" si="35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>
      <c r="A99" s="134" t="str">
        <f t="shared" si="34"/>
        <v>psych. s 2</v>
      </c>
      <c r="B99" s="95">
        <v>0</v>
      </c>
      <c r="C99" s="95">
        <v>0</v>
      </c>
      <c r="D99" s="110">
        <f t="shared" si="35"/>
        <v>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>
      <c r="A100" s="202" t="s">
        <v>65</v>
      </c>
      <c r="B100" s="203">
        <f>SUM(B101:B102)*1.34</f>
        <v>0</v>
      </c>
      <c r="C100" s="203">
        <f>SUM(C101:C102)*1.34</f>
        <v>0</v>
      </c>
      <c r="D100" s="204">
        <f t="shared" si="35"/>
        <v>0</v>
      </c>
      <c r="F100" s="16"/>
      <c r="G100" s="40"/>
    </row>
    <row r="101" spans="1:22" s="78" customFormat="1" outlineLevel="2">
      <c r="A101" s="134" t="str">
        <f t="shared" si="34"/>
        <v xml:space="preserve">psych. s 1 </v>
      </c>
      <c r="B101" s="95">
        <v>0</v>
      </c>
      <c r="C101" s="95">
        <v>0</v>
      </c>
      <c r="D101" s="110">
        <f t="shared" si="35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>
      <c r="A102" s="134" t="str">
        <f t="shared" si="34"/>
        <v>psych. s 2</v>
      </c>
      <c r="B102" s="95">
        <v>0</v>
      </c>
      <c r="C102" s="95">
        <v>0</v>
      </c>
      <c r="D102" s="110">
        <f t="shared" si="35"/>
        <v>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>
      <c r="A103" s="89" t="s">
        <v>66</v>
      </c>
      <c r="B103" s="122">
        <f>SUM(B104:B111)</f>
        <v>324600</v>
      </c>
      <c r="C103" s="122">
        <f>SUM(C104:C111)</f>
        <v>194694.82499999998</v>
      </c>
      <c r="D103" s="123">
        <f>+C103-B103</f>
        <v>-129905.17500000002</v>
      </c>
    </row>
    <row r="104" spans="1:22" outlineLevel="1">
      <c r="A104" s="44" t="s">
        <v>67</v>
      </c>
      <c r="B104" s="141">
        <f>+B3*0.15</f>
        <v>204750</v>
      </c>
      <c r="C104" s="141">
        <f>+C3*0.15</f>
        <v>139029.894</v>
      </c>
      <c r="D104" s="142">
        <f t="shared" si="35"/>
        <v>-65720.106</v>
      </c>
    </row>
    <row r="105" spans="1:22" outlineLevel="1">
      <c r="A105" s="58" t="s">
        <v>68</v>
      </c>
      <c r="B105" s="141">
        <f>+B12*0.15</f>
        <v>51000</v>
      </c>
      <c r="C105" s="141">
        <f>+C12*0.15</f>
        <v>23918.517</v>
      </c>
      <c r="D105" s="142">
        <f t="shared" si="35"/>
        <v>-27081.483</v>
      </c>
    </row>
    <row r="106" spans="1:22" outlineLevel="1">
      <c r="A106" s="57" t="s">
        <v>69</v>
      </c>
      <c r="B106" s="141">
        <f>+B21*0.15</f>
        <v>25500</v>
      </c>
      <c r="C106" s="141">
        <f>+C21*0.15</f>
        <v>16411.374</v>
      </c>
      <c r="D106" s="142">
        <f t="shared" si="35"/>
        <v>-9088.6260000000002</v>
      </c>
    </row>
    <row r="107" spans="1:22" outlineLevel="1">
      <c r="A107" s="50" t="s">
        <v>70</v>
      </c>
      <c r="B107" s="141">
        <f>+B30*0.15</f>
        <v>5100</v>
      </c>
      <c r="C107" s="141">
        <f>+C30*0.15</f>
        <v>4013.5409999999993</v>
      </c>
      <c r="D107" s="142">
        <f t="shared" si="35"/>
        <v>-1086.4590000000007</v>
      </c>
    </row>
    <row r="108" spans="1:22" outlineLevel="1">
      <c r="A108" s="67" t="s">
        <v>71</v>
      </c>
      <c r="B108" s="141">
        <f>+B39*0.15</f>
        <v>25500</v>
      </c>
      <c r="C108" s="141">
        <f>+C39*0.15</f>
        <v>5589.3809999999985</v>
      </c>
      <c r="D108" s="142">
        <f t="shared" si="35"/>
        <v>-19910.619000000002</v>
      </c>
    </row>
    <row r="109" spans="1:22" outlineLevel="1">
      <c r="A109" s="47" t="s">
        <v>72</v>
      </c>
      <c r="B109" s="141">
        <f>+B42*0.15</f>
        <v>12750</v>
      </c>
      <c r="C109" s="141">
        <f>+C42*0.15</f>
        <v>5732.1180000000004</v>
      </c>
      <c r="D109" s="142">
        <f t="shared" si="35"/>
        <v>-7017.8819999999996</v>
      </c>
    </row>
    <row r="110" spans="1:22" outlineLevel="1">
      <c r="A110" s="198" t="s">
        <v>73</v>
      </c>
      <c r="B110" s="141">
        <f>+B45*0.15</f>
        <v>0</v>
      </c>
      <c r="C110" s="141">
        <f>+C45*0.15</f>
        <v>0</v>
      </c>
      <c r="D110" s="142">
        <f t="shared" si="35"/>
        <v>0</v>
      </c>
    </row>
    <row r="111" spans="1:22" outlineLevel="1">
      <c r="A111" s="198" t="s">
        <v>74</v>
      </c>
      <c r="B111" s="141">
        <f>+B48*0.15</f>
        <v>0</v>
      </c>
      <c r="C111" s="141">
        <f>+C48*0.15</f>
        <v>0</v>
      </c>
      <c r="D111" s="142">
        <f t="shared" si="35"/>
        <v>0</v>
      </c>
    </row>
    <row r="112" spans="1:22">
      <c r="A112" s="88" t="s">
        <v>75</v>
      </c>
      <c r="B112" s="124">
        <f>SUM(B113:B120)</f>
        <v>70000</v>
      </c>
      <c r="C112" s="124">
        <f>SUM(C113:C120)</f>
        <v>70000</v>
      </c>
      <c r="D112" s="125">
        <f>+C112-B112</f>
        <v>0</v>
      </c>
    </row>
    <row r="113" spans="1:4" outlineLevel="1">
      <c r="A113" s="44" t="s">
        <v>76</v>
      </c>
      <c r="B113" s="111">
        <v>30000</v>
      </c>
      <c r="C113" s="111">
        <f>+B113</f>
        <v>30000</v>
      </c>
      <c r="D113" s="112">
        <f t="shared" si="35"/>
        <v>0</v>
      </c>
    </row>
    <row r="114" spans="1:4" outlineLevel="1">
      <c r="A114" s="58" t="s">
        <v>77</v>
      </c>
      <c r="B114" s="111">
        <v>20000</v>
      </c>
      <c r="C114" s="111">
        <f t="shared" ref="C114:C120" si="36">+B114</f>
        <v>20000</v>
      </c>
      <c r="D114" s="112">
        <f t="shared" si="35"/>
        <v>0</v>
      </c>
    </row>
    <row r="115" spans="1:4" outlineLevel="1">
      <c r="A115" s="57" t="s">
        <v>78</v>
      </c>
      <c r="B115" s="111">
        <v>20000</v>
      </c>
      <c r="C115" s="111">
        <f t="shared" si="36"/>
        <v>20000</v>
      </c>
      <c r="D115" s="111">
        <f t="shared" si="35"/>
        <v>0</v>
      </c>
    </row>
    <row r="116" spans="1:4" outlineLevel="1">
      <c r="A116" s="50" t="s">
        <v>79</v>
      </c>
      <c r="B116" s="111">
        <v>0</v>
      </c>
      <c r="C116" s="111">
        <f t="shared" si="36"/>
        <v>0</v>
      </c>
      <c r="D116" s="111">
        <f t="shared" si="35"/>
        <v>0</v>
      </c>
    </row>
    <row r="117" spans="1:4" outlineLevel="1">
      <c r="A117" s="67" t="s">
        <v>80</v>
      </c>
      <c r="B117" s="111">
        <v>0</v>
      </c>
      <c r="C117" s="111">
        <f t="shared" si="36"/>
        <v>0</v>
      </c>
      <c r="D117" s="111">
        <f t="shared" si="35"/>
        <v>0</v>
      </c>
    </row>
    <row r="118" spans="1:4" outlineLevel="1">
      <c r="A118" s="47" t="s">
        <v>81</v>
      </c>
      <c r="B118" s="111">
        <v>0</v>
      </c>
      <c r="C118" s="111">
        <f t="shared" si="36"/>
        <v>0</v>
      </c>
      <c r="D118" s="111">
        <f t="shared" si="35"/>
        <v>0</v>
      </c>
    </row>
    <row r="119" spans="1:4" outlineLevel="1">
      <c r="A119" s="198" t="s">
        <v>82</v>
      </c>
      <c r="B119" s="111">
        <v>0</v>
      </c>
      <c r="C119" s="111">
        <f t="shared" si="36"/>
        <v>0</v>
      </c>
      <c r="D119" s="111">
        <f t="shared" si="35"/>
        <v>0</v>
      </c>
    </row>
    <row r="120" spans="1:4" outlineLevel="1">
      <c r="A120" s="198" t="s">
        <v>83</v>
      </c>
      <c r="B120" s="111">
        <v>0</v>
      </c>
      <c r="C120" s="111">
        <f t="shared" si="36"/>
        <v>0</v>
      </c>
      <c r="D120" s="111">
        <f t="shared" si="35"/>
        <v>0</v>
      </c>
    </row>
    <row r="121" spans="1:4">
      <c r="A121" s="150" t="s">
        <v>84</v>
      </c>
      <c r="B121" s="151">
        <f>SUM(B122:B129)</f>
        <v>216400</v>
      </c>
      <c r="C121" s="151">
        <f t="shared" ref="C121" si="37">SUM(C122:C129)</f>
        <v>129796.54999999999</v>
      </c>
      <c r="D121" s="151">
        <f>+C121-B121</f>
        <v>-86603.450000000012</v>
      </c>
    </row>
    <row r="122" spans="1:4" outlineLevel="1">
      <c r="A122" s="44" t="s">
        <v>85</v>
      </c>
      <c r="B122" s="152">
        <f>+B3/10</f>
        <v>136500</v>
      </c>
      <c r="C122" s="152">
        <f>+C3/10</f>
        <v>92686.59599999999</v>
      </c>
      <c r="D122" s="153">
        <f t="shared" si="35"/>
        <v>-43813.40400000001</v>
      </c>
    </row>
    <row r="123" spans="1:4" outlineLevel="1">
      <c r="A123" s="58" t="s">
        <v>86</v>
      </c>
      <c r="B123" s="152">
        <f>+B12/10</f>
        <v>34000</v>
      </c>
      <c r="C123" s="152">
        <f>+C12/10</f>
        <v>15945.678</v>
      </c>
      <c r="D123" s="153">
        <f t="shared" si="35"/>
        <v>-18054.322</v>
      </c>
    </row>
    <row r="124" spans="1:4" outlineLevel="1">
      <c r="A124" s="57" t="s">
        <v>87</v>
      </c>
      <c r="B124" s="152">
        <f>+B21/10</f>
        <v>17000</v>
      </c>
      <c r="C124" s="152">
        <f>+C21/10</f>
        <v>10940.916000000001</v>
      </c>
      <c r="D124" s="152">
        <f t="shared" si="35"/>
        <v>-6059.0839999999989</v>
      </c>
    </row>
    <row r="125" spans="1:4" outlineLevel="1">
      <c r="A125" s="50" t="s">
        <v>88</v>
      </c>
      <c r="B125" s="152">
        <f>+B30/10</f>
        <v>3400</v>
      </c>
      <c r="C125" s="152">
        <f>+C30/10</f>
        <v>2675.6939999999995</v>
      </c>
      <c r="D125" s="152">
        <f t="shared" si="35"/>
        <v>-724.30600000000049</v>
      </c>
    </row>
    <row r="126" spans="1:4" outlineLevel="1">
      <c r="A126" s="67" t="s">
        <v>89</v>
      </c>
      <c r="B126" s="152">
        <f>+B39/10</f>
        <v>17000</v>
      </c>
      <c r="C126" s="152">
        <f>+C39/10</f>
        <v>3726.2539999999995</v>
      </c>
      <c r="D126" s="152">
        <f t="shared" si="35"/>
        <v>-13273.746000000001</v>
      </c>
    </row>
    <row r="127" spans="1:4" outlineLevel="1">
      <c r="A127" s="47" t="s">
        <v>90</v>
      </c>
      <c r="B127" s="152">
        <f>+B42/10</f>
        <v>8500</v>
      </c>
      <c r="C127" s="152">
        <f>+C42/10</f>
        <v>3821.4120000000003</v>
      </c>
      <c r="D127" s="152">
        <f t="shared" si="35"/>
        <v>-4678.5879999999997</v>
      </c>
    </row>
    <row r="128" spans="1:4" outlineLevel="1">
      <c r="A128" s="198" t="s">
        <v>91</v>
      </c>
      <c r="B128" s="152">
        <f>+B45/10</f>
        <v>0</v>
      </c>
      <c r="C128" s="152">
        <f>+C45/10</f>
        <v>0</v>
      </c>
      <c r="D128" s="152">
        <f t="shared" si="35"/>
        <v>0</v>
      </c>
    </row>
    <row r="129" spans="1:7" outlineLevel="1">
      <c r="A129" s="198" t="s">
        <v>92</v>
      </c>
      <c r="B129" s="152">
        <f>+B48/10</f>
        <v>0</v>
      </c>
      <c r="C129" s="152">
        <f>+C48/10</f>
        <v>0</v>
      </c>
      <c r="D129" s="152">
        <f t="shared" si="35"/>
        <v>0</v>
      </c>
    </row>
    <row r="130" spans="1:7" ht="18">
      <c r="A130" s="139" t="s">
        <v>93</v>
      </c>
      <c r="B130" s="126">
        <f t="shared" ref="B130:D131" si="38">+B112+B103+B54+B121</f>
        <v>1601260</v>
      </c>
      <c r="C130" s="126">
        <f t="shared" si="38"/>
        <v>1385488.375</v>
      </c>
      <c r="D130" s="126">
        <f t="shared" si="38"/>
        <v>-215771.62500000003</v>
      </c>
      <c r="E130" s="15"/>
      <c r="F130" s="10"/>
      <c r="G130" s="41"/>
    </row>
    <row r="131" spans="1:7" outlineLevel="1">
      <c r="A131" s="44" t="s">
        <v>94</v>
      </c>
      <c r="B131" s="140">
        <f t="shared" si="38"/>
        <v>971570</v>
      </c>
      <c r="C131" s="140">
        <f t="shared" si="38"/>
        <v>860763.49</v>
      </c>
      <c r="D131" s="140">
        <f t="shared" si="38"/>
        <v>-110806.51000000001</v>
      </c>
      <c r="E131" s="15"/>
      <c r="F131" s="10"/>
      <c r="G131" s="41"/>
    </row>
    <row r="132" spans="1:7" outlineLevel="1">
      <c r="A132" s="58" t="s">
        <v>95</v>
      </c>
      <c r="B132" s="140">
        <f>+B114+B105+B64+B123</f>
        <v>259100</v>
      </c>
      <c r="C132" s="140">
        <f>+C114+C105+C64+C123</f>
        <v>213964.19500000001</v>
      </c>
      <c r="D132" s="140">
        <f>+D114+D105+D64+D123</f>
        <v>-45135.805</v>
      </c>
      <c r="E132" s="15"/>
      <c r="F132" s="10"/>
      <c r="G132" s="41"/>
    </row>
    <row r="133" spans="1:7" outlineLevel="1">
      <c r="A133" s="57" t="s">
        <v>96</v>
      </c>
      <c r="B133" s="140">
        <f>+B115+B106+B73+B124</f>
        <v>163000</v>
      </c>
      <c r="C133" s="140">
        <f>+C115+C106+C73+C124</f>
        <v>149862.29</v>
      </c>
      <c r="D133" s="140">
        <f>+D115+D106+D73+D124</f>
        <v>-13137.71</v>
      </c>
      <c r="E133" s="15"/>
      <c r="F133" s="10"/>
      <c r="G133" s="41"/>
    </row>
    <row r="134" spans="1:7" outlineLevel="1">
      <c r="A134" s="50" t="s">
        <v>97</v>
      </c>
      <c r="B134" s="140">
        <f>+B116+B107+B82+B125</f>
        <v>27260</v>
      </c>
      <c r="C134" s="140">
        <f>+C116+C107+C82+C125</f>
        <v>25449.234999999997</v>
      </c>
      <c r="D134" s="140">
        <f>+D116+D107+D82+D125</f>
        <v>-1810.7650000000012</v>
      </c>
      <c r="E134" s="15"/>
      <c r="F134" s="10"/>
      <c r="G134" s="41"/>
    </row>
    <row r="135" spans="1:7" outlineLevel="1">
      <c r="A135" s="67" t="s">
        <v>98</v>
      </c>
      <c r="B135" s="140">
        <f>+B117+B108+B91+B126</f>
        <v>138980</v>
      </c>
      <c r="C135" s="140">
        <f>+C117+C108+C91+C126</f>
        <v>105795.63499999999</v>
      </c>
      <c r="D135" s="140">
        <f>+D117+D108+D91+D126</f>
        <v>-33184.365000000005</v>
      </c>
      <c r="E135" s="15"/>
      <c r="F135" s="10"/>
      <c r="G135" s="41"/>
    </row>
    <row r="136" spans="1:7" outlineLevel="1">
      <c r="A136" s="47" t="s">
        <v>99</v>
      </c>
      <c r="B136" s="140">
        <f>+B127+B118+B109+B94</f>
        <v>41350</v>
      </c>
      <c r="C136" s="140">
        <f>+C127+C118+C109+C94</f>
        <v>29653.53</v>
      </c>
      <c r="D136" s="140">
        <f>+D119+D110+D99+D128</f>
        <v>0</v>
      </c>
      <c r="E136" s="15"/>
      <c r="F136" s="10"/>
      <c r="G136" s="41"/>
    </row>
    <row r="137" spans="1:7" outlineLevel="1">
      <c r="A137" s="198" t="s">
        <v>100</v>
      </c>
      <c r="B137" s="140">
        <f>+B128+B119+B110+B97</f>
        <v>0</v>
      </c>
      <c r="C137" s="140">
        <f>+C128+C119+C110+C97</f>
        <v>0</v>
      </c>
      <c r="D137" s="140">
        <f>+D119+D110+D99+D128</f>
        <v>0</v>
      </c>
      <c r="E137" s="15"/>
      <c r="F137" s="10"/>
      <c r="G137" s="41"/>
    </row>
    <row r="138" spans="1:7" outlineLevel="1">
      <c r="A138" s="198" t="s">
        <v>101</v>
      </c>
      <c r="B138" s="140">
        <f>+B129+B120+B111+B100</f>
        <v>0</v>
      </c>
      <c r="C138" s="140">
        <f>+C129+C120+C111+C100</f>
        <v>0</v>
      </c>
      <c r="D138" s="140">
        <f>+D120+D111+D100+D129</f>
        <v>0</v>
      </c>
      <c r="E138" s="15"/>
      <c r="F138" s="10"/>
      <c r="G138" s="41"/>
    </row>
    <row r="139" spans="1:7">
      <c r="A139" s="7"/>
      <c r="B139" s="127"/>
      <c r="C139" s="127"/>
      <c r="D139" s="128"/>
      <c r="E139" s="15"/>
      <c r="F139" s="10"/>
      <c r="G139" s="41"/>
    </row>
    <row r="140" spans="1:7" ht="15.75">
      <c r="A140" s="177" t="s">
        <v>102</v>
      </c>
      <c r="B140" s="129">
        <f>+B51-B130</f>
        <v>562740</v>
      </c>
      <c r="C140" s="129">
        <f>+C51-C130</f>
        <v>-87522.875</v>
      </c>
      <c r="D140" s="129">
        <f>+D51-D130</f>
        <v>-650262.875</v>
      </c>
      <c r="E140" s="19"/>
      <c r="F140" s="20"/>
      <c r="G140" s="42"/>
    </row>
    <row r="141" spans="1:7">
      <c r="A141" s="44" t="s">
        <v>103</v>
      </c>
      <c r="B141" s="178">
        <f>+B3-B131</f>
        <v>393430</v>
      </c>
      <c r="C141" s="178">
        <f>+C3-C131</f>
        <v>66102.469999999972</v>
      </c>
      <c r="D141" s="178">
        <f>+D3-D131</f>
        <v>-327327.52999999997</v>
      </c>
      <c r="E141" s="19"/>
      <c r="F141" s="20"/>
      <c r="G141" s="42"/>
    </row>
    <row r="142" spans="1:7">
      <c r="A142" s="58" t="s">
        <v>104</v>
      </c>
      <c r="B142" s="178">
        <f>+B12-B132</f>
        <v>80900</v>
      </c>
      <c r="C142" s="178">
        <f>+C12-C132</f>
        <v>-54507.415000000008</v>
      </c>
      <c r="D142" s="178">
        <f>+D12-D132</f>
        <v>-135407.41500000001</v>
      </c>
      <c r="E142" s="19"/>
      <c r="F142" s="20"/>
      <c r="G142" s="42"/>
    </row>
    <row r="143" spans="1:7">
      <c r="A143" s="57" t="s">
        <v>105</v>
      </c>
      <c r="B143" s="178">
        <f>+B21-B133</f>
        <v>7000</v>
      </c>
      <c r="C143" s="178">
        <f>+C21-C133</f>
        <v>-40453.130000000005</v>
      </c>
      <c r="D143" s="178">
        <f>+D21-D133</f>
        <v>-47453.13</v>
      </c>
      <c r="E143" s="19"/>
      <c r="F143" s="20"/>
      <c r="G143" s="42"/>
    </row>
    <row r="144" spans="1:7">
      <c r="A144" s="50" t="s">
        <v>106</v>
      </c>
      <c r="B144" s="178">
        <f>+B30-B134</f>
        <v>6740</v>
      </c>
      <c r="C144" s="178">
        <f>+C30-C134</f>
        <v>1307.7049999999981</v>
      </c>
      <c r="D144" s="178">
        <f>+D30-D134</f>
        <v>-5432.2950000000037</v>
      </c>
      <c r="E144" s="19"/>
      <c r="F144" s="20"/>
      <c r="G144" s="42"/>
    </row>
    <row r="145" spans="1:7">
      <c r="A145" s="61" t="s">
        <v>107</v>
      </c>
      <c r="B145" s="178">
        <f>+B39-B135</f>
        <v>31020</v>
      </c>
      <c r="C145" s="178">
        <f>+C39-C135</f>
        <v>-68533.095000000001</v>
      </c>
      <c r="D145" s="178">
        <f>+D39-D135</f>
        <v>-99553.095000000016</v>
      </c>
      <c r="E145" s="19"/>
      <c r="F145" s="20"/>
      <c r="G145" s="42"/>
    </row>
    <row r="146" spans="1:7">
      <c r="A146" s="62" t="s">
        <v>108</v>
      </c>
      <c r="B146" s="178">
        <f>+B42-B136</f>
        <v>43650</v>
      </c>
      <c r="C146" s="178">
        <f>+C42-C136</f>
        <v>8560.5900000000038</v>
      </c>
      <c r="D146" s="178">
        <f>+D47-D137</f>
        <v>0</v>
      </c>
      <c r="E146" s="19"/>
      <c r="F146" s="20"/>
      <c r="G146" s="42"/>
    </row>
    <row r="147" spans="1:7">
      <c r="A147" s="201" t="s">
        <v>109</v>
      </c>
      <c r="B147" s="178">
        <f>+B45-B137</f>
        <v>0</v>
      </c>
      <c r="C147" s="178">
        <f>+C45-C137</f>
        <v>0</v>
      </c>
      <c r="D147" s="178">
        <f>+D47-D137</f>
        <v>0</v>
      </c>
      <c r="E147" s="19"/>
      <c r="F147" s="20"/>
      <c r="G147" s="42"/>
    </row>
    <row r="148" spans="1:7">
      <c r="A148" s="201" t="s">
        <v>110</v>
      </c>
      <c r="B148" s="178">
        <f>+B48-B138</f>
        <v>0</v>
      </c>
      <c r="C148" s="178">
        <f>+C48-C138</f>
        <v>0</v>
      </c>
      <c r="D148" s="178">
        <f>+D48-D138</f>
        <v>0</v>
      </c>
      <c r="E148" s="19"/>
      <c r="F148" s="20"/>
      <c r="G148" s="42"/>
    </row>
    <row r="149" spans="1:7">
      <c r="D149" s="131"/>
      <c r="E149" s="21"/>
      <c r="F149" s="22"/>
      <c r="G149" s="43"/>
    </row>
    <row r="150" spans="1:7">
      <c r="A150" s="179" t="s">
        <v>111</v>
      </c>
      <c r="B150" s="180">
        <f>+B51/B130-1</f>
        <v>0.35143574435132341</v>
      </c>
      <c r="C150" s="180">
        <f>+C51/C130-1</f>
        <v>-6.3171136315019583E-2</v>
      </c>
    </row>
  </sheetData>
  <mergeCells count="5">
    <mergeCell ref="H1:J1"/>
    <mergeCell ref="K1:M1"/>
    <mergeCell ref="N1:P1"/>
    <mergeCell ref="Q1:S1"/>
    <mergeCell ref="T1:V1"/>
  </mergeCells>
  <conditionalFormatting sqref="B141:D148">
    <cfRule type="cellIs" dxfId="25" priority="1" operator="lessThan">
      <formula>0</formula>
    </cfRule>
    <cfRule type="cellIs" dxfId="24" priority="2" operator="greaterThan">
      <formula>0</formula>
    </cfRule>
  </conditionalFormatting>
  <conditionalFormatting sqref="D4:D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{BB3295CA-A5E7-45DB-A8EF-7D7921A24E78}</x14:id>
        </ext>
      </extLst>
    </cfRule>
  </conditionalFormatting>
  <conditionalFormatting sqref="D13:D2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{67C24FF8-6AAD-4474-AF75-0793F199FC46}</x14:id>
        </ext>
      </extLst>
    </cfRule>
  </conditionalFormatting>
  <conditionalFormatting sqref="D22:D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{E69DA25E-F5E2-418E-8305-8ACFA3B5732D}</x14:id>
        </ext>
      </extLst>
    </cfRule>
  </conditionalFormatting>
  <conditionalFormatting sqref="D31:D3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{052F31D5-5B1D-4A6E-902E-5338D951BF81}</x14:id>
        </ext>
      </extLst>
    </cfRule>
  </conditionalFormatting>
  <conditionalFormatting sqref="D35:D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{A48CEDDC-55DA-421C-BF7E-947B66A2373D}</x14:id>
        </ext>
      </extLst>
    </cfRule>
  </conditionalFormatting>
  <conditionalFormatting sqref="D40:D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{8F98730C-E51C-4E58-9EBC-3AE8AD9FABBC}</x14:id>
        </ext>
      </extLst>
    </cfRule>
  </conditionalFormatting>
  <conditionalFormatting sqref="D43:D4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{B05D95F1-94F8-464B-9FA9-6EE2B43CCF16}</x14:id>
        </ext>
      </extLst>
    </cfRule>
  </conditionalFormatting>
  <conditionalFormatting sqref="D46:D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{79ED162D-BFBD-4E29-9EC3-57C8053EACDE}</x14:id>
        </ext>
      </extLst>
    </cfRule>
  </conditionalFormatting>
  <conditionalFormatting sqref="D49:D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{985ED37E-623A-4DA9-94C0-45693E8C5794}</x14:id>
        </ext>
      </extLst>
    </cfRule>
  </conditionalFormatting>
  <pageMargins left="0.7" right="0.7" top="0.78740157499999996" bottom="0.78740157499999996" header="0.3" footer="0.3"/>
  <pageSetup paperSize="8" fitToHeight="0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3295CA-A5E7-45DB-A8EF-7D7921A24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67C24FF8-6AAD-4474-AF75-0793F199F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E69DA25E-F5E2-418E-8305-8ACFA3B573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052F31D5-5B1D-4A6E-902E-5338D951BF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A48CEDDC-55DA-421C-BF7E-947B66A237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8F98730C-E51C-4E58-9EBC-3AE8AD9FAB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B05D95F1-94F8-464B-9FA9-6EE2B43CCF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79ED162D-BFBD-4E29-9EC3-57C8053EAC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985ED37E-623A-4DA9-94C0-45693E8C57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152"/>
  <sheetViews>
    <sheetView zoomScale="90" zoomScaleNormal="90" workbookViewId="0">
      <pane ySplit="2" topLeftCell="A83" activePane="bottomLeft" state="frozen"/>
      <selection pane="bottomLeft"/>
    </sheetView>
  </sheetViews>
  <sheetFormatPr defaultRowHeight="14.25" outlineLevelRow="2"/>
  <cols>
    <col min="1" max="1" width="30.85546875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  <col min="24" max="24" width="17.85546875" customWidth="1"/>
  </cols>
  <sheetData>
    <row r="1" spans="1:24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>
      <c r="A3" s="44" t="s">
        <v>13</v>
      </c>
      <c r="B3" s="91">
        <f>SUM(B4:B12)</f>
        <v>1365000</v>
      </c>
      <c r="C3" s="91">
        <f>SUM(C4:C12)</f>
        <v>1086204.5999999999</v>
      </c>
      <c r="D3" s="91">
        <f>SUM(D4:D12)</f>
        <v>-278795.40000000002</v>
      </c>
      <c r="E3" s="46">
        <f>SUM(E4:E12)</f>
        <v>855</v>
      </c>
      <c r="F3" s="46">
        <f>SUM(F4:F12)</f>
        <v>54.780138888888885</v>
      </c>
      <c r="G3" s="36"/>
      <c r="H3" s="45">
        <f t="shared" ref="H3:V3" si="0">SUM(H4:H12)</f>
        <v>29176.199999999997</v>
      </c>
      <c r="I3" s="46">
        <f t="shared" si="0"/>
        <v>22</v>
      </c>
      <c r="J3" s="46">
        <f t="shared" si="0"/>
        <v>1.4513888888888891</v>
      </c>
      <c r="K3" s="45">
        <f t="shared" si="0"/>
        <v>239587.20000000001</v>
      </c>
      <c r="L3" s="46">
        <f t="shared" si="0"/>
        <v>179</v>
      </c>
      <c r="M3" s="46">
        <f t="shared" si="0"/>
        <v>11.767361111111111</v>
      </c>
      <c r="N3" s="45">
        <f t="shared" si="0"/>
        <v>251622.71999999997</v>
      </c>
      <c r="O3" s="46">
        <f t="shared" si="0"/>
        <v>179</v>
      </c>
      <c r="P3" s="46">
        <f t="shared" si="0"/>
        <v>12.520833333333332</v>
      </c>
      <c r="Q3" s="45">
        <f t="shared" si="0"/>
        <v>270119.88</v>
      </c>
      <c r="R3" s="46">
        <f t="shared" si="0"/>
        <v>217</v>
      </c>
      <c r="S3" s="46">
        <f t="shared" si="0"/>
        <v>13.850694444444445</v>
      </c>
      <c r="T3" s="45">
        <f t="shared" si="0"/>
        <v>295698.60000000003</v>
      </c>
      <c r="U3" s="46">
        <f t="shared" si="0"/>
        <v>258</v>
      </c>
      <c r="V3" s="46">
        <f t="shared" si="0"/>
        <v>15.189861111111112</v>
      </c>
    </row>
    <row r="4" spans="1:24" outlineLevel="2">
      <c r="A4" s="132" t="s">
        <v>14</v>
      </c>
      <c r="B4" s="92">
        <v>200000</v>
      </c>
      <c r="C4" s="92">
        <f>+H4+K4+N4+Q4+T4</f>
        <v>188739.71999999997</v>
      </c>
      <c r="D4" s="93">
        <f t="shared" ref="D4:D12" si="1">+C4-B4</f>
        <v>-11260.280000000028</v>
      </c>
      <c r="E4" s="18">
        <f>+I4+L4+O4+R4+U4</f>
        <v>212</v>
      </c>
      <c r="F4" s="18">
        <f>+J4+M4+P4+S4+V4</f>
        <v>11.572916666666666</v>
      </c>
      <c r="G4" s="37"/>
      <c r="H4" s="181"/>
      <c r="I4" s="182"/>
      <c r="J4" s="183"/>
      <c r="K4" s="184">
        <v>41727.96</v>
      </c>
      <c r="L4" s="185">
        <v>45</v>
      </c>
      <c r="M4" s="186">
        <v>2.5173611111111112</v>
      </c>
      <c r="N4" s="184">
        <v>52626.239999999998</v>
      </c>
      <c r="O4" s="185">
        <v>44</v>
      </c>
      <c r="P4" s="186">
        <v>3.1944444444444446</v>
      </c>
      <c r="Q4" s="187">
        <v>49898.16</v>
      </c>
      <c r="R4" s="185">
        <v>62</v>
      </c>
      <c r="S4" s="186">
        <v>3.0590277777777777</v>
      </c>
      <c r="T4" s="187">
        <v>44487.360000000001</v>
      </c>
      <c r="U4" s="185">
        <v>61</v>
      </c>
      <c r="V4" s="186">
        <v>2.8020833333333335</v>
      </c>
      <c r="X4" s="300"/>
    </row>
    <row r="5" spans="1:24" outlineLevel="2">
      <c r="A5" s="133" t="s">
        <v>15</v>
      </c>
      <c r="B5" s="92">
        <v>200000</v>
      </c>
      <c r="C5" s="92">
        <f t="shared" ref="C5:C51" si="2">+H5+K5+N5+Q5+T5</f>
        <v>102938.04000000001</v>
      </c>
      <c r="D5" s="93">
        <f t="shared" si="1"/>
        <v>-97061.959999999992</v>
      </c>
      <c r="E5" s="18">
        <f t="shared" ref="E5:F12" si="3">+I5+L5+O5+R5+U5</f>
        <v>86</v>
      </c>
      <c r="F5" s="18">
        <f t="shared" si="3"/>
        <v>6.5069444444444446</v>
      </c>
      <c r="G5" s="37"/>
      <c r="H5" s="181">
        <v>6285.6</v>
      </c>
      <c r="I5" s="182">
        <v>5</v>
      </c>
      <c r="J5" s="183">
        <v>0.41666666666666669</v>
      </c>
      <c r="K5" s="184">
        <v>12571.2</v>
      </c>
      <c r="L5" s="185">
        <v>10</v>
      </c>
      <c r="M5" s="186">
        <v>0.83333333333333337</v>
      </c>
      <c r="N5" s="184"/>
      <c r="O5" s="185"/>
      <c r="P5" s="186"/>
      <c r="Q5" s="187">
        <v>39590.639999999999</v>
      </c>
      <c r="R5" s="185">
        <v>33</v>
      </c>
      <c r="S5" s="186">
        <v>2.5</v>
      </c>
      <c r="T5" s="187">
        <v>44490.6</v>
      </c>
      <c r="U5" s="185">
        <v>38</v>
      </c>
      <c r="V5" s="186">
        <v>2.7569444444444446</v>
      </c>
      <c r="X5" s="295"/>
    </row>
    <row r="6" spans="1:24" outlineLevel="2">
      <c r="A6" s="133" t="s">
        <v>16</v>
      </c>
      <c r="B6" s="92">
        <v>200000</v>
      </c>
      <c r="C6" s="92">
        <f t="shared" si="2"/>
        <v>154528.56</v>
      </c>
      <c r="D6" s="93">
        <f t="shared" si="1"/>
        <v>-45471.44</v>
      </c>
      <c r="E6" s="18">
        <f t="shared" si="3"/>
        <v>135</v>
      </c>
      <c r="F6" s="18">
        <f t="shared" si="3"/>
        <v>9.6586111111111101</v>
      </c>
      <c r="G6" s="37"/>
      <c r="H6" s="181"/>
      <c r="I6" s="182"/>
      <c r="J6" s="183"/>
      <c r="K6" s="184">
        <v>28513.08</v>
      </c>
      <c r="L6" s="185">
        <v>24</v>
      </c>
      <c r="M6" s="186">
        <v>1.7430555555555556</v>
      </c>
      <c r="N6" s="184">
        <v>48420.72</v>
      </c>
      <c r="O6" s="185">
        <v>41</v>
      </c>
      <c r="P6" s="186">
        <v>2.9722222222222223</v>
      </c>
      <c r="Q6" s="187">
        <v>31428</v>
      </c>
      <c r="R6" s="185">
        <v>25</v>
      </c>
      <c r="S6" s="186">
        <v>2.0833333333333335</v>
      </c>
      <c r="T6" s="187">
        <v>46166.76</v>
      </c>
      <c r="U6" s="185">
        <v>45</v>
      </c>
      <c r="V6" s="186">
        <v>2.86</v>
      </c>
      <c r="X6" s="300"/>
    </row>
    <row r="7" spans="1:24" s="78" customFormat="1" outlineLevel="2">
      <c r="A7" s="134" t="s">
        <v>119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4" outlineLevel="2">
      <c r="A8" s="132" t="s">
        <v>18</v>
      </c>
      <c r="B8" s="92">
        <f>450000*0.2</f>
        <v>90000</v>
      </c>
      <c r="C8" s="92">
        <f t="shared" si="2"/>
        <v>12361.68</v>
      </c>
      <c r="D8" s="93">
        <f t="shared" si="1"/>
        <v>-77638.320000000007</v>
      </c>
      <c r="E8" s="18">
        <f t="shared" si="3"/>
        <v>20</v>
      </c>
      <c r="F8" s="18">
        <f t="shared" si="3"/>
        <v>0.625</v>
      </c>
      <c r="G8" s="37"/>
      <c r="H8" s="195"/>
      <c r="I8" s="182"/>
      <c r="J8" s="183"/>
      <c r="K8" s="184"/>
      <c r="L8" s="185"/>
      <c r="M8" s="186"/>
      <c r="N8" s="184">
        <v>4795.2</v>
      </c>
      <c r="O8" s="185">
        <v>6</v>
      </c>
      <c r="P8" s="186">
        <v>0.25</v>
      </c>
      <c r="Q8" s="187">
        <v>4990.68</v>
      </c>
      <c r="R8" s="185">
        <v>7</v>
      </c>
      <c r="S8" s="186">
        <v>0.25694444444444442</v>
      </c>
      <c r="T8" s="187">
        <v>2575.8000000000002</v>
      </c>
      <c r="U8" s="185">
        <v>7</v>
      </c>
      <c r="V8" s="186">
        <v>0.11805555555555555</v>
      </c>
      <c r="X8" s="300"/>
    </row>
    <row r="9" spans="1:24" outlineLevel="2">
      <c r="A9" s="132" t="s">
        <v>49</v>
      </c>
      <c r="B9" s="92">
        <f>450000*0.5</f>
        <v>225000</v>
      </c>
      <c r="C9" s="92">
        <f t="shared" si="2"/>
        <v>216265.68000000002</v>
      </c>
      <c r="D9" s="93">
        <f t="shared" si="1"/>
        <v>-8734.3199999999779</v>
      </c>
      <c r="E9" s="18">
        <f t="shared" si="3"/>
        <v>158</v>
      </c>
      <c r="F9" s="18">
        <f t="shared" si="3"/>
        <v>9.0625000000000018</v>
      </c>
      <c r="G9" s="37"/>
      <c r="H9" s="195"/>
      <c r="I9" s="182"/>
      <c r="J9" s="183"/>
      <c r="K9" s="184">
        <v>68507.64</v>
      </c>
      <c r="L9" s="185">
        <v>45</v>
      </c>
      <c r="M9" s="186">
        <v>2.8819444444444446</v>
      </c>
      <c r="N9" s="184">
        <v>49480.2</v>
      </c>
      <c r="O9" s="185">
        <v>37</v>
      </c>
      <c r="P9" s="186">
        <v>2.0138888888888888</v>
      </c>
      <c r="Q9" s="187">
        <v>52822.8</v>
      </c>
      <c r="R9" s="185">
        <v>35</v>
      </c>
      <c r="S9" s="186">
        <v>2.1458333333333335</v>
      </c>
      <c r="T9" s="187">
        <v>45455.040000000001</v>
      </c>
      <c r="U9" s="185">
        <v>41</v>
      </c>
      <c r="V9" s="186">
        <v>2.0208333333333335</v>
      </c>
      <c r="X9" s="300"/>
    </row>
    <row r="10" spans="1:24" s="226" customFormat="1" outlineLevel="2">
      <c r="A10" s="165" t="s">
        <v>114</v>
      </c>
      <c r="B10" s="215">
        <f>450000</f>
        <v>450000</v>
      </c>
      <c r="C10" s="215">
        <f t="shared" si="2"/>
        <v>396842.76</v>
      </c>
      <c r="D10" s="216">
        <f t="shared" si="1"/>
        <v>-53157.239999999991</v>
      </c>
      <c r="E10" s="217">
        <f t="shared" si="3"/>
        <v>238</v>
      </c>
      <c r="F10" s="217">
        <f t="shared" si="3"/>
        <v>16.854166666666668</v>
      </c>
      <c r="G10" s="218"/>
      <c r="H10" s="219">
        <v>22890.6</v>
      </c>
      <c r="I10" s="220">
        <v>17</v>
      </c>
      <c r="J10" s="221">
        <v>1.0347222222222223</v>
      </c>
      <c r="K10" s="222">
        <v>88267.32</v>
      </c>
      <c r="L10" s="223">
        <v>55</v>
      </c>
      <c r="M10" s="224">
        <v>3.7916666666666665</v>
      </c>
      <c r="N10" s="222">
        <v>96300.36</v>
      </c>
      <c r="O10" s="223">
        <v>51</v>
      </c>
      <c r="P10" s="224">
        <v>4.0902777777777777</v>
      </c>
      <c r="Q10" s="225">
        <v>86546.880000000005</v>
      </c>
      <c r="R10" s="223">
        <v>53</v>
      </c>
      <c r="S10" s="224">
        <v>3.6388888888888888</v>
      </c>
      <c r="T10" s="225">
        <v>102837.6</v>
      </c>
      <c r="U10" s="223">
        <v>62</v>
      </c>
      <c r="V10" s="224">
        <v>4.2986111111111107</v>
      </c>
      <c r="X10" s="294"/>
    </row>
    <row r="11" spans="1:24" s="226" customFormat="1" outlineLevel="2">
      <c r="A11" s="165" t="s">
        <v>122</v>
      </c>
      <c r="B11" s="303">
        <v>0</v>
      </c>
      <c r="C11" s="215">
        <f>+H11+K11+N11+Q11+T11</f>
        <v>14528.16</v>
      </c>
      <c r="D11" s="216">
        <f>+C11-B11</f>
        <v>14528.16</v>
      </c>
      <c r="E11" s="217">
        <f>+I11+L11+O11+R11+U11</f>
        <v>6</v>
      </c>
      <c r="F11" s="217">
        <f>+J11+M11+P11+S11+V11</f>
        <v>0.5</v>
      </c>
      <c r="G11" s="218"/>
      <c r="H11" s="219"/>
      <c r="I11" s="220"/>
      <c r="J11" s="221"/>
      <c r="K11" s="222"/>
      <c r="L11" s="223"/>
      <c r="M11" s="224"/>
      <c r="N11" s="222"/>
      <c r="O11" s="223"/>
      <c r="P11" s="224"/>
      <c r="Q11" s="225">
        <v>4842.72</v>
      </c>
      <c r="R11" s="223">
        <v>2</v>
      </c>
      <c r="S11" s="224">
        <v>0.16666666666666666</v>
      </c>
      <c r="T11" s="225">
        <v>9685.44</v>
      </c>
      <c r="U11" s="223">
        <v>4</v>
      </c>
      <c r="V11" s="224">
        <v>0.33333333333333331</v>
      </c>
      <c r="X11" s="294"/>
    </row>
    <row r="12" spans="1:24" s="78" customFormat="1" outlineLevel="2">
      <c r="A12" s="165" t="s">
        <v>115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4">
      <c r="A13" s="58" t="s">
        <v>22</v>
      </c>
      <c r="B13" s="96">
        <f>SUM(B14:B21)</f>
        <v>340000</v>
      </c>
      <c r="C13" s="96">
        <f t="shared" ref="C13:D13" si="4">SUM(C14:C21)</f>
        <v>210552.02000000002</v>
      </c>
      <c r="D13" s="96">
        <f t="shared" si="4"/>
        <v>-129447.98</v>
      </c>
      <c r="E13" s="54">
        <f>SUM(E14:E21)</f>
        <v>252</v>
      </c>
      <c r="F13" s="54">
        <f>SUM(F14:F21)</f>
        <v>15.381944444444445</v>
      </c>
      <c r="G13" s="37"/>
      <c r="H13" s="53">
        <f t="shared" ref="H13" si="5">SUM(H14:H21)</f>
        <v>8934.66</v>
      </c>
      <c r="I13" s="54">
        <f>SUM(I14:I21)</f>
        <v>12</v>
      </c>
      <c r="J13" s="54">
        <f>SUM(J14:J21)</f>
        <v>0.65277777777777779</v>
      </c>
      <c r="K13" s="53">
        <f t="shared" ref="K13" si="6">SUM(K14:K21)</f>
        <v>35076.160000000003</v>
      </c>
      <c r="L13" s="54">
        <f>SUM(L14:L21)</f>
        <v>51</v>
      </c>
      <c r="M13" s="54">
        <f>SUM(M14:M21)</f>
        <v>2.5625</v>
      </c>
      <c r="N13" s="53">
        <f t="shared" ref="N13" si="7">SUM(N14:N21)</f>
        <v>57366.26</v>
      </c>
      <c r="O13" s="54">
        <f>SUM(O14:O21)</f>
        <v>68</v>
      </c>
      <c r="P13" s="54">
        <f>SUM(P14:P21)</f>
        <v>4.1909722222222223</v>
      </c>
      <c r="Q13" s="53">
        <f t="shared" ref="Q13" si="8">SUM(Q14:Q21)</f>
        <v>55086.78</v>
      </c>
      <c r="R13" s="54">
        <f>SUM(R14:R21)</f>
        <v>60</v>
      </c>
      <c r="S13" s="54">
        <f>SUM(S14:S21)</f>
        <v>4.0243055555555554</v>
      </c>
      <c r="T13" s="53">
        <f t="shared" ref="T13" si="9">SUM(T14:T21)</f>
        <v>54088.160000000003</v>
      </c>
      <c r="U13" s="54">
        <f>SUM(U14:U21)</f>
        <v>61</v>
      </c>
      <c r="V13" s="54">
        <f>SUM(V14:V21)</f>
        <v>3.9513888888888888</v>
      </c>
    </row>
    <row r="14" spans="1:24" outlineLevel="2">
      <c r="A14" s="133" t="s">
        <v>23</v>
      </c>
      <c r="B14" s="97">
        <f>200000*0.85</f>
        <v>170000</v>
      </c>
      <c r="C14" s="92">
        <f t="shared" si="2"/>
        <v>112071.81999999999</v>
      </c>
      <c r="D14" s="93">
        <f t="shared" ref="D14:D21" si="10">+C14-B14</f>
        <v>-57928.180000000008</v>
      </c>
      <c r="E14" s="18">
        <f t="shared" ref="E14:F21" si="11">+I14+L14+O14+R14+U14</f>
        <v>153</v>
      </c>
      <c r="F14" s="18">
        <f t="shared" si="11"/>
        <v>8.1875</v>
      </c>
      <c r="G14" s="37"/>
      <c r="H14" s="181">
        <v>4848.0600000000004</v>
      </c>
      <c r="I14" s="182">
        <v>6</v>
      </c>
      <c r="J14" s="183">
        <v>0.35416666666666669</v>
      </c>
      <c r="K14" s="184">
        <v>21292.46</v>
      </c>
      <c r="L14" s="185">
        <v>35</v>
      </c>
      <c r="M14" s="186">
        <v>1.5555555555555556</v>
      </c>
      <c r="N14" s="184">
        <v>29894.9</v>
      </c>
      <c r="O14" s="185">
        <v>43</v>
      </c>
      <c r="P14" s="186">
        <v>2.1840277777777777</v>
      </c>
      <c r="Q14" s="187">
        <v>26093.48</v>
      </c>
      <c r="R14" s="185">
        <v>31</v>
      </c>
      <c r="S14" s="186">
        <v>1.90625</v>
      </c>
      <c r="T14" s="187">
        <v>29942.92</v>
      </c>
      <c r="U14" s="185">
        <v>38</v>
      </c>
      <c r="V14" s="186">
        <v>2.1875</v>
      </c>
      <c r="X14" s="295"/>
    </row>
    <row r="15" spans="1:24" s="226" customFormat="1" outlineLevel="2">
      <c r="A15" s="165" t="s">
        <v>24</v>
      </c>
      <c r="B15" s="215">
        <f t="shared" ref="B15" si="12">200000*0.85</f>
        <v>170000</v>
      </c>
      <c r="C15" s="215">
        <f t="shared" si="2"/>
        <v>98480.200000000012</v>
      </c>
      <c r="D15" s="216">
        <f t="shared" si="10"/>
        <v>-71519.799999999988</v>
      </c>
      <c r="E15" s="217">
        <f t="shared" si="11"/>
        <v>99</v>
      </c>
      <c r="F15" s="217">
        <f t="shared" si="11"/>
        <v>7.1944444444444446</v>
      </c>
      <c r="G15" s="218"/>
      <c r="H15" s="219">
        <v>4086.6</v>
      </c>
      <c r="I15" s="220">
        <v>6</v>
      </c>
      <c r="J15" s="221">
        <v>0.2986111111111111</v>
      </c>
      <c r="K15" s="222">
        <v>13783.7</v>
      </c>
      <c r="L15" s="223">
        <v>16</v>
      </c>
      <c r="M15" s="224">
        <v>1.0069444444444444</v>
      </c>
      <c r="N15" s="222">
        <v>27471.360000000001</v>
      </c>
      <c r="O15" s="223">
        <v>25</v>
      </c>
      <c r="P15" s="224">
        <v>2.0069444444444446</v>
      </c>
      <c r="Q15" s="225">
        <v>28993.3</v>
      </c>
      <c r="R15" s="223">
        <v>29</v>
      </c>
      <c r="S15" s="224">
        <v>2.1180555555555554</v>
      </c>
      <c r="T15" s="225">
        <v>24145.24</v>
      </c>
      <c r="U15" s="223">
        <v>23</v>
      </c>
      <c r="V15" s="224">
        <v>1.7638888888888888</v>
      </c>
      <c r="X15" s="294"/>
    </row>
    <row r="16" spans="1:24" s="78" customFormat="1" outlineLevel="2">
      <c r="A16" s="134" t="s">
        <v>25</v>
      </c>
      <c r="B16" s="94">
        <v>0</v>
      </c>
      <c r="C16" s="94">
        <f t="shared" si="2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4" s="78" customFormat="1" outlineLevel="2">
      <c r="A17" s="134" t="s">
        <v>26</v>
      </c>
      <c r="B17" s="94">
        <v>0</v>
      </c>
      <c r="C17" s="94">
        <f t="shared" si="2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4" s="78" customFormat="1" outlineLevel="2">
      <c r="A18" s="134" t="s">
        <v>27</v>
      </c>
      <c r="B18" s="94">
        <v>0</v>
      </c>
      <c r="C18" s="94">
        <f t="shared" si="2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4" s="78" customFormat="1" outlineLevel="2">
      <c r="A19" s="134" t="s">
        <v>28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78" customFormat="1" outlineLevel="2">
      <c r="A20" s="134" t="s">
        <v>20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4" s="78" customFormat="1" outlineLevel="2">
      <c r="A21" s="134" t="s">
        <v>21</v>
      </c>
      <c r="B21" s="94">
        <v>0</v>
      </c>
      <c r="C21" s="94">
        <f t="shared" si="2"/>
        <v>0</v>
      </c>
      <c r="D21" s="95">
        <f t="shared" si="10"/>
        <v>0</v>
      </c>
      <c r="E21" s="69">
        <f t="shared" si="11"/>
        <v>0</v>
      </c>
      <c r="F21" s="69">
        <f t="shared" si="11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>
      <c r="A22" s="57" t="s">
        <v>29</v>
      </c>
      <c r="B22" s="98">
        <f>SUM(B23:B30)</f>
        <v>510000</v>
      </c>
      <c r="C22" s="98">
        <f>SUM(C23:C30)</f>
        <v>299045.03999999998</v>
      </c>
      <c r="D22" s="98">
        <f>SUM(D23:D30)</f>
        <v>-210954.96000000002</v>
      </c>
      <c r="E22" s="56">
        <f>SUM(E23:E30)</f>
        <v>311</v>
      </c>
      <c r="F22" s="56">
        <f>SUM(F23:F30)</f>
        <v>21.847222222222221</v>
      </c>
      <c r="G22" s="37"/>
      <c r="H22" s="55">
        <f t="shared" ref="H22:V22" si="13">SUM(H23:H30)</f>
        <v>10550.68</v>
      </c>
      <c r="I22" s="56">
        <f t="shared" si="13"/>
        <v>12</v>
      </c>
      <c r="J22" s="56">
        <f t="shared" si="13"/>
        <v>0.77083333333333326</v>
      </c>
      <c r="K22" s="55">
        <f t="shared" si="13"/>
        <v>59409.56</v>
      </c>
      <c r="L22" s="56">
        <f t="shared" si="13"/>
        <v>54</v>
      </c>
      <c r="M22" s="56">
        <f t="shared" si="13"/>
        <v>4.3402777777777777</v>
      </c>
      <c r="N22" s="55">
        <f t="shared" si="13"/>
        <v>74144.84</v>
      </c>
      <c r="O22" s="56">
        <f t="shared" si="13"/>
        <v>77</v>
      </c>
      <c r="P22" s="56">
        <f t="shared" si="13"/>
        <v>5.416666666666667</v>
      </c>
      <c r="Q22" s="55">
        <f t="shared" si="13"/>
        <v>77659.12</v>
      </c>
      <c r="R22" s="56">
        <f t="shared" si="13"/>
        <v>82</v>
      </c>
      <c r="S22" s="56">
        <f t="shared" si="13"/>
        <v>5.6736111111111107</v>
      </c>
      <c r="T22" s="55">
        <f t="shared" si="13"/>
        <v>77280.84</v>
      </c>
      <c r="U22" s="56">
        <f t="shared" si="13"/>
        <v>86</v>
      </c>
      <c r="V22" s="56">
        <f t="shared" si="13"/>
        <v>5.645833333333333</v>
      </c>
    </row>
    <row r="23" spans="1:24" s="226" customFormat="1" outlineLevel="2">
      <c r="A23" s="165" t="s">
        <v>30</v>
      </c>
      <c r="B23" s="215">
        <f>200000*0.85</f>
        <v>170000</v>
      </c>
      <c r="C23" s="215">
        <f t="shared" si="2"/>
        <v>114920.68000000001</v>
      </c>
      <c r="D23" s="216">
        <f t="shared" ref="D23:D51" si="14">+C23-B23</f>
        <v>-55079.319999999992</v>
      </c>
      <c r="E23" s="217">
        <f t="shared" ref="E23:F30" si="15">+I23+L23+O23+R23+U23</f>
        <v>125</v>
      </c>
      <c r="F23" s="217">
        <f t="shared" si="15"/>
        <v>8.3958333333333321</v>
      </c>
      <c r="G23" s="218"/>
      <c r="H23" s="219">
        <v>5987.8</v>
      </c>
      <c r="I23" s="220">
        <v>8</v>
      </c>
      <c r="J23" s="221">
        <v>0.4375</v>
      </c>
      <c r="K23" s="222">
        <v>23858.1</v>
      </c>
      <c r="L23" s="223">
        <v>27</v>
      </c>
      <c r="M23" s="224">
        <v>1.7430555555555556</v>
      </c>
      <c r="N23" s="222">
        <v>27282.22</v>
      </c>
      <c r="O23" s="223">
        <v>27</v>
      </c>
      <c r="P23" s="224">
        <v>1.9930555555555556</v>
      </c>
      <c r="Q23" s="225">
        <v>30035.040000000001</v>
      </c>
      <c r="R23" s="223">
        <v>32</v>
      </c>
      <c r="S23" s="224">
        <v>2.1944444444444446</v>
      </c>
      <c r="T23" s="225">
        <v>27757.52</v>
      </c>
      <c r="U23" s="223">
        <v>31</v>
      </c>
      <c r="V23" s="224">
        <v>2.0277777777777777</v>
      </c>
      <c r="X23" s="294"/>
    </row>
    <row r="24" spans="1:24" s="226" customFormat="1" outlineLevel="2">
      <c r="A24" s="165" t="s">
        <v>117</v>
      </c>
      <c r="B24" s="215">
        <f t="shared" ref="B24:B25" si="16">200000*0.85</f>
        <v>170000</v>
      </c>
      <c r="C24" s="215">
        <f t="shared" si="2"/>
        <v>91253.68</v>
      </c>
      <c r="D24" s="216">
        <f t="shared" si="14"/>
        <v>-78746.320000000007</v>
      </c>
      <c r="E24" s="217">
        <f t="shared" si="15"/>
        <v>97</v>
      </c>
      <c r="F24" s="217">
        <f t="shared" si="15"/>
        <v>6.6666666666666661</v>
      </c>
      <c r="G24" s="218"/>
      <c r="H24" s="219">
        <v>2281.44</v>
      </c>
      <c r="I24" s="220">
        <v>2</v>
      </c>
      <c r="J24" s="221">
        <v>0.16666666666666666</v>
      </c>
      <c r="K24" s="222">
        <v>17681.16</v>
      </c>
      <c r="L24" s="223">
        <v>13</v>
      </c>
      <c r="M24" s="224">
        <v>1.2916666666666667</v>
      </c>
      <c r="N24" s="222">
        <v>22907.5</v>
      </c>
      <c r="O24" s="223">
        <v>28</v>
      </c>
      <c r="P24" s="224">
        <v>1.6736111111111112</v>
      </c>
      <c r="Q24" s="225">
        <v>24240.3</v>
      </c>
      <c r="R24" s="223">
        <v>25</v>
      </c>
      <c r="S24" s="224">
        <v>1.7708333333333333</v>
      </c>
      <c r="T24" s="225">
        <v>24143.279999999999</v>
      </c>
      <c r="U24" s="223">
        <v>29</v>
      </c>
      <c r="V24" s="224">
        <v>1.7638888888888888</v>
      </c>
      <c r="X24" s="294"/>
    </row>
    <row r="25" spans="1:24" s="226" customFormat="1" outlineLevel="2">
      <c r="A25" s="165" t="s">
        <v>118</v>
      </c>
      <c r="B25" s="215">
        <f t="shared" si="16"/>
        <v>170000</v>
      </c>
      <c r="C25" s="215">
        <f t="shared" si="2"/>
        <v>92870.68</v>
      </c>
      <c r="D25" s="216">
        <f t="shared" si="14"/>
        <v>-77129.320000000007</v>
      </c>
      <c r="E25" s="217">
        <f t="shared" si="15"/>
        <v>89</v>
      </c>
      <c r="F25" s="217">
        <f t="shared" si="15"/>
        <v>6.7847222222222223</v>
      </c>
      <c r="G25" s="218"/>
      <c r="H25" s="219">
        <v>2281.44</v>
      </c>
      <c r="I25" s="220">
        <v>2</v>
      </c>
      <c r="J25" s="221">
        <v>0.16666666666666666</v>
      </c>
      <c r="K25" s="222">
        <v>17870.3</v>
      </c>
      <c r="L25" s="223">
        <v>14</v>
      </c>
      <c r="M25" s="224">
        <v>1.3055555555555556</v>
      </c>
      <c r="N25" s="222">
        <v>23955.119999999999</v>
      </c>
      <c r="O25" s="223">
        <v>22</v>
      </c>
      <c r="P25" s="224">
        <v>1.75</v>
      </c>
      <c r="Q25" s="225">
        <v>23383.78</v>
      </c>
      <c r="R25" s="223">
        <v>25</v>
      </c>
      <c r="S25" s="224">
        <v>1.7083333333333333</v>
      </c>
      <c r="T25" s="225">
        <v>25380.04</v>
      </c>
      <c r="U25" s="223">
        <v>26</v>
      </c>
      <c r="V25" s="224">
        <v>1.8541666666666667</v>
      </c>
      <c r="X25" s="294"/>
    </row>
    <row r="26" spans="1:24" s="78" customFormat="1" outlineLevel="2">
      <c r="A26" s="133" t="s">
        <v>33</v>
      </c>
      <c r="B26" s="97">
        <v>0</v>
      </c>
      <c r="C26" s="97">
        <f t="shared" si="2"/>
        <v>0</v>
      </c>
      <c r="D26" s="93">
        <f t="shared" si="14"/>
        <v>0</v>
      </c>
      <c r="E26" s="18">
        <f t="shared" si="15"/>
        <v>0</v>
      </c>
      <c r="F26" s="18">
        <f t="shared" si="15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4" s="78" customFormat="1" outlineLevel="2">
      <c r="A27" s="134" t="s">
        <v>27</v>
      </c>
      <c r="B27" s="94">
        <v>0</v>
      </c>
      <c r="C27" s="94">
        <f t="shared" si="2"/>
        <v>0</v>
      </c>
      <c r="D27" s="95">
        <f t="shared" si="14"/>
        <v>0</v>
      </c>
      <c r="E27" s="69">
        <f t="shared" si="15"/>
        <v>0</v>
      </c>
      <c r="F27" s="69">
        <f t="shared" si="15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4" s="78" customFormat="1" outlineLevel="2">
      <c r="A28" s="134" t="s">
        <v>28</v>
      </c>
      <c r="B28" s="94">
        <v>0</v>
      </c>
      <c r="C28" s="94">
        <f t="shared" si="2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78" customFormat="1" outlineLevel="2">
      <c r="A29" s="134" t="s">
        <v>20</v>
      </c>
      <c r="B29" s="94">
        <v>0</v>
      </c>
      <c r="C29" s="94">
        <f t="shared" si="2"/>
        <v>0</v>
      </c>
      <c r="D29" s="95">
        <f t="shared" si="14"/>
        <v>0</v>
      </c>
      <c r="E29" s="69">
        <f t="shared" si="15"/>
        <v>0</v>
      </c>
      <c r="F29" s="69">
        <f t="shared" si="15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4" s="78" customFormat="1" outlineLevel="2">
      <c r="A30" s="134" t="s">
        <v>21</v>
      </c>
      <c r="B30" s="94">
        <v>0</v>
      </c>
      <c r="C30" s="94">
        <f t="shared" si="2"/>
        <v>0</v>
      </c>
      <c r="D30" s="95">
        <f t="shared" si="14"/>
        <v>0</v>
      </c>
      <c r="E30" s="69">
        <f t="shared" si="15"/>
        <v>0</v>
      </c>
      <c r="F30" s="69">
        <f t="shared" si="15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>
      <c r="A31" s="50" t="s">
        <v>34</v>
      </c>
      <c r="B31" s="99">
        <f>SUM(B32:B39)</f>
        <v>170000</v>
      </c>
      <c r="C31" s="99">
        <f t="shared" ref="C31:D31" si="17">SUM(C32:C39)</f>
        <v>105996.8</v>
      </c>
      <c r="D31" s="99">
        <f t="shared" si="17"/>
        <v>-64003.199999999997</v>
      </c>
      <c r="E31" s="52">
        <f>SUM(E32:E39)</f>
        <v>114</v>
      </c>
      <c r="F31" s="52">
        <f>SUM(F32:F39)</f>
        <v>7.7395833333333321</v>
      </c>
      <c r="G31" s="37"/>
      <c r="H31" s="51">
        <f t="shared" ref="H31" si="18">SUM(H32:H39)</f>
        <v>6273.96</v>
      </c>
      <c r="I31" s="52">
        <f>SUM(I32:I39)</f>
        <v>7</v>
      </c>
      <c r="J31" s="52">
        <f>SUM(J32:J39)</f>
        <v>0.45833333333333331</v>
      </c>
      <c r="K31" s="51">
        <f t="shared" ref="K31" si="19">SUM(K32:K39)</f>
        <v>21055.3</v>
      </c>
      <c r="L31" s="52">
        <f>SUM(L32:L39)</f>
        <v>24</v>
      </c>
      <c r="M31" s="52">
        <f>SUM(M32:M39)</f>
        <v>1.5381944444444444</v>
      </c>
      <c r="N31" s="51">
        <f t="shared" ref="N31" si="20">SUM(N32:N39)</f>
        <v>22434.16</v>
      </c>
      <c r="O31" s="52">
        <f>SUM(O32:O39)</f>
        <v>25</v>
      </c>
      <c r="P31" s="52">
        <f>SUM(P32:P39)</f>
        <v>1.6388888888888888</v>
      </c>
      <c r="Q31" s="51">
        <f t="shared" ref="Q31" si="21">SUM(Q32:Q39)</f>
        <v>28618.94</v>
      </c>
      <c r="R31" s="52">
        <f>SUM(R32:R39)</f>
        <v>28</v>
      </c>
      <c r="S31" s="52">
        <f>SUM(S32:S39)</f>
        <v>2.0868055555555554</v>
      </c>
      <c r="T31" s="51">
        <f t="shared" ref="T31" si="22">SUM(T32:T39)</f>
        <v>27614.44</v>
      </c>
      <c r="U31" s="52">
        <f>SUM(U32:U39)</f>
        <v>30</v>
      </c>
      <c r="V31" s="52">
        <f>SUM(V32:V39)</f>
        <v>2.0173611111111112</v>
      </c>
    </row>
    <row r="32" spans="1:24" s="226" customFormat="1" outlineLevel="2">
      <c r="A32" s="165" t="s">
        <v>35</v>
      </c>
      <c r="B32" s="215">
        <f>200000*0.85</f>
        <v>170000</v>
      </c>
      <c r="C32" s="215">
        <f t="shared" si="2"/>
        <v>105996.8</v>
      </c>
      <c r="D32" s="216">
        <f t="shared" si="14"/>
        <v>-64003.199999999997</v>
      </c>
      <c r="E32" s="217">
        <f t="shared" ref="E32:F39" si="23">+I32+L32+O32+R32+U32</f>
        <v>114</v>
      </c>
      <c r="F32" s="217">
        <f t="shared" si="23"/>
        <v>7.7395833333333321</v>
      </c>
      <c r="G32" s="218"/>
      <c r="H32" s="219">
        <v>6273.96</v>
      </c>
      <c r="I32" s="220">
        <v>7</v>
      </c>
      <c r="J32" s="221">
        <v>0.45833333333333331</v>
      </c>
      <c r="K32" s="222">
        <v>21055.3</v>
      </c>
      <c r="L32" s="223">
        <v>24</v>
      </c>
      <c r="M32" s="224">
        <v>1.5381944444444444</v>
      </c>
      <c r="N32" s="222">
        <v>22434.16</v>
      </c>
      <c r="O32" s="223">
        <v>25</v>
      </c>
      <c r="P32" s="224">
        <v>1.6388888888888888</v>
      </c>
      <c r="Q32" s="225">
        <v>28618.94</v>
      </c>
      <c r="R32" s="223">
        <v>28</v>
      </c>
      <c r="S32" s="224">
        <v>2.0868055555555554</v>
      </c>
      <c r="T32" s="225">
        <v>27614.44</v>
      </c>
      <c r="U32" s="223">
        <v>30</v>
      </c>
      <c r="V32" s="224">
        <v>2.0173611111111112</v>
      </c>
      <c r="X32" s="294"/>
    </row>
    <row r="33" spans="1:24" s="78" customFormat="1" outlineLevel="2">
      <c r="A33" s="134" t="s">
        <v>36</v>
      </c>
      <c r="B33" s="94">
        <v>0</v>
      </c>
      <c r="C33" s="94">
        <f t="shared" si="2"/>
        <v>0</v>
      </c>
      <c r="D33" s="95">
        <f t="shared" si="14"/>
        <v>0</v>
      </c>
      <c r="E33" s="69">
        <f t="shared" si="23"/>
        <v>0</v>
      </c>
      <c r="F33" s="69">
        <f t="shared" si="23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4" s="78" customFormat="1" outlineLevel="2">
      <c r="A34" s="134" t="s">
        <v>25</v>
      </c>
      <c r="B34" s="94">
        <v>0</v>
      </c>
      <c r="C34" s="94">
        <f t="shared" si="2"/>
        <v>0</v>
      </c>
      <c r="D34" s="95">
        <f t="shared" si="14"/>
        <v>0</v>
      </c>
      <c r="E34" s="69">
        <f t="shared" si="23"/>
        <v>0</v>
      </c>
      <c r="F34" s="69">
        <f t="shared" si="23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4" s="78" customFormat="1" outlineLevel="2">
      <c r="A35" s="134" t="s">
        <v>26</v>
      </c>
      <c r="B35" s="94">
        <v>0</v>
      </c>
      <c r="C35" s="94">
        <f t="shared" si="2"/>
        <v>0</v>
      </c>
      <c r="D35" s="95">
        <f t="shared" si="14"/>
        <v>0</v>
      </c>
      <c r="E35" s="69">
        <f t="shared" si="23"/>
        <v>0</v>
      </c>
      <c r="F35" s="69">
        <f t="shared" si="23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4" s="78" customFormat="1" outlineLevel="2">
      <c r="A36" s="134" t="s">
        <v>37</v>
      </c>
      <c r="B36" s="94">
        <v>0</v>
      </c>
      <c r="C36" s="94">
        <f t="shared" si="2"/>
        <v>0</v>
      </c>
      <c r="D36" s="95">
        <f t="shared" si="14"/>
        <v>0</v>
      </c>
      <c r="E36" s="69">
        <f t="shared" si="23"/>
        <v>0</v>
      </c>
      <c r="F36" s="69">
        <f t="shared" si="23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4" s="78" customFormat="1" outlineLevel="2">
      <c r="A37" s="134" t="s">
        <v>28</v>
      </c>
      <c r="B37" s="94">
        <v>0</v>
      </c>
      <c r="C37" s="94">
        <f t="shared" si="2"/>
        <v>0</v>
      </c>
      <c r="D37" s="95">
        <f t="shared" si="14"/>
        <v>0</v>
      </c>
      <c r="E37" s="69">
        <f t="shared" si="23"/>
        <v>0</v>
      </c>
      <c r="F37" s="69">
        <f t="shared" si="23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78" customFormat="1" outlineLevel="2">
      <c r="A38" s="134" t="s">
        <v>20</v>
      </c>
      <c r="B38" s="94">
        <v>0</v>
      </c>
      <c r="C38" s="94">
        <f t="shared" si="2"/>
        <v>0</v>
      </c>
      <c r="D38" s="95">
        <f t="shared" si="14"/>
        <v>0</v>
      </c>
      <c r="E38" s="69">
        <f t="shared" si="23"/>
        <v>0</v>
      </c>
      <c r="F38" s="69">
        <f t="shared" si="23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4" s="78" customFormat="1" outlineLevel="2">
      <c r="A39" s="134" t="s">
        <v>21</v>
      </c>
      <c r="B39" s="94">
        <v>0</v>
      </c>
      <c r="C39" s="94">
        <f t="shared" si="2"/>
        <v>0</v>
      </c>
      <c r="D39" s="95">
        <f t="shared" si="14"/>
        <v>0</v>
      </c>
      <c r="E39" s="69">
        <f t="shared" si="23"/>
        <v>0</v>
      </c>
      <c r="F39" s="69">
        <f t="shared" si="23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4">SUM(H41:H42)</f>
        <v>0</v>
      </c>
      <c r="I40" s="60">
        <f t="shared" si="24"/>
        <v>0</v>
      </c>
      <c r="J40" s="60">
        <f t="shared" si="24"/>
        <v>0</v>
      </c>
      <c r="K40" s="59">
        <f t="shared" si="24"/>
        <v>0</v>
      </c>
      <c r="L40" s="60">
        <f t="shared" si="24"/>
        <v>0</v>
      </c>
      <c r="M40" s="60">
        <f t="shared" si="24"/>
        <v>0</v>
      </c>
      <c r="N40" s="59">
        <f t="shared" si="24"/>
        <v>0</v>
      </c>
      <c r="O40" s="60">
        <f t="shared" si="24"/>
        <v>0</v>
      </c>
      <c r="P40" s="60">
        <f t="shared" si="24"/>
        <v>0</v>
      </c>
      <c r="Q40" s="59">
        <f t="shared" si="24"/>
        <v>0</v>
      </c>
      <c r="R40" s="60">
        <f t="shared" si="24"/>
        <v>0</v>
      </c>
      <c r="S40" s="60">
        <f t="shared" si="24"/>
        <v>0</v>
      </c>
      <c r="T40" s="59">
        <f t="shared" si="24"/>
        <v>0</v>
      </c>
      <c r="U40" s="60">
        <f t="shared" si="24"/>
        <v>0</v>
      </c>
      <c r="V40" s="60">
        <f t="shared" si="24"/>
        <v>0</v>
      </c>
    </row>
    <row r="41" spans="1:24" s="78" customFormat="1" outlineLevel="2">
      <c r="A41" s="134" t="s">
        <v>43</v>
      </c>
      <c r="B41" s="94">
        <v>0</v>
      </c>
      <c r="C41" s="94">
        <f t="shared" si="2"/>
        <v>0</v>
      </c>
      <c r="D41" s="95">
        <f t="shared" si="14"/>
        <v>0</v>
      </c>
      <c r="E41" s="69">
        <f t="shared" ref="E41:F42" si="25">+I41+L41+O41+R41+U41</f>
        <v>0</v>
      </c>
      <c r="F41" s="69">
        <f t="shared" si="25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4" s="78" customFormat="1" outlineLevel="2">
      <c r="A42" s="134" t="s">
        <v>36</v>
      </c>
      <c r="B42" s="94">
        <v>0</v>
      </c>
      <c r="C42" s="94">
        <f t="shared" si="2"/>
        <v>0</v>
      </c>
      <c r="D42" s="95">
        <f t="shared" si="14"/>
        <v>0</v>
      </c>
      <c r="E42" s="69">
        <f t="shared" si="25"/>
        <v>0</v>
      </c>
      <c r="F42" s="69">
        <f t="shared" si="25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>
      <c r="A43" s="47" t="s">
        <v>40</v>
      </c>
      <c r="B43" s="101">
        <f>SUM(B44:B45)</f>
        <v>85000</v>
      </c>
      <c r="C43" s="101">
        <f>SUM(C44:C45)</f>
        <v>89873.840000000011</v>
      </c>
      <c r="D43" s="101">
        <f>SUM(D44:D45)</f>
        <v>4873.8400000000111</v>
      </c>
      <c r="E43" s="49">
        <f>SUM(E44:E45)</f>
        <v>98</v>
      </c>
      <c r="F43" s="49">
        <f>SUM(F44:F45)</f>
        <v>6.5659722222222223</v>
      </c>
      <c r="G43" s="37"/>
      <c r="H43" s="48">
        <f t="shared" ref="H43:V43" si="26">SUM(H44:H45)</f>
        <v>5038.18</v>
      </c>
      <c r="I43" s="49">
        <f t="shared" si="26"/>
        <v>5</v>
      </c>
      <c r="J43" s="49">
        <f t="shared" si="26"/>
        <v>0.36805555555555558</v>
      </c>
      <c r="K43" s="48">
        <f t="shared" si="26"/>
        <v>15589.84</v>
      </c>
      <c r="L43" s="49">
        <f t="shared" si="26"/>
        <v>15</v>
      </c>
      <c r="M43" s="49">
        <f t="shared" si="26"/>
        <v>1.1388888888888888</v>
      </c>
      <c r="N43" s="48">
        <f t="shared" si="26"/>
        <v>24285.38</v>
      </c>
      <c r="O43" s="49">
        <f t="shared" si="26"/>
        <v>34</v>
      </c>
      <c r="P43" s="49">
        <f t="shared" si="26"/>
        <v>1.7743055555555556</v>
      </c>
      <c r="Q43" s="48">
        <f t="shared" si="26"/>
        <v>26138.560000000001</v>
      </c>
      <c r="R43" s="49">
        <f t="shared" si="26"/>
        <v>27</v>
      </c>
      <c r="S43" s="49">
        <f t="shared" si="26"/>
        <v>1.9097222222222223</v>
      </c>
      <c r="T43" s="48">
        <f t="shared" si="26"/>
        <v>18821.88</v>
      </c>
      <c r="U43" s="49">
        <f t="shared" si="26"/>
        <v>17</v>
      </c>
      <c r="V43" s="49">
        <f t="shared" si="26"/>
        <v>1.375</v>
      </c>
    </row>
    <row r="44" spans="1:24" outlineLevel="2">
      <c r="A44" s="1" t="s">
        <v>41</v>
      </c>
      <c r="B44" s="97">
        <f>200000/2*0.85</f>
        <v>85000</v>
      </c>
      <c r="C44" s="92">
        <f t="shared" si="2"/>
        <v>89873.840000000011</v>
      </c>
      <c r="D44" s="93">
        <f t="shared" ref="D44:D45" si="27">+C44-B44</f>
        <v>4873.8400000000111</v>
      </c>
      <c r="E44" s="18">
        <f t="shared" ref="E44:F45" si="28">+I44+L44+O44+R44+U44</f>
        <v>98</v>
      </c>
      <c r="F44" s="18">
        <f t="shared" si="28"/>
        <v>6.5659722222222223</v>
      </c>
      <c r="G44" s="37"/>
      <c r="H44" s="181">
        <v>5038.18</v>
      </c>
      <c r="I44" s="182">
        <v>5</v>
      </c>
      <c r="J44" s="183">
        <v>0.36805555555555558</v>
      </c>
      <c r="K44" s="184">
        <v>15589.84</v>
      </c>
      <c r="L44" s="185">
        <v>15</v>
      </c>
      <c r="M44" s="186">
        <v>1.1388888888888888</v>
      </c>
      <c r="N44" s="184">
        <v>24285.38</v>
      </c>
      <c r="O44" s="185">
        <v>34</v>
      </c>
      <c r="P44" s="186">
        <v>1.7743055555555556</v>
      </c>
      <c r="Q44" s="187">
        <v>26138.560000000001</v>
      </c>
      <c r="R44" s="185">
        <v>27</v>
      </c>
      <c r="S44" s="186">
        <v>1.9097222222222223</v>
      </c>
      <c r="T44" s="187">
        <v>18821.88</v>
      </c>
      <c r="U44" s="185">
        <v>17</v>
      </c>
      <c r="V44" s="186">
        <v>1.375</v>
      </c>
      <c r="X44" s="295"/>
    </row>
    <row r="45" spans="1:24" s="78" customFormat="1" outlineLevel="2">
      <c r="A45" s="68" t="s">
        <v>36</v>
      </c>
      <c r="B45" s="94">
        <v>0</v>
      </c>
      <c r="C45" s="94">
        <f t="shared" si="2"/>
        <v>0</v>
      </c>
      <c r="D45" s="95">
        <f t="shared" si="27"/>
        <v>0</v>
      </c>
      <c r="E45" s="69">
        <f t="shared" si="28"/>
        <v>0</v>
      </c>
      <c r="F45" s="69">
        <f t="shared" si="28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9">SUM(H47:H48)</f>
        <v>0</v>
      </c>
      <c r="I46" s="200">
        <f t="shared" si="29"/>
        <v>0</v>
      </c>
      <c r="J46" s="200">
        <f t="shared" si="29"/>
        <v>0</v>
      </c>
      <c r="K46" s="211">
        <f t="shared" si="29"/>
        <v>0</v>
      </c>
      <c r="L46" s="200">
        <f t="shared" si="29"/>
        <v>0</v>
      </c>
      <c r="M46" s="200">
        <f t="shared" si="29"/>
        <v>0</v>
      </c>
      <c r="N46" s="211">
        <f t="shared" si="29"/>
        <v>0</v>
      </c>
      <c r="O46" s="200">
        <f t="shared" si="29"/>
        <v>0</v>
      </c>
      <c r="P46" s="200">
        <f t="shared" si="29"/>
        <v>0</v>
      </c>
      <c r="Q46" s="211">
        <f t="shared" si="29"/>
        <v>0</v>
      </c>
      <c r="R46" s="200">
        <f t="shared" si="29"/>
        <v>0</v>
      </c>
      <c r="S46" s="200">
        <f t="shared" si="29"/>
        <v>0</v>
      </c>
      <c r="T46" s="211">
        <f t="shared" si="29"/>
        <v>0</v>
      </c>
      <c r="U46" s="200">
        <f t="shared" si="29"/>
        <v>0</v>
      </c>
      <c r="V46" s="200">
        <f t="shared" si="29"/>
        <v>0</v>
      </c>
    </row>
    <row r="47" spans="1:24" s="78" customFormat="1" outlineLevel="2">
      <c r="A47" s="68" t="s">
        <v>43</v>
      </c>
      <c r="B47" s="94">
        <v>0</v>
      </c>
      <c r="C47" s="94">
        <f t="shared" si="2"/>
        <v>0</v>
      </c>
      <c r="D47" s="95">
        <f t="shared" ref="D47:D48" si="30">+C47-B47</f>
        <v>0</v>
      </c>
      <c r="E47" s="69">
        <f t="shared" ref="E47:F48" si="31">+I47+L47+O47+R47+U47</f>
        <v>0</v>
      </c>
      <c r="F47" s="69">
        <f t="shared" si="31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>
      <c r="A48" s="68" t="s">
        <v>36</v>
      </c>
      <c r="B48" s="94">
        <v>0</v>
      </c>
      <c r="C48" s="94">
        <f t="shared" si="2"/>
        <v>0</v>
      </c>
      <c r="D48" s="95">
        <f t="shared" si="30"/>
        <v>0</v>
      </c>
      <c r="E48" s="69">
        <f t="shared" si="31"/>
        <v>0</v>
      </c>
      <c r="F48" s="69">
        <f t="shared" si="31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2">SUM(H50:H51)</f>
        <v>0</v>
      </c>
      <c r="I49" s="200">
        <f t="shared" si="32"/>
        <v>0</v>
      </c>
      <c r="J49" s="200">
        <f t="shared" si="32"/>
        <v>0</v>
      </c>
      <c r="K49" s="211">
        <f t="shared" si="32"/>
        <v>0</v>
      </c>
      <c r="L49" s="200">
        <f t="shared" si="32"/>
        <v>0</v>
      </c>
      <c r="M49" s="200">
        <f t="shared" si="32"/>
        <v>0</v>
      </c>
      <c r="N49" s="211">
        <f t="shared" si="32"/>
        <v>0</v>
      </c>
      <c r="O49" s="200">
        <f t="shared" si="32"/>
        <v>0</v>
      </c>
      <c r="P49" s="200">
        <f t="shared" si="32"/>
        <v>0</v>
      </c>
      <c r="Q49" s="211">
        <f t="shared" si="32"/>
        <v>0</v>
      </c>
      <c r="R49" s="200">
        <f t="shared" si="32"/>
        <v>0</v>
      </c>
      <c r="S49" s="200">
        <f t="shared" si="32"/>
        <v>0</v>
      </c>
      <c r="T49" s="211">
        <f t="shared" si="32"/>
        <v>0</v>
      </c>
      <c r="U49" s="200">
        <f t="shared" si="32"/>
        <v>0</v>
      </c>
      <c r="V49" s="200">
        <f t="shared" si="32"/>
        <v>0</v>
      </c>
    </row>
    <row r="50" spans="1:22" s="78" customFormat="1" outlineLevel="2">
      <c r="A50" s="1" t="s">
        <v>123</v>
      </c>
      <c r="B50" s="97">
        <v>0</v>
      </c>
      <c r="C50" s="97">
        <f t="shared" si="2"/>
        <v>0</v>
      </c>
      <c r="D50" s="93">
        <f t="shared" si="14"/>
        <v>0</v>
      </c>
      <c r="E50" s="18">
        <f t="shared" ref="E50:F51" si="33">+I50+L50+O50+R50+U50</f>
        <v>0</v>
      </c>
      <c r="F50" s="18">
        <f t="shared" si="33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>
      <c r="A51" s="68" t="s">
        <v>36</v>
      </c>
      <c r="B51" s="94">
        <v>0</v>
      </c>
      <c r="C51" s="94">
        <f t="shared" si="2"/>
        <v>0</v>
      </c>
      <c r="D51" s="95">
        <f t="shared" si="14"/>
        <v>0</v>
      </c>
      <c r="E51" s="69">
        <f t="shared" si="33"/>
        <v>0</v>
      </c>
      <c r="F51" s="69">
        <f t="shared" si="33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8">
      <c r="A52" s="138" t="s">
        <v>45</v>
      </c>
      <c r="B52" s="102">
        <f>+B49+B40+B31+B22+B13+B3+B46+B43</f>
        <v>2470000</v>
      </c>
      <c r="C52" s="102">
        <f>+C49+C40+C31+C22+C13+C3+C46+C43</f>
        <v>1791672.3</v>
      </c>
      <c r="D52" s="102">
        <f>+D49+D40+D31+D22+D13+D3+D46+D43</f>
        <v>-678327.70000000007</v>
      </c>
      <c r="E52" s="90">
        <f>+E49+E40+E31+E22+E13+E3+E46+E43</f>
        <v>1630</v>
      </c>
      <c r="F52" s="90">
        <f>+F49+F40+F31+F22+F13+F3+F46+F43</f>
        <v>106.31486111111111</v>
      </c>
      <c r="G52" s="38"/>
      <c r="H52" s="196">
        <f t="shared" ref="H52:V52" si="34">+H49+H40+H31+H22+H13+H3+H46+H43</f>
        <v>59973.68</v>
      </c>
      <c r="I52" s="197">
        <f t="shared" si="34"/>
        <v>58</v>
      </c>
      <c r="J52" s="197">
        <f t="shared" si="34"/>
        <v>3.7013888888888884</v>
      </c>
      <c r="K52" s="196">
        <f t="shared" si="34"/>
        <v>370718.06000000006</v>
      </c>
      <c r="L52" s="197">
        <f t="shared" si="34"/>
        <v>323</v>
      </c>
      <c r="M52" s="197">
        <f t="shared" si="34"/>
        <v>21.347222222222221</v>
      </c>
      <c r="N52" s="196">
        <f t="shared" si="34"/>
        <v>429853.36</v>
      </c>
      <c r="O52" s="197">
        <f t="shared" si="34"/>
        <v>383</v>
      </c>
      <c r="P52" s="197">
        <f t="shared" si="34"/>
        <v>25.541666666666668</v>
      </c>
      <c r="Q52" s="196">
        <f t="shared" si="34"/>
        <v>457623.27999999997</v>
      </c>
      <c r="R52" s="197">
        <f t="shared" si="34"/>
        <v>414</v>
      </c>
      <c r="S52" s="197">
        <f t="shared" si="34"/>
        <v>27.545138888888886</v>
      </c>
      <c r="T52" s="196">
        <f t="shared" si="34"/>
        <v>473503.92000000004</v>
      </c>
      <c r="U52" s="197">
        <f t="shared" si="34"/>
        <v>452</v>
      </c>
      <c r="V52" s="197">
        <f t="shared" si="34"/>
        <v>28.179444444444446</v>
      </c>
    </row>
    <row r="54" spans="1:22" ht="18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>
      <c r="A55" s="87" t="s">
        <v>47</v>
      </c>
      <c r="B55" s="105">
        <f>+B56+B66+B75+B84+B93+B102+B96+B99</f>
        <v>1161780</v>
      </c>
      <c r="C55" s="105">
        <f>+C56+C66+C75+C84+C93+C102+C96+C99</f>
        <v>1153807</v>
      </c>
      <c r="D55" s="106">
        <f>+C55-B55</f>
        <v>-7973</v>
      </c>
    </row>
    <row r="56" spans="1:22" outlineLevel="1">
      <c r="A56" s="44" t="s">
        <v>48</v>
      </c>
      <c r="B56" s="107">
        <f>SUM(B57:B65)*1.34</f>
        <v>633820</v>
      </c>
      <c r="C56" s="107">
        <f>SUM(C57:C65)*1.34</f>
        <v>630537</v>
      </c>
      <c r="D56" s="108">
        <f>+C56-B56</f>
        <v>-3283</v>
      </c>
    </row>
    <row r="57" spans="1:22" outlineLevel="2">
      <c r="A57" s="132" t="str">
        <f>+A4</f>
        <v>psych. s. 1 - NÁGLOVÁ</v>
      </c>
      <c r="B57" s="93">
        <v>60000</v>
      </c>
      <c r="C57" s="93">
        <v>60000</v>
      </c>
      <c r="D57" s="109">
        <f t="shared" ref="D57:D131" si="35">+C57-B57</f>
        <v>0</v>
      </c>
      <c r="F57" s="16"/>
      <c r="G57" s="40"/>
    </row>
    <row r="58" spans="1:22" outlineLevel="2">
      <c r="A58" s="132" t="str">
        <f t="shared" ref="A58:A104" si="36">+A5</f>
        <v>psych. s. 2 - HAJASOVÁ</v>
      </c>
      <c r="B58" s="93">
        <v>47000</v>
      </c>
      <c r="C58" s="93">
        <v>49550</v>
      </c>
      <c r="D58" s="109">
        <f t="shared" si="35"/>
        <v>2550</v>
      </c>
      <c r="F58" s="16"/>
      <c r="G58" s="40"/>
    </row>
    <row r="59" spans="1:22" outlineLevel="2">
      <c r="A59" s="132" t="str">
        <f t="shared" si="36"/>
        <v>psych. s. 3 -  KAŠPÁRKOVÁ/Pekárová</v>
      </c>
      <c r="B59" s="93">
        <v>65000</v>
      </c>
      <c r="C59" s="93">
        <v>65000</v>
      </c>
      <c r="D59" s="109">
        <f t="shared" si="35"/>
        <v>0</v>
      </c>
      <c r="F59" s="16"/>
      <c r="G59" s="40"/>
    </row>
    <row r="60" spans="1:22" s="164" customFormat="1" outlineLevel="2">
      <c r="A60" s="134" t="str">
        <f t="shared" si="36"/>
        <v>psych. s. 4 -</v>
      </c>
      <c r="B60" s="155">
        <v>0</v>
      </c>
      <c r="C60" s="155">
        <v>0</v>
      </c>
      <c r="D60" s="156">
        <f t="shared" si="35"/>
        <v>0</v>
      </c>
      <c r="E60" s="157"/>
      <c r="F60" s="157"/>
      <c r="G60" s="158"/>
      <c r="H60" s="159"/>
      <c r="I60" s="160"/>
      <c r="J60" s="160"/>
      <c r="K60" s="159"/>
      <c r="L60" s="161"/>
      <c r="M60" s="162"/>
      <c r="N60" s="159"/>
      <c r="O60" s="161"/>
      <c r="P60" s="163"/>
      <c r="Q60" s="159"/>
      <c r="R60" s="161"/>
      <c r="S60" s="163"/>
      <c r="T60" s="159"/>
      <c r="U60" s="161"/>
      <c r="V60" s="163"/>
    </row>
    <row r="61" spans="1:22" outlineLevel="2">
      <c r="A61" s="132" t="str">
        <f t="shared" si="36"/>
        <v>psychiatr - GÁBEL 0,2</v>
      </c>
      <c r="B61" s="93">
        <v>16000</v>
      </c>
      <c r="C61" s="93">
        <v>16000</v>
      </c>
      <c r="D61" s="109">
        <f t="shared" si="35"/>
        <v>0</v>
      </c>
      <c r="F61" s="16"/>
      <c r="G61" s="40"/>
      <c r="J61" s="82"/>
    </row>
    <row r="62" spans="1:22" outlineLevel="2">
      <c r="A62" s="132" t="str">
        <f t="shared" si="36"/>
        <v>psychiatr - PFEIFFER 0,5</v>
      </c>
      <c r="B62" s="93">
        <v>85000</v>
      </c>
      <c r="C62" s="93">
        <v>85000</v>
      </c>
      <c r="D62" s="109">
        <f t="shared" si="35"/>
        <v>0</v>
      </c>
      <c r="F62" s="16"/>
      <c r="G62" s="40"/>
      <c r="J62" s="82"/>
    </row>
    <row r="63" spans="1:22" s="175" customFormat="1" outlineLevel="2">
      <c r="A63" s="132" t="str">
        <f t="shared" si="36"/>
        <v>psychiatr - Dr. Suchánková 1,0</v>
      </c>
      <c r="B63" s="166">
        <v>160000</v>
      </c>
      <c r="C63" s="166">
        <v>155000</v>
      </c>
      <c r="D63" s="167">
        <f t="shared" si="35"/>
        <v>-5000</v>
      </c>
      <c r="E63" s="168"/>
      <c r="F63" s="168"/>
      <c r="G63" s="169"/>
      <c r="H63" s="170"/>
      <c r="I63" s="171"/>
      <c r="J63" s="171"/>
      <c r="K63" s="170"/>
      <c r="L63" s="172"/>
      <c r="M63" s="173"/>
      <c r="N63" s="170"/>
      <c r="O63" s="172"/>
      <c r="P63" s="174"/>
      <c r="Q63" s="170"/>
      <c r="R63" s="172"/>
      <c r="S63" s="174"/>
      <c r="T63" s="170"/>
      <c r="U63" s="172"/>
      <c r="V63" s="174"/>
    </row>
    <row r="64" spans="1:22" s="175" customFormat="1" outlineLevel="2">
      <c r="A64" s="132" t="str">
        <f t="shared" si="36"/>
        <v>psycholog 1 - Dr. Balko 0,2</v>
      </c>
      <c r="B64" s="166">
        <v>25000</v>
      </c>
      <c r="C64" s="166">
        <v>25000</v>
      </c>
      <c r="D64" s="167">
        <f>+C64-B64</f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>
      <c r="A65" s="132" t="str">
        <f t="shared" si="36"/>
        <v>psycholog 2 - Lichtenbergová</v>
      </c>
      <c r="B65" s="166">
        <v>15000</v>
      </c>
      <c r="C65" s="332">
        <v>15000</v>
      </c>
      <c r="D65" s="333">
        <f t="shared" si="35"/>
        <v>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>
      <c r="A66" s="58" t="s">
        <v>52</v>
      </c>
      <c r="B66" s="111">
        <f>SUM(B67:B74)*1.34</f>
        <v>154100</v>
      </c>
      <c r="C66" s="111">
        <f>SUM(C67:C74)*1.34</f>
        <v>157450</v>
      </c>
      <c r="D66" s="112">
        <f>+C66-B66</f>
        <v>3350</v>
      </c>
      <c r="F66" s="16"/>
      <c r="G66" s="40"/>
      <c r="J66" s="82"/>
    </row>
    <row r="67" spans="1:22" outlineLevel="2">
      <c r="A67" s="132" t="str">
        <f t="shared" si="36"/>
        <v>psych. s 1 - Blažková</v>
      </c>
      <c r="B67" s="93">
        <v>55000</v>
      </c>
      <c r="C67" s="93">
        <v>56500</v>
      </c>
      <c r="D67" s="109">
        <f t="shared" si="35"/>
        <v>1500</v>
      </c>
      <c r="F67" s="16"/>
      <c r="G67" s="40"/>
      <c r="J67" s="82"/>
    </row>
    <row r="68" spans="1:22" s="175" customFormat="1" outlineLevel="2">
      <c r="A68" s="132" t="str">
        <f t="shared" si="36"/>
        <v>psych. s 2 - Pátková od 1.3</v>
      </c>
      <c r="B68" s="166">
        <v>60000</v>
      </c>
      <c r="C68" s="166">
        <v>61000</v>
      </c>
      <c r="D68" s="167">
        <f t="shared" si="35"/>
        <v>1000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64" customFormat="1" outlineLevel="2">
      <c r="A69" s="134" t="str">
        <f t="shared" si="36"/>
        <v>psych. s 3</v>
      </c>
      <c r="B69" s="155">
        <v>0</v>
      </c>
      <c r="C69" s="155">
        <v>0</v>
      </c>
      <c r="D69" s="156">
        <f t="shared" si="35"/>
        <v>0</v>
      </c>
      <c r="E69" s="157"/>
      <c r="F69" s="157"/>
      <c r="G69" s="158"/>
      <c r="H69" s="159"/>
      <c r="I69" s="160"/>
      <c r="J69" s="160"/>
      <c r="K69" s="159"/>
      <c r="L69" s="161"/>
      <c r="M69" s="162"/>
      <c r="N69" s="159"/>
      <c r="O69" s="161"/>
      <c r="P69" s="163"/>
      <c r="Q69" s="159"/>
      <c r="R69" s="161"/>
      <c r="S69" s="163"/>
      <c r="T69" s="159"/>
      <c r="U69" s="161"/>
      <c r="V69" s="163"/>
    </row>
    <row r="70" spans="1:22" s="164" customFormat="1" outlineLevel="2">
      <c r="A70" s="134" t="str">
        <f t="shared" si="36"/>
        <v>psych. s 4</v>
      </c>
      <c r="B70" s="155">
        <v>0</v>
      </c>
      <c r="C70" s="155">
        <v>0</v>
      </c>
      <c r="D70" s="156">
        <f t="shared" si="35"/>
        <v>0</v>
      </c>
      <c r="E70" s="157"/>
      <c r="F70" s="157"/>
      <c r="G70" s="158"/>
      <c r="H70" s="159"/>
      <c r="I70" s="160"/>
      <c r="J70" s="160"/>
      <c r="K70" s="159"/>
      <c r="L70" s="297"/>
      <c r="M70" s="162"/>
      <c r="N70" s="159"/>
      <c r="O70" s="161"/>
      <c r="P70" s="163"/>
      <c r="Q70" s="159"/>
      <c r="R70" s="161"/>
      <c r="S70" s="163"/>
      <c r="T70" s="159"/>
      <c r="U70" s="161"/>
      <c r="V70" s="163"/>
    </row>
    <row r="71" spans="1:22" s="164" customFormat="1" outlineLevel="2">
      <c r="A71" s="134" t="str">
        <f t="shared" si="36"/>
        <v>psychiatr 1 - 0,5 od 1.4</v>
      </c>
      <c r="B71" s="155">
        <v>0</v>
      </c>
      <c r="C71" s="155">
        <v>0</v>
      </c>
      <c r="D71" s="156">
        <f t="shared" si="35"/>
        <v>0</v>
      </c>
      <c r="E71" s="157"/>
      <c r="F71" s="157"/>
      <c r="G71" s="158"/>
      <c r="H71" s="159"/>
      <c r="I71" s="160"/>
      <c r="J71" s="160"/>
      <c r="K71" s="159"/>
      <c r="L71" s="161"/>
      <c r="M71" s="162"/>
      <c r="N71" s="159"/>
      <c r="O71" s="161"/>
      <c r="P71" s="163"/>
      <c r="Q71" s="159"/>
      <c r="R71" s="161"/>
      <c r="S71" s="163"/>
      <c r="T71" s="159"/>
      <c r="U71" s="161"/>
      <c r="V71" s="163"/>
    </row>
    <row r="72" spans="1:22" s="164" customFormat="1" outlineLevel="2">
      <c r="A72" s="134" t="str">
        <f t="shared" si="36"/>
        <v>psychiatr 2</v>
      </c>
      <c r="B72" s="155">
        <v>0</v>
      </c>
      <c r="C72" s="155">
        <v>0</v>
      </c>
      <c r="D72" s="156">
        <f t="shared" si="35"/>
        <v>0</v>
      </c>
      <c r="E72" s="157"/>
      <c r="F72" s="157"/>
      <c r="G72" s="158"/>
      <c r="H72" s="159"/>
      <c r="I72" s="160"/>
      <c r="J72" s="160"/>
      <c r="K72" s="159"/>
      <c r="L72" s="161"/>
      <c r="M72" s="162"/>
      <c r="N72" s="159"/>
      <c r="O72" s="161"/>
      <c r="P72" s="163"/>
      <c r="Q72" s="159"/>
      <c r="R72" s="161"/>
      <c r="S72" s="163"/>
      <c r="T72" s="159"/>
      <c r="U72" s="161"/>
      <c r="V72" s="163"/>
    </row>
    <row r="73" spans="1:22" s="78" customFormat="1" outlineLevel="2">
      <c r="A73" s="134" t="str">
        <f t="shared" si="36"/>
        <v>psycholog 1 - 0,5</v>
      </c>
      <c r="B73" s="95">
        <v>0</v>
      </c>
      <c r="C73" s="95">
        <v>0</v>
      </c>
      <c r="D73" s="110">
        <f t="shared" si="35"/>
        <v>0</v>
      </c>
      <c r="E73" s="79"/>
      <c r="F73" s="79"/>
      <c r="G73" s="80"/>
      <c r="H73" s="81"/>
      <c r="I73" s="82"/>
      <c r="J73" s="82"/>
      <c r="K73" s="81"/>
      <c r="L73" s="84"/>
      <c r="M73" s="85"/>
      <c r="N73" s="81"/>
      <c r="O73" s="84"/>
      <c r="P73" s="86"/>
      <c r="Q73" s="81"/>
      <c r="R73" s="84"/>
      <c r="S73" s="86"/>
      <c r="T73" s="81"/>
      <c r="U73" s="84"/>
      <c r="V73" s="86"/>
    </row>
    <row r="74" spans="1:22" s="78" customFormat="1" outlineLevel="2">
      <c r="A74" s="134" t="str">
        <f t="shared" si="36"/>
        <v>psycholog 2</v>
      </c>
      <c r="B74" s="95">
        <v>0</v>
      </c>
      <c r="C74" s="95">
        <v>0</v>
      </c>
      <c r="D74" s="110">
        <f t="shared" si="35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>
      <c r="A75" s="57" t="s">
        <v>58</v>
      </c>
      <c r="B75" s="113">
        <f>SUM(B76:B83)*1.34</f>
        <v>254600.00000000003</v>
      </c>
      <c r="C75" s="113">
        <f>SUM(C76:C83)*1.34</f>
        <v>251920.00000000003</v>
      </c>
      <c r="D75" s="114">
        <f>+C75-B75</f>
        <v>-2680</v>
      </c>
      <c r="F75" s="16"/>
      <c r="G75" s="40"/>
      <c r="J75" s="82"/>
    </row>
    <row r="76" spans="1:22" outlineLevel="2">
      <c r="A76" s="132" t="str">
        <f t="shared" si="36"/>
        <v>psych. s 1 - ZELENKOVÁ</v>
      </c>
      <c r="B76" s="93">
        <v>75000</v>
      </c>
      <c r="C76" s="93">
        <f>+B76</f>
        <v>75000</v>
      </c>
      <c r="D76" s="109">
        <f t="shared" si="35"/>
        <v>0</v>
      </c>
      <c r="F76" s="16"/>
      <c r="G76" s="40"/>
      <c r="J76" s="83"/>
    </row>
    <row r="77" spans="1:22" s="175" customFormat="1" outlineLevel="2">
      <c r="A77" s="132" t="str">
        <f t="shared" si="36"/>
        <v>psych. s 2 - Vondráčková</v>
      </c>
      <c r="B77" s="166">
        <v>60000</v>
      </c>
      <c r="C77" s="166">
        <v>58000</v>
      </c>
      <c r="D77" s="167">
        <f t="shared" si="35"/>
        <v>-2000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>
      <c r="A78" s="132" t="str">
        <f t="shared" si="36"/>
        <v>psych. s 3 - Nováková</v>
      </c>
      <c r="B78" s="166">
        <v>55000</v>
      </c>
      <c r="C78" s="166">
        <v>55000</v>
      </c>
      <c r="D78" s="167">
        <f t="shared" si="35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64" customFormat="1" outlineLevel="2">
      <c r="A79" s="134" t="str">
        <f t="shared" si="36"/>
        <v>všeob. s 4 - Dušková</v>
      </c>
      <c r="B79" s="155">
        <v>0</v>
      </c>
      <c r="C79" s="155">
        <v>0</v>
      </c>
      <c r="D79" s="156">
        <f t="shared" si="35"/>
        <v>0</v>
      </c>
      <c r="E79" s="157"/>
      <c r="F79" s="157"/>
      <c r="G79" s="158"/>
      <c r="H79" s="159"/>
      <c r="I79" s="160"/>
      <c r="J79" s="296"/>
      <c r="K79" s="159"/>
      <c r="L79" s="161"/>
      <c r="M79" s="162"/>
      <c r="N79" s="159"/>
      <c r="O79" s="161"/>
      <c r="P79" s="163"/>
      <c r="Q79" s="159"/>
      <c r="R79" s="161"/>
      <c r="S79" s="163"/>
      <c r="T79" s="159"/>
      <c r="U79" s="161"/>
      <c r="V79" s="163"/>
    </row>
    <row r="80" spans="1:22" s="164" customFormat="1" outlineLevel="2">
      <c r="A80" s="134" t="str">
        <f t="shared" si="36"/>
        <v>psychiatr 1 - 0,5 od 1.4</v>
      </c>
      <c r="B80" s="155">
        <v>0</v>
      </c>
      <c r="C80" s="155">
        <v>0</v>
      </c>
      <c r="D80" s="156">
        <f t="shared" si="35"/>
        <v>0</v>
      </c>
      <c r="E80" s="157"/>
      <c r="F80" s="157"/>
      <c r="G80" s="158"/>
      <c r="H80" s="159"/>
      <c r="I80" s="160"/>
      <c r="J80" s="296"/>
      <c r="K80" s="159"/>
      <c r="L80" s="161"/>
      <c r="M80" s="162"/>
      <c r="N80" s="159"/>
      <c r="O80" s="161"/>
      <c r="P80" s="163"/>
      <c r="Q80" s="159"/>
      <c r="R80" s="161"/>
      <c r="S80" s="163"/>
      <c r="T80" s="159"/>
      <c r="U80" s="161"/>
      <c r="V80" s="163"/>
    </row>
    <row r="81" spans="1:22" s="78" customFormat="1" outlineLevel="2">
      <c r="A81" s="134" t="str">
        <f t="shared" si="36"/>
        <v>psychiatr 2</v>
      </c>
      <c r="B81" s="95">
        <v>0</v>
      </c>
      <c r="C81" s="95">
        <v>0</v>
      </c>
      <c r="D81" s="110">
        <f t="shared" si="35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78" customFormat="1" outlineLevel="2">
      <c r="A82" s="134" t="str">
        <f t="shared" si="36"/>
        <v>psycholog 1 - 0,5</v>
      </c>
      <c r="B82" s="95">
        <v>0</v>
      </c>
      <c r="C82" s="95">
        <v>0</v>
      </c>
      <c r="D82" s="110">
        <f t="shared" si="35"/>
        <v>0</v>
      </c>
      <c r="E82" s="79"/>
      <c r="F82" s="79"/>
      <c r="G82" s="80"/>
      <c r="H82" s="81"/>
      <c r="I82" s="82"/>
      <c r="J82" s="83"/>
      <c r="K82" s="81"/>
      <c r="L82" s="84"/>
      <c r="M82" s="85"/>
      <c r="N82" s="81"/>
      <c r="O82" s="84"/>
      <c r="P82" s="86"/>
      <c r="Q82" s="81"/>
      <c r="R82" s="84"/>
      <c r="S82" s="86"/>
      <c r="T82" s="81"/>
      <c r="U82" s="84"/>
      <c r="V82" s="86"/>
    </row>
    <row r="83" spans="1:22" s="78" customFormat="1" outlineLevel="2">
      <c r="A83" s="134" t="str">
        <f t="shared" si="36"/>
        <v>psycholog 2</v>
      </c>
      <c r="B83" s="95">
        <v>0</v>
      </c>
      <c r="C83" s="95">
        <v>0</v>
      </c>
      <c r="D83" s="110">
        <f t="shared" si="35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>
      <c r="A84" s="50" t="s">
        <v>60</v>
      </c>
      <c r="B84" s="115">
        <f>SUM(B85:B92)*1.34</f>
        <v>80400</v>
      </c>
      <c r="C84" s="115">
        <f>SUM(C85:C92)*1.34</f>
        <v>93800</v>
      </c>
      <c r="D84" s="116">
        <f>+C84-B84</f>
        <v>13400</v>
      </c>
      <c r="F84" s="16"/>
      <c r="G84" s="40"/>
    </row>
    <row r="85" spans="1:22" s="175" customFormat="1" outlineLevel="2">
      <c r="A85" s="132" t="str">
        <f t="shared" si="36"/>
        <v>psych. s 1 - Štréblová 0,2 od 1.3 od 5 celý</v>
      </c>
      <c r="B85" s="166">
        <v>60000</v>
      </c>
      <c r="C85" s="166">
        <v>70000</v>
      </c>
      <c r="D85" s="167">
        <f t="shared" si="35"/>
        <v>10000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78" customFormat="1" outlineLevel="2">
      <c r="A86" s="134" t="str">
        <f t="shared" si="36"/>
        <v>psych. s 2</v>
      </c>
      <c r="B86" s="95">
        <v>0</v>
      </c>
      <c r="C86" s="95">
        <v>0</v>
      </c>
      <c r="D86" s="110">
        <f t="shared" si="35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>
      <c r="A87" s="134" t="str">
        <f t="shared" si="36"/>
        <v>psych. s 3</v>
      </c>
      <c r="B87" s="95">
        <v>0</v>
      </c>
      <c r="C87" s="95">
        <v>0</v>
      </c>
      <c r="D87" s="110">
        <f t="shared" si="35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>
      <c r="A88" s="134" t="str">
        <f t="shared" si="36"/>
        <v>psych. s 4</v>
      </c>
      <c r="B88" s="95">
        <v>0</v>
      </c>
      <c r="C88" s="95">
        <v>0</v>
      </c>
      <c r="D88" s="110">
        <f t="shared" si="35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>
      <c r="A89" s="134" t="str">
        <f t="shared" si="36"/>
        <v xml:space="preserve">psychiatr 1 - 0,5 </v>
      </c>
      <c r="B89" s="95">
        <v>0</v>
      </c>
      <c r="C89" s="95">
        <v>0</v>
      </c>
      <c r="D89" s="110">
        <f t="shared" si="35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>
      <c r="A90" s="134" t="str">
        <f t="shared" si="36"/>
        <v>psychiatr 2</v>
      </c>
      <c r="B90" s="95">
        <v>0</v>
      </c>
      <c r="C90" s="95">
        <v>0</v>
      </c>
      <c r="D90" s="110">
        <f t="shared" si="35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78" customFormat="1" outlineLevel="2">
      <c r="A91" s="134" t="str">
        <f t="shared" si="36"/>
        <v>psycholog 1 - 0,5</v>
      </c>
      <c r="B91" s="95">
        <v>0</v>
      </c>
      <c r="C91" s="95">
        <v>0</v>
      </c>
      <c r="D91" s="110">
        <f t="shared" si="35"/>
        <v>0</v>
      </c>
      <c r="E91" s="79"/>
      <c r="F91" s="79"/>
      <c r="G91" s="80"/>
      <c r="H91" s="81"/>
      <c r="I91" s="82"/>
      <c r="J91" s="83"/>
      <c r="K91" s="81"/>
      <c r="L91" s="84"/>
      <c r="M91" s="85"/>
      <c r="N91" s="81"/>
      <c r="O91" s="84"/>
      <c r="P91" s="86"/>
      <c r="Q91" s="81"/>
      <c r="R91" s="84"/>
      <c r="S91" s="86"/>
      <c r="T91" s="81"/>
      <c r="U91" s="84"/>
      <c r="V91" s="86"/>
    </row>
    <row r="92" spans="1:22" s="78" customFormat="1" outlineLevel="2">
      <c r="A92" s="134" t="str">
        <f t="shared" si="36"/>
        <v>psycholog 2</v>
      </c>
      <c r="B92" s="95">
        <v>0</v>
      </c>
      <c r="C92" s="95">
        <v>0</v>
      </c>
      <c r="D92" s="110">
        <f t="shared" si="35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35"/>
        <v>0</v>
      </c>
      <c r="F93" s="16"/>
      <c r="G93" s="40"/>
    </row>
    <row r="94" spans="1:22" s="164" customFormat="1" outlineLevel="2">
      <c r="A94" s="134" t="str">
        <f t="shared" si="36"/>
        <v xml:space="preserve">psych. s 1 </v>
      </c>
      <c r="B94" s="155">
        <v>0</v>
      </c>
      <c r="C94" s="155">
        <v>0</v>
      </c>
      <c r="D94" s="156">
        <f t="shared" si="35"/>
        <v>0</v>
      </c>
      <c r="E94" s="157"/>
      <c r="F94" s="157"/>
      <c r="G94" s="158"/>
      <c r="H94" s="159"/>
      <c r="I94" s="160"/>
      <c r="J94" s="296"/>
      <c r="K94" s="159"/>
      <c r="L94" s="161"/>
      <c r="M94" s="162"/>
      <c r="N94" s="159"/>
      <c r="O94" s="161"/>
      <c r="P94" s="163"/>
      <c r="Q94" s="159"/>
      <c r="R94" s="161"/>
      <c r="S94" s="163"/>
      <c r="T94" s="159"/>
      <c r="U94" s="161"/>
      <c r="V94" s="163"/>
    </row>
    <row r="95" spans="1:22" s="78" customFormat="1" outlineLevel="2">
      <c r="A95" s="134" t="str">
        <f t="shared" si="36"/>
        <v>psych. s 2</v>
      </c>
      <c r="B95" s="95">
        <v>0</v>
      </c>
      <c r="C95" s="95">
        <v>0</v>
      </c>
      <c r="D95" s="110">
        <f t="shared" si="35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>
      <c r="A96" s="136" t="s">
        <v>63</v>
      </c>
      <c r="B96" s="120">
        <f>SUM(B97:B98)*1.34</f>
        <v>20100</v>
      </c>
      <c r="C96" s="120">
        <f>SUM(C97:C98)*1.34</f>
        <v>20100</v>
      </c>
      <c r="D96" s="121">
        <f t="shared" si="35"/>
        <v>0</v>
      </c>
      <c r="F96" s="16"/>
      <c r="G96" s="40"/>
    </row>
    <row r="97" spans="1:22" outlineLevel="2">
      <c r="A97" s="132" t="str">
        <f t="shared" si="36"/>
        <v>psych. s 1 Prajzová 0,5</v>
      </c>
      <c r="B97" s="93">
        <v>15000</v>
      </c>
      <c r="C97" s="93">
        <f>+B97</f>
        <v>15000</v>
      </c>
      <c r="D97" s="119">
        <f t="shared" si="35"/>
        <v>0</v>
      </c>
      <c r="F97" s="16"/>
      <c r="G97" s="40"/>
    </row>
    <row r="98" spans="1:22" s="78" customFormat="1" outlineLevel="2">
      <c r="A98" s="134" t="str">
        <f t="shared" si="36"/>
        <v>psych. s 2</v>
      </c>
      <c r="B98" s="95">
        <v>0</v>
      </c>
      <c r="C98" s="95">
        <v>0</v>
      </c>
      <c r="D98" s="110">
        <f t="shared" si="35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5"/>
        <v>0</v>
      </c>
      <c r="F99" s="16"/>
      <c r="G99" s="40"/>
    </row>
    <row r="100" spans="1:22" s="78" customFormat="1" outlineLevel="2">
      <c r="A100" s="134" t="str">
        <f t="shared" si="36"/>
        <v xml:space="preserve">psych. s 1 </v>
      </c>
      <c r="B100" s="95">
        <v>0</v>
      </c>
      <c r="C100" s="95">
        <v>0</v>
      </c>
      <c r="D100" s="110">
        <f t="shared" si="35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>
      <c r="A101" s="134" t="str">
        <f t="shared" si="36"/>
        <v>psych. s 2</v>
      </c>
      <c r="B101" s="95">
        <v>0</v>
      </c>
      <c r="C101" s="95">
        <v>0</v>
      </c>
      <c r="D101" s="110">
        <f t="shared" si="35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35"/>
        <v>-18760</v>
      </c>
      <c r="F102" s="16"/>
      <c r="G102" s="40"/>
    </row>
    <row r="103" spans="1:22" s="78" customFormat="1" outlineLevel="2">
      <c r="A103" s="133" t="str">
        <f t="shared" si="36"/>
        <v>psych. s 1  Skokanová</v>
      </c>
      <c r="B103" s="332">
        <v>14000</v>
      </c>
      <c r="C103" s="332">
        <v>0</v>
      </c>
      <c r="D103" s="333">
        <f t="shared" si="35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>
      <c r="A104" s="134" t="str">
        <f t="shared" si="36"/>
        <v>psych. s 2</v>
      </c>
      <c r="B104" s="95">
        <v>0</v>
      </c>
      <c r="C104" s="95">
        <v>0</v>
      </c>
      <c r="D104" s="110">
        <f t="shared" si="35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>
      <c r="A105" s="89" t="s">
        <v>66</v>
      </c>
      <c r="B105" s="122">
        <f>SUM(B106:B113)</f>
        <v>370500</v>
      </c>
      <c r="C105" s="122">
        <f>SUM(C106:C113)</f>
        <v>268750.84499999997</v>
      </c>
      <c r="D105" s="123">
        <f>+C105-B105</f>
        <v>-101749.15500000003</v>
      </c>
    </row>
    <row r="106" spans="1:22" outlineLevel="1">
      <c r="A106" s="44" t="s">
        <v>67</v>
      </c>
      <c r="B106" s="141">
        <f>+B3*0.15</f>
        <v>204750</v>
      </c>
      <c r="C106" s="141">
        <f>+C3*0.15</f>
        <v>162930.68999999997</v>
      </c>
      <c r="D106" s="142">
        <f t="shared" si="35"/>
        <v>-41819.310000000027</v>
      </c>
    </row>
    <row r="107" spans="1:22" outlineLevel="1">
      <c r="A107" s="58" t="s">
        <v>68</v>
      </c>
      <c r="B107" s="141">
        <f>+B13*0.15</f>
        <v>51000</v>
      </c>
      <c r="C107" s="141">
        <f>+C13*0.15</f>
        <v>31582.803</v>
      </c>
      <c r="D107" s="142">
        <f t="shared" si="35"/>
        <v>-19417.197</v>
      </c>
    </row>
    <row r="108" spans="1:22" outlineLevel="1">
      <c r="A108" s="57" t="s">
        <v>69</v>
      </c>
      <c r="B108" s="141">
        <f>+B22*0.15</f>
        <v>76500</v>
      </c>
      <c r="C108" s="141">
        <f>+C22*0.15</f>
        <v>44856.755999999994</v>
      </c>
      <c r="D108" s="142">
        <f t="shared" si="35"/>
        <v>-31643.244000000006</v>
      </c>
    </row>
    <row r="109" spans="1:22" outlineLevel="1">
      <c r="A109" s="50" t="s">
        <v>70</v>
      </c>
      <c r="B109" s="141">
        <f>+B31*0.15</f>
        <v>25500</v>
      </c>
      <c r="C109" s="141">
        <f>+C31*0.15</f>
        <v>15899.52</v>
      </c>
      <c r="D109" s="142">
        <f t="shared" si="35"/>
        <v>-9600.48</v>
      </c>
    </row>
    <row r="110" spans="1:22" outlineLevel="1">
      <c r="A110" s="67" t="s">
        <v>71</v>
      </c>
      <c r="B110" s="141">
        <f>+B40*0.15</f>
        <v>0</v>
      </c>
      <c r="C110" s="141">
        <f>+C40*0.15</f>
        <v>0</v>
      </c>
      <c r="D110" s="142">
        <f t="shared" si="35"/>
        <v>0</v>
      </c>
    </row>
    <row r="111" spans="1:22" outlineLevel="1">
      <c r="A111" s="47" t="s">
        <v>72</v>
      </c>
      <c r="B111" s="141">
        <f>+B43*0.15</f>
        <v>12750</v>
      </c>
      <c r="C111" s="141">
        <f>+C43*0.15</f>
        <v>13481.076000000001</v>
      </c>
      <c r="D111" s="142">
        <f t="shared" si="35"/>
        <v>731.07600000000093</v>
      </c>
    </row>
    <row r="112" spans="1:22" outlineLevel="1">
      <c r="A112" s="198" t="s">
        <v>73</v>
      </c>
      <c r="B112" s="141">
        <f>+B46*0.15</f>
        <v>0</v>
      </c>
      <c r="C112" s="141">
        <f>+C46*0.15</f>
        <v>0</v>
      </c>
      <c r="D112" s="142">
        <f t="shared" si="35"/>
        <v>0</v>
      </c>
    </row>
    <row r="113" spans="1:4" outlineLevel="1">
      <c r="A113" s="198" t="s">
        <v>74</v>
      </c>
      <c r="B113" s="141">
        <f>+B49*0.15</f>
        <v>0</v>
      </c>
      <c r="C113" s="141">
        <f>+C49*0.15</f>
        <v>0</v>
      </c>
      <c r="D113" s="142">
        <f t="shared" si="35"/>
        <v>0</v>
      </c>
    </row>
    <row r="114" spans="1:4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>
      <c r="A115" s="44" t="s">
        <v>76</v>
      </c>
      <c r="B115" s="111">
        <v>30000</v>
      </c>
      <c r="C115" s="111">
        <f>+B115</f>
        <v>30000</v>
      </c>
      <c r="D115" s="112">
        <f t="shared" si="35"/>
        <v>0</v>
      </c>
    </row>
    <row r="116" spans="1:4" outlineLevel="1">
      <c r="A116" s="58" t="s">
        <v>77</v>
      </c>
      <c r="B116" s="111">
        <v>20000</v>
      </c>
      <c r="C116" s="111">
        <f>+B116</f>
        <v>20000</v>
      </c>
      <c r="D116" s="112">
        <f t="shared" si="35"/>
        <v>0</v>
      </c>
    </row>
    <row r="117" spans="1:4" outlineLevel="1">
      <c r="A117" s="57" t="s">
        <v>78</v>
      </c>
      <c r="B117" s="111">
        <v>20000</v>
      </c>
      <c r="C117" s="111">
        <f>+B117</f>
        <v>20000</v>
      </c>
      <c r="D117" s="111">
        <f t="shared" si="35"/>
        <v>0</v>
      </c>
    </row>
    <row r="118" spans="1:4" outlineLevel="1">
      <c r="A118" s="50" t="s">
        <v>79</v>
      </c>
      <c r="B118" s="111">
        <v>0</v>
      </c>
      <c r="C118" s="111">
        <f t="shared" ref="C118:C122" si="37">+B118</f>
        <v>0</v>
      </c>
      <c r="D118" s="111">
        <f t="shared" si="35"/>
        <v>0</v>
      </c>
    </row>
    <row r="119" spans="1:4" outlineLevel="1">
      <c r="A119" s="67" t="s">
        <v>80</v>
      </c>
      <c r="B119" s="111">
        <v>0</v>
      </c>
      <c r="C119" s="111">
        <f t="shared" si="37"/>
        <v>0</v>
      </c>
      <c r="D119" s="111">
        <f t="shared" si="35"/>
        <v>0</v>
      </c>
    </row>
    <row r="120" spans="1:4" outlineLevel="1">
      <c r="A120" s="47" t="s">
        <v>81</v>
      </c>
      <c r="B120" s="111">
        <v>0</v>
      </c>
      <c r="C120" s="111">
        <f t="shared" si="37"/>
        <v>0</v>
      </c>
      <c r="D120" s="111">
        <f t="shared" si="35"/>
        <v>0</v>
      </c>
    </row>
    <row r="121" spans="1:4" outlineLevel="1">
      <c r="A121" s="198" t="s">
        <v>82</v>
      </c>
      <c r="B121" s="111">
        <v>0</v>
      </c>
      <c r="C121" s="111">
        <f t="shared" si="37"/>
        <v>0</v>
      </c>
      <c r="D121" s="111">
        <f t="shared" si="35"/>
        <v>0</v>
      </c>
    </row>
    <row r="122" spans="1:4" outlineLevel="1">
      <c r="A122" s="198" t="s">
        <v>83</v>
      </c>
      <c r="B122" s="111">
        <v>0</v>
      </c>
      <c r="C122" s="111">
        <f t="shared" si="37"/>
        <v>0</v>
      </c>
      <c r="D122" s="111">
        <f t="shared" si="35"/>
        <v>0</v>
      </c>
    </row>
    <row r="123" spans="1:4">
      <c r="A123" s="150" t="s">
        <v>84</v>
      </c>
      <c r="B123" s="151">
        <f>SUM(B124:B131)</f>
        <v>247000</v>
      </c>
      <c r="C123" s="151">
        <f t="shared" ref="C123" si="38">SUM(C124:C131)</f>
        <v>179167.22999999998</v>
      </c>
      <c r="D123" s="151">
        <f>+C123-B123</f>
        <v>-67832.770000000019</v>
      </c>
    </row>
    <row r="124" spans="1:4" outlineLevel="1">
      <c r="A124" s="44" t="s">
        <v>85</v>
      </c>
      <c r="B124" s="152">
        <f>+B3/10</f>
        <v>136500</v>
      </c>
      <c r="C124" s="152">
        <f>+C3/10</f>
        <v>108620.45999999999</v>
      </c>
      <c r="D124" s="153">
        <f t="shared" si="35"/>
        <v>-27879.540000000008</v>
      </c>
    </row>
    <row r="125" spans="1:4" outlineLevel="1">
      <c r="A125" s="58" t="s">
        <v>86</v>
      </c>
      <c r="B125" s="152">
        <f>+B13/10</f>
        <v>34000</v>
      </c>
      <c r="C125" s="152">
        <f>+C13/10</f>
        <v>21055.202000000001</v>
      </c>
      <c r="D125" s="153">
        <f t="shared" si="35"/>
        <v>-12944.797999999999</v>
      </c>
    </row>
    <row r="126" spans="1:4" outlineLevel="1">
      <c r="A126" s="57" t="s">
        <v>87</v>
      </c>
      <c r="B126" s="152">
        <f>+B22/10</f>
        <v>51000</v>
      </c>
      <c r="C126" s="152">
        <f>+C22/10</f>
        <v>29904.503999999997</v>
      </c>
      <c r="D126" s="152">
        <f t="shared" si="35"/>
        <v>-21095.496000000003</v>
      </c>
    </row>
    <row r="127" spans="1:4" outlineLevel="1">
      <c r="A127" s="50" t="s">
        <v>88</v>
      </c>
      <c r="B127" s="152">
        <f>+B31/10</f>
        <v>17000</v>
      </c>
      <c r="C127" s="152">
        <f>+C31/10</f>
        <v>10599.68</v>
      </c>
      <c r="D127" s="152">
        <f t="shared" si="35"/>
        <v>-6400.32</v>
      </c>
    </row>
    <row r="128" spans="1:4" outlineLevel="1">
      <c r="A128" s="67" t="s">
        <v>89</v>
      </c>
      <c r="B128" s="152">
        <f>+B40/10</f>
        <v>0</v>
      </c>
      <c r="C128" s="152">
        <f>+C40/10</f>
        <v>0</v>
      </c>
      <c r="D128" s="152">
        <f t="shared" si="35"/>
        <v>0</v>
      </c>
    </row>
    <row r="129" spans="1:7" outlineLevel="1">
      <c r="A129" s="47" t="s">
        <v>90</v>
      </c>
      <c r="B129" s="152">
        <f>+B43/10</f>
        <v>8500</v>
      </c>
      <c r="C129" s="152">
        <f>+C43/10</f>
        <v>8987.3840000000018</v>
      </c>
      <c r="D129" s="152">
        <f t="shared" si="35"/>
        <v>487.38400000000183</v>
      </c>
    </row>
    <row r="130" spans="1:7" outlineLevel="1">
      <c r="A130" s="198" t="s">
        <v>91</v>
      </c>
      <c r="B130" s="152">
        <f>+B46/10</f>
        <v>0</v>
      </c>
      <c r="C130" s="152">
        <f>+C46/10</f>
        <v>0</v>
      </c>
      <c r="D130" s="152">
        <f t="shared" si="35"/>
        <v>0</v>
      </c>
    </row>
    <row r="131" spans="1:7" outlineLevel="1">
      <c r="A131" s="198" t="s">
        <v>92</v>
      </c>
      <c r="B131" s="152">
        <f>+B49/10</f>
        <v>0</v>
      </c>
      <c r="C131" s="152">
        <f>+C49/10</f>
        <v>0</v>
      </c>
      <c r="D131" s="152">
        <f t="shared" si="35"/>
        <v>0</v>
      </c>
    </row>
    <row r="132" spans="1:7" ht="18">
      <c r="A132" s="139" t="s">
        <v>93</v>
      </c>
      <c r="B132" s="126">
        <f t="shared" ref="B132:D133" si="39">+B114+B105+B55+B123</f>
        <v>1849280</v>
      </c>
      <c r="C132" s="126">
        <f t="shared" si="39"/>
        <v>1671725.075</v>
      </c>
      <c r="D132" s="126">
        <f t="shared" si="39"/>
        <v>-177554.92500000005</v>
      </c>
      <c r="E132" s="15"/>
      <c r="F132" s="10"/>
      <c r="G132" s="41"/>
    </row>
    <row r="133" spans="1:7" outlineLevel="1">
      <c r="A133" s="44" t="s">
        <v>94</v>
      </c>
      <c r="B133" s="140">
        <f t="shared" si="39"/>
        <v>1005070</v>
      </c>
      <c r="C133" s="140">
        <f t="shared" si="39"/>
        <v>932088.14999999991</v>
      </c>
      <c r="D133" s="140">
        <f t="shared" si="39"/>
        <v>-72981.850000000035</v>
      </c>
      <c r="E133" s="15"/>
      <c r="F133" s="10"/>
      <c r="G133" s="41"/>
    </row>
    <row r="134" spans="1:7" outlineLevel="1">
      <c r="A134" s="58" t="s">
        <v>95</v>
      </c>
      <c r="B134" s="140">
        <f>+B116+B107+B66+B125</f>
        <v>259100</v>
      </c>
      <c r="C134" s="140">
        <f>+C116+C107+C66+C125</f>
        <v>230088.005</v>
      </c>
      <c r="D134" s="140">
        <f>+D116+D107+D66+D125</f>
        <v>-29011.994999999999</v>
      </c>
      <c r="E134" s="15"/>
      <c r="F134" s="10"/>
      <c r="G134" s="41"/>
    </row>
    <row r="135" spans="1:7" outlineLevel="1">
      <c r="A135" s="57" t="s">
        <v>96</v>
      </c>
      <c r="B135" s="140">
        <f>+B117+B108+B75+B126</f>
        <v>402100</v>
      </c>
      <c r="C135" s="140">
        <f>+C117+C108+C75+C126</f>
        <v>346681.26000000007</v>
      </c>
      <c r="D135" s="140">
        <f>+D117+D108+D75+D126</f>
        <v>-55418.740000000005</v>
      </c>
      <c r="E135" s="15"/>
      <c r="F135" s="10"/>
      <c r="G135" s="41"/>
    </row>
    <row r="136" spans="1:7" outlineLevel="1">
      <c r="A136" s="50" t="s">
        <v>97</v>
      </c>
      <c r="B136" s="140">
        <f>+B118+B109+B84+B127</f>
        <v>122900</v>
      </c>
      <c r="C136" s="140">
        <f>+C118+C109+C84+C127</f>
        <v>120299.20000000001</v>
      </c>
      <c r="D136" s="140">
        <f>+D118+D109+D84+D127</f>
        <v>-2600.7999999999993</v>
      </c>
      <c r="E136" s="15"/>
      <c r="F136" s="10"/>
      <c r="G136" s="41"/>
    </row>
    <row r="137" spans="1:7" outlineLevel="1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>
      <c r="A138" s="47" t="s">
        <v>99</v>
      </c>
      <c r="B138" s="140">
        <f>+B129+B120+B111+B96</f>
        <v>41350</v>
      </c>
      <c r="C138" s="140">
        <f>+C129+C120+C111+C96</f>
        <v>42568.460000000006</v>
      </c>
      <c r="D138" s="140">
        <f>+D121+D112+D101+D130</f>
        <v>0</v>
      </c>
      <c r="E138" s="15"/>
      <c r="F138" s="10"/>
      <c r="G138" s="41"/>
    </row>
    <row r="139" spans="1:7" outlineLevel="1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>
      <c r="A141" s="7"/>
      <c r="B141" s="127"/>
      <c r="C141" s="127"/>
      <c r="D141" s="128"/>
      <c r="E141" s="15"/>
      <c r="F141" s="10"/>
      <c r="G141" s="41"/>
    </row>
    <row r="142" spans="1:7" ht="15.75">
      <c r="A142" s="177" t="s">
        <v>102</v>
      </c>
      <c r="B142" s="129">
        <f>+B52-B132</f>
        <v>620720</v>
      </c>
      <c r="C142" s="129">
        <f>+C52-C132</f>
        <v>119947.22500000009</v>
      </c>
      <c r="D142" s="129">
        <f>+D52-D132</f>
        <v>-500772.77500000002</v>
      </c>
      <c r="E142" s="19"/>
      <c r="F142" s="20"/>
      <c r="G142" s="42"/>
    </row>
    <row r="143" spans="1:7">
      <c r="A143" s="44" t="s">
        <v>103</v>
      </c>
      <c r="B143" s="178">
        <f>+B3-B133</f>
        <v>359930</v>
      </c>
      <c r="C143" s="178">
        <f>+C3-C133</f>
        <v>154116.44999999995</v>
      </c>
      <c r="D143" s="178">
        <f>+D3-D133</f>
        <v>-205813.55</v>
      </c>
      <c r="E143" s="19"/>
      <c r="F143" s="20"/>
      <c r="G143" s="42"/>
    </row>
    <row r="144" spans="1:7">
      <c r="A144" s="58" t="s">
        <v>104</v>
      </c>
      <c r="B144" s="178">
        <f>+B13-B134</f>
        <v>80900</v>
      </c>
      <c r="C144" s="178">
        <f>+C13-C134</f>
        <v>-19535.984999999986</v>
      </c>
      <c r="D144" s="178">
        <f>+D13-D134</f>
        <v>-100435.985</v>
      </c>
      <c r="E144" s="19"/>
      <c r="F144" s="20"/>
      <c r="G144" s="42"/>
    </row>
    <row r="145" spans="1:7">
      <c r="A145" s="57" t="s">
        <v>105</v>
      </c>
      <c r="B145" s="178">
        <f>+B22-B135</f>
        <v>107900</v>
      </c>
      <c r="C145" s="178">
        <f>+C22-C135</f>
        <v>-47636.220000000088</v>
      </c>
      <c r="D145" s="178">
        <f>+D22-D135</f>
        <v>-155536.22000000003</v>
      </c>
      <c r="E145" s="19"/>
      <c r="F145" s="20"/>
      <c r="G145" s="42"/>
    </row>
    <row r="146" spans="1:7">
      <c r="A146" s="50" t="s">
        <v>106</v>
      </c>
      <c r="B146" s="178">
        <f>+B31-B136</f>
        <v>47100</v>
      </c>
      <c r="C146" s="178">
        <f>+C31-C136</f>
        <v>-14302.400000000009</v>
      </c>
      <c r="D146" s="178">
        <f>+D31-D136</f>
        <v>-61402.399999999994</v>
      </c>
      <c r="E146" s="19"/>
      <c r="F146" s="20"/>
      <c r="G146" s="42"/>
    </row>
    <row r="147" spans="1:7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>
      <c r="A148" s="62" t="s">
        <v>108</v>
      </c>
      <c r="B148" s="178">
        <f>+B43-B138</f>
        <v>43650</v>
      </c>
      <c r="C148" s="178">
        <f>+C43-C138</f>
        <v>47305.380000000005</v>
      </c>
      <c r="D148" s="178">
        <f>+D48-D139</f>
        <v>0</v>
      </c>
      <c r="E148" s="19"/>
      <c r="F148" s="20"/>
      <c r="G148" s="42"/>
    </row>
    <row r="149" spans="1:7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>
      <c r="D151" s="131"/>
      <c r="E151" s="21"/>
      <c r="F151" s="22"/>
      <c r="G151" s="43"/>
    </row>
    <row r="152" spans="1:7">
      <c r="A152" s="179" t="s">
        <v>111</v>
      </c>
      <c r="B152" s="180">
        <f>+B52/B132-1</f>
        <v>0.33565495760512198</v>
      </c>
      <c r="C152" s="180">
        <f>+C52/C132-1</f>
        <v>7.1750568794931802E-2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23" priority="1" operator="lessThan">
      <formula>0</formula>
    </cfRule>
    <cfRule type="cellIs" dxfId="22" priority="2" operator="greaterThan">
      <formula>0</formula>
    </cfRule>
  </conditionalFormatting>
  <conditionalFormatting sqref="D4:D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{6B4B3F40-5EBE-4E3F-81F1-84F4EC5969AF}</x14:id>
        </ext>
      </extLst>
    </cfRule>
  </conditionalFormatting>
  <conditionalFormatting sqref="D14:D2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{4B10A27D-58FF-41F0-B58F-A1148A4AB032}</x14:id>
        </ext>
      </extLst>
    </cfRule>
  </conditionalFormatting>
  <conditionalFormatting sqref="D23:D3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{7F80D861-B97E-4D08-A12D-F0C875C1F406}</x14:id>
        </ext>
      </extLst>
    </cfRule>
  </conditionalFormatting>
  <conditionalFormatting sqref="D32:D3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{D5CC7926-A8F0-46B2-A9ED-CBC1E8A0F071}</x14:id>
        </ext>
      </extLst>
    </cfRule>
  </conditionalFormatting>
  <conditionalFormatting sqref="D36:D3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{0863D883-9243-49D3-9BEC-FA91CD8F3633}</x14:id>
        </ext>
      </extLst>
    </cfRule>
  </conditionalFormatting>
  <conditionalFormatting sqref="D41:D4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{C4785D17-457F-4101-8656-38E1BA26393D}</x14:id>
        </ext>
      </extLst>
    </cfRule>
  </conditionalFormatting>
  <conditionalFormatting sqref="D44:D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{DAF021E2-3F2A-4375-B03C-48D2BD134B11}</x14:id>
        </ext>
      </extLst>
    </cfRule>
  </conditionalFormatting>
  <conditionalFormatting sqref="D47:D4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{E3F90849-4778-4502-8212-1607E57E795D}</x14:id>
        </ext>
      </extLst>
    </cfRule>
  </conditionalFormatting>
  <conditionalFormatting sqref="D50:D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{E355B502-57DC-4714-8E85-78A9B53538D8}</x14:id>
        </ext>
      </extLst>
    </cfRule>
  </conditionalFormatting>
  <pageMargins left="0.7" right="0.7" top="0.78740157499999996" bottom="0.78740157499999996" header="0.3" footer="0.3"/>
  <pageSetup paperSize="8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4B3F40-5EBE-4E3F-81F1-84F4EC596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4B10A27D-58FF-41F0-B58F-A1148A4AB0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7F80D861-B97E-4D08-A12D-F0C875C1F4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D5CC7926-A8F0-46B2-A9ED-CBC1E8A0F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0863D883-9243-49D3-9BEC-FA91CD8F3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C4785D17-457F-4101-8656-38E1BA2639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DAF021E2-3F2A-4375-B03C-48D2BD134B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E3F90849-4778-4502-8212-1607E57E7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E355B502-57DC-4714-8E85-78A9B53538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52"/>
  <sheetViews>
    <sheetView zoomScale="90" zoomScaleNormal="90" workbookViewId="0">
      <pane ySplit="2" topLeftCell="A86" activePane="bottomLeft" state="frozen"/>
      <selection pane="bottomLeft"/>
    </sheetView>
  </sheetViews>
  <sheetFormatPr defaultRowHeight="14.25" outlineLevelRow="2"/>
  <cols>
    <col min="1" max="1" width="30.85546875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  <col min="24" max="24" width="12.28515625" customWidth="1"/>
  </cols>
  <sheetData>
    <row r="1" spans="1:24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>
      <c r="A3" s="44" t="s">
        <v>13</v>
      </c>
      <c r="B3" s="91">
        <f>SUM(B4:B12)</f>
        <v>1165000</v>
      </c>
      <c r="C3" s="91">
        <f>SUM(C4:C12)</f>
        <v>1201249.7600000002</v>
      </c>
      <c r="D3" s="91">
        <f>SUM(D4:D12)</f>
        <v>36249.76000000006</v>
      </c>
      <c r="E3" s="46">
        <f>SUM(E4:E12)</f>
        <v>955</v>
      </c>
      <c r="F3" s="46">
        <f>SUM(F4:F12)</f>
        <v>60.368055555555557</v>
      </c>
      <c r="G3" s="36"/>
      <c r="H3" s="45">
        <f t="shared" ref="H3:V3" si="0">SUM(H4:H12)</f>
        <v>329425.91999999998</v>
      </c>
      <c r="I3" s="46">
        <f t="shared" si="0"/>
        <v>262</v>
      </c>
      <c r="J3" s="46">
        <f t="shared" si="0"/>
        <v>16.28125</v>
      </c>
      <c r="K3" s="45">
        <f t="shared" si="0"/>
        <v>298428.08</v>
      </c>
      <c r="L3" s="46">
        <f t="shared" si="0"/>
        <v>231</v>
      </c>
      <c r="M3" s="46">
        <f t="shared" si="0"/>
        <v>14.645833333333334</v>
      </c>
      <c r="N3" s="45">
        <f t="shared" si="0"/>
        <v>277615.08</v>
      </c>
      <c r="O3" s="46">
        <f t="shared" si="0"/>
        <v>214</v>
      </c>
      <c r="P3" s="46">
        <f t="shared" si="0"/>
        <v>14.079861111111111</v>
      </c>
      <c r="Q3" s="45">
        <f t="shared" si="0"/>
        <v>244732.31999999998</v>
      </c>
      <c r="R3" s="46">
        <f t="shared" si="0"/>
        <v>212</v>
      </c>
      <c r="S3" s="46">
        <f t="shared" si="0"/>
        <v>12.645833333333334</v>
      </c>
      <c r="T3" s="45">
        <f t="shared" si="0"/>
        <v>51048.36</v>
      </c>
      <c r="U3" s="46">
        <f t="shared" si="0"/>
        <v>36</v>
      </c>
      <c r="V3" s="46">
        <f t="shared" si="0"/>
        <v>2.7152777777777777</v>
      </c>
    </row>
    <row r="4" spans="1:24" outlineLevel="2">
      <c r="A4" s="132" t="s">
        <v>14</v>
      </c>
      <c r="B4" s="92">
        <v>200000</v>
      </c>
      <c r="C4" s="92">
        <f>+H4+K4+N4+Q4+T4</f>
        <v>205111.76</v>
      </c>
      <c r="D4" s="93">
        <f t="shared" ref="D4:D12" si="1">+C4-B4</f>
        <v>5111.7600000000093</v>
      </c>
      <c r="E4" s="18">
        <f>+I4+L4+O4+R4+U4</f>
        <v>223</v>
      </c>
      <c r="F4" s="18">
        <f>+J4+M4+P4+S4+V4</f>
        <v>12.576388888888889</v>
      </c>
      <c r="G4" s="37"/>
      <c r="H4" s="181">
        <v>41449.32</v>
      </c>
      <c r="I4" s="182">
        <v>45</v>
      </c>
      <c r="J4" s="183">
        <v>2.6006944444444446</v>
      </c>
      <c r="K4" s="184">
        <v>55616</v>
      </c>
      <c r="L4" s="185">
        <v>64</v>
      </c>
      <c r="M4" s="186">
        <v>3.3333333333333335</v>
      </c>
      <c r="N4" s="184">
        <v>45092.160000000003</v>
      </c>
      <c r="O4" s="185">
        <v>47</v>
      </c>
      <c r="P4" s="186">
        <v>2.7743055555555554</v>
      </c>
      <c r="Q4" s="187">
        <v>50340.959999999999</v>
      </c>
      <c r="R4" s="185">
        <v>55</v>
      </c>
      <c r="S4" s="186">
        <v>3.1111111111111112</v>
      </c>
      <c r="T4" s="187">
        <v>12613.32</v>
      </c>
      <c r="U4" s="185">
        <v>12</v>
      </c>
      <c r="V4" s="186">
        <v>0.75694444444444442</v>
      </c>
      <c r="X4" s="295"/>
    </row>
    <row r="5" spans="1:24" outlineLevel="2">
      <c r="A5" s="133" t="s">
        <v>15</v>
      </c>
      <c r="B5" s="92">
        <v>200000</v>
      </c>
      <c r="C5" s="92">
        <f t="shared" ref="C5:C51" si="2">+H5+K5+N5+Q5+T5</f>
        <v>128852.64</v>
      </c>
      <c r="D5" s="93">
        <f t="shared" si="1"/>
        <v>-71147.360000000001</v>
      </c>
      <c r="E5" s="18">
        <f t="shared" ref="E5:F12" si="3">+I5+L5+O5+R5+U5</f>
        <v>113</v>
      </c>
      <c r="F5" s="18">
        <f t="shared" si="3"/>
        <v>8.2361111111111107</v>
      </c>
      <c r="G5" s="37"/>
      <c r="H5" s="181">
        <v>32020.92</v>
      </c>
      <c r="I5" s="182">
        <v>27</v>
      </c>
      <c r="J5" s="183">
        <v>2.0208333333333335</v>
      </c>
      <c r="K5" s="184">
        <v>23442.48</v>
      </c>
      <c r="L5" s="185">
        <v>22</v>
      </c>
      <c r="M5" s="186">
        <v>1.4861111111111112</v>
      </c>
      <c r="N5" s="184">
        <v>30880.44</v>
      </c>
      <c r="O5" s="185">
        <v>27</v>
      </c>
      <c r="P5" s="186">
        <v>1.9791666666666667</v>
      </c>
      <c r="Q5" s="187">
        <v>34624.800000000003</v>
      </c>
      <c r="R5" s="185">
        <v>31</v>
      </c>
      <c r="S5" s="186">
        <v>2.25</v>
      </c>
      <c r="T5" s="187">
        <v>7884</v>
      </c>
      <c r="U5" s="185">
        <v>6</v>
      </c>
      <c r="V5" s="186">
        <v>0.5</v>
      </c>
      <c r="X5" s="295"/>
    </row>
    <row r="6" spans="1:24" outlineLevel="2">
      <c r="A6" s="133" t="s">
        <v>16</v>
      </c>
      <c r="B6" s="92">
        <v>200000</v>
      </c>
      <c r="C6" s="92">
        <f t="shared" si="2"/>
        <v>151512.12</v>
      </c>
      <c r="D6" s="93">
        <f t="shared" si="1"/>
        <v>-48487.880000000005</v>
      </c>
      <c r="E6" s="18">
        <f t="shared" si="3"/>
        <v>141</v>
      </c>
      <c r="F6" s="18">
        <f t="shared" si="3"/>
        <v>9.3680555555555554</v>
      </c>
      <c r="G6" s="37"/>
      <c r="H6" s="181">
        <v>53070.12</v>
      </c>
      <c r="I6" s="182">
        <v>52</v>
      </c>
      <c r="J6" s="183">
        <v>3.2013888888888888</v>
      </c>
      <c r="K6" s="184">
        <v>22628.16</v>
      </c>
      <c r="L6" s="185">
        <v>18</v>
      </c>
      <c r="M6" s="186">
        <v>1.5</v>
      </c>
      <c r="N6" s="184">
        <v>31428</v>
      </c>
      <c r="O6" s="185">
        <v>25</v>
      </c>
      <c r="P6" s="186">
        <v>2.0833333333333335</v>
      </c>
      <c r="Q6" s="187">
        <v>35702.639999999999</v>
      </c>
      <c r="R6" s="185">
        <v>40</v>
      </c>
      <c r="S6" s="186">
        <v>2.0416666666666665</v>
      </c>
      <c r="T6" s="187">
        <v>8683.2000000000007</v>
      </c>
      <c r="U6" s="185">
        <v>6</v>
      </c>
      <c r="V6" s="186">
        <v>0.54166666666666663</v>
      </c>
    </row>
    <row r="7" spans="1:24" s="226" customFormat="1" outlineLevel="2">
      <c r="A7" s="301" t="s">
        <v>124</v>
      </c>
      <c r="B7" s="303">
        <v>0</v>
      </c>
      <c r="C7" s="215">
        <f t="shared" si="2"/>
        <v>80771.039999999994</v>
      </c>
      <c r="D7" s="216">
        <f t="shared" si="1"/>
        <v>80771.039999999994</v>
      </c>
      <c r="E7" s="217">
        <f t="shared" si="3"/>
        <v>49</v>
      </c>
      <c r="F7" s="217">
        <f t="shared" si="3"/>
        <v>3.3819444444444446</v>
      </c>
      <c r="G7" s="218"/>
      <c r="H7" s="219">
        <v>20129.04</v>
      </c>
      <c r="I7" s="220">
        <v>10</v>
      </c>
      <c r="J7" s="221">
        <v>0.80555555555555558</v>
      </c>
      <c r="K7" s="222">
        <v>19632.240000000002</v>
      </c>
      <c r="L7" s="223">
        <v>13</v>
      </c>
      <c r="M7" s="224">
        <v>0.81944444444444442</v>
      </c>
      <c r="N7" s="222">
        <v>17665.560000000001</v>
      </c>
      <c r="O7" s="223">
        <v>11</v>
      </c>
      <c r="P7" s="224">
        <v>0.75</v>
      </c>
      <c r="Q7" s="225">
        <v>23344.2</v>
      </c>
      <c r="R7" s="223">
        <v>15</v>
      </c>
      <c r="S7" s="224">
        <v>1.0069444444444444</v>
      </c>
      <c r="T7" s="225"/>
      <c r="U7" s="223"/>
      <c r="V7" s="224"/>
      <c r="X7" s="294"/>
    </row>
    <row r="8" spans="1:24" outlineLevel="2">
      <c r="A8" s="132" t="s">
        <v>18</v>
      </c>
      <c r="B8" s="92">
        <f>450000*0.2</f>
        <v>90000</v>
      </c>
      <c r="C8" s="92">
        <f t="shared" si="2"/>
        <v>11723.4</v>
      </c>
      <c r="D8" s="93">
        <f t="shared" si="1"/>
        <v>-78276.600000000006</v>
      </c>
      <c r="E8" s="18">
        <f t="shared" si="3"/>
        <v>25</v>
      </c>
      <c r="F8" s="18">
        <f t="shared" si="3"/>
        <v>0.58333333333333337</v>
      </c>
      <c r="G8" s="37"/>
      <c r="H8" s="195">
        <v>4990.68</v>
      </c>
      <c r="I8" s="182">
        <v>7</v>
      </c>
      <c r="J8" s="183">
        <v>0.27777777777777779</v>
      </c>
      <c r="K8" s="184">
        <v>1776.6</v>
      </c>
      <c r="L8" s="185">
        <v>6</v>
      </c>
      <c r="M8" s="186">
        <v>7.6388888888888895E-2</v>
      </c>
      <c r="N8" s="184">
        <v>2984.04</v>
      </c>
      <c r="O8" s="185">
        <v>6</v>
      </c>
      <c r="P8" s="186">
        <v>0.14583333333333334</v>
      </c>
      <c r="Q8" s="187">
        <v>1972.08</v>
      </c>
      <c r="R8" s="185">
        <v>6</v>
      </c>
      <c r="S8" s="186">
        <v>8.3333333333333329E-2</v>
      </c>
      <c r="T8" s="187"/>
      <c r="U8" s="185"/>
      <c r="V8" s="186"/>
    </row>
    <row r="9" spans="1:24" outlineLevel="2">
      <c r="A9" s="132" t="s">
        <v>49</v>
      </c>
      <c r="B9" s="92">
        <f>450000*0.5</f>
        <v>225000</v>
      </c>
      <c r="C9" s="92">
        <f t="shared" si="2"/>
        <v>167688.36000000002</v>
      </c>
      <c r="D9" s="93">
        <f t="shared" si="1"/>
        <v>-57311.639999999985</v>
      </c>
      <c r="E9" s="18">
        <f t="shared" si="3"/>
        <v>122</v>
      </c>
      <c r="F9" s="18">
        <f t="shared" si="3"/>
        <v>7.0902777777777777</v>
      </c>
      <c r="G9" s="37"/>
      <c r="H9" s="195">
        <v>63406.8</v>
      </c>
      <c r="I9" s="182">
        <v>45</v>
      </c>
      <c r="J9" s="183">
        <v>2.5902777777777777</v>
      </c>
      <c r="K9" s="184">
        <v>53291.519999999997</v>
      </c>
      <c r="L9" s="185">
        <v>39</v>
      </c>
      <c r="M9" s="186">
        <v>2.3055555555555554</v>
      </c>
      <c r="N9" s="184">
        <v>50990.04</v>
      </c>
      <c r="O9" s="185">
        <v>38</v>
      </c>
      <c r="P9" s="186">
        <v>2.1944444444444446</v>
      </c>
      <c r="Q9" s="187"/>
      <c r="R9" s="185"/>
      <c r="S9" s="186"/>
      <c r="T9" s="187"/>
      <c r="U9" s="185"/>
      <c r="V9" s="186"/>
    </row>
    <row r="10" spans="1:24" s="226" customFormat="1" outlineLevel="2">
      <c r="A10" s="165" t="s">
        <v>125</v>
      </c>
      <c r="B10" s="215">
        <f>450000/2</f>
        <v>225000</v>
      </c>
      <c r="C10" s="215">
        <f t="shared" si="2"/>
        <v>426534.12000000005</v>
      </c>
      <c r="D10" s="216">
        <f t="shared" si="1"/>
        <v>201534.12000000005</v>
      </c>
      <c r="E10" s="217">
        <f t="shared" si="3"/>
        <v>270</v>
      </c>
      <c r="F10" s="217">
        <f t="shared" si="3"/>
        <v>18.131944444444446</v>
      </c>
      <c r="G10" s="218"/>
      <c r="H10" s="219">
        <v>104673.60000000001</v>
      </c>
      <c r="I10" s="220">
        <v>72</v>
      </c>
      <c r="J10" s="221">
        <v>4.4513888888888893</v>
      </c>
      <c r="K10" s="222">
        <v>112355.64</v>
      </c>
      <c r="L10" s="223">
        <v>65</v>
      </c>
      <c r="M10" s="224">
        <v>4.791666666666667</v>
      </c>
      <c r="N10" s="222">
        <v>91310.76</v>
      </c>
      <c r="O10" s="223">
        <v>57</v>
      </c>
      <c r="P10" s="224">
        <v>3.9027777777777777</v>
      </c>
      <c r="Q10" s="225">
        <v>96326.28</v>
      </c>
      <c r="R10" s="223">
        <v>64</v>
      </c>
      <c r="S10" s="224">
        <v>4.0694444444444446</v>
      </c>
      <c r="T10" s="225">
        <v>21867.84</v>
      </c>
      <c r="U10" s="223">
        <v>12</v>
      </c>
      <c r="V10" s="224">
        <v>0.91666666666666663</v>
      </c>
      <c r="X10" s="294"/>
    </row>
    <row r="11" spans="1:24" s="226" customFormat="1" outlineLevel="2">
      <c r="A11" s="165" t="s">
        <v>122</v>
      </c>
      <c r="B11" s="215">
        <v>25000</v>
      </c>
      <c r="C11" s="302">
        <f>+H11+K11+N11+Q11+T11</f>
        <v>29056.32</v>
      </c>
      <c r="D11" s="216">
        <f>+C11-B11</f>
        <v>4056.3199999999997</v>
      </c>
      <c r="E11" s="217">
        <f>+I11+L11+O11+R11+U11</f>
        <v>12</v>
      </c>
      <c r="F11" s="217">
        <f>+J11+M11+P11+S11+V11</f>
        <v>1</v>
      </c>
      <c r="G11" s="218"/>
      <c r="H11" s="219">
        <v>9685.44</v>
      </c>
      <c r="I11" s="220">
        <v>4</v>
      </c>
      <c r="J11" s="221">
        <v>0.33333333333333331</v>
      </c>
      <c r="K11" s="222">
        <v>9685.44</v>
      </c>
      <c r="L11" s="223">
        <v>4</v>
      </c>
      <c r="M11" s="224">
        <v>0.33333333333333331</v>
      </c>
      <c r="N11" s="222">
        <v>7264.08</v>
      </c>
      <c r="O11" s="223">
        <v>3</v>
      </c>
      <c r="P11" s="224">
        <v>0.25</v>
      </c>
      <c r="Q11" s="225">
        <v>2421.36</v>
      </c>
      <c r="R11" s="223">
        <v>1</v>
      </c>
      <c r="S11" s="224">
        <v>8.3333333333333329E-2</v>
      </c>
      <c r="T11" s="225"/>
      <c r="U11" s="223"/>
      <c r="V11" s="224"/>
    </row>
    <row r="12" spans="1:24" s="78" customFormat="1" outlineLevel="2">
      <c r="A12" s="165" t="s">
        <v>115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4">
      <c r="A13" s="58" t="s">
        <v>22</v>
      </c>
      <c r="B13" s="96">
        <f>SUM(B14:B21)</f>
        <v>340000</v>
      </c>
      <c r="C13" s="96">
        <f t="shared" ref="C13:D13" si="4">SUM(C14:C21)</f>
        <v>246905.12</v>
      </c>
      <c r="D13" s="96">
        <f t="shared" si="4"/>
        <v>-93094.87999999999</v>
      </c>
      <c r="E13" s="54">
        <f>SUM(E14:E21)</f>
        <v>303</v>
      </c>
      <c r="F13" s="54">
        <f>SUM(F14:F21)</f>
        <v>18.038194444444446</v>
      </c>
      <c r="G13" s="37"/>
      <c r="H13" s="53">
        <f t="shared" ref="H13" si="5">SUM(H14:H21)</f>
        <v>54277.3</v>
      </c>
      <c r="I13" s="54">
        <f>SUM(I14:I21)</f>
        <v>59</v>
      </c>
      <c r="J13" s="54">
        <f>SUM(J14:J21)</f>
        <v>3.9652777777777777</v>
      </c>
      <c r="K13" s="53">
        <f t="shared" ref="K13" si="6">SUM(K14:K21)</f>
        <v>59978.94</v>
      </c>
      <c r="L13" s="54">
        <f>SUM(L14:L21)</f>
        <v>69</v>
      </c>
      <c r="M13" s="54">
        <f>SUM(M14:M21)</f>
        <v>4.3819444444444446</v>
      </c>
      <c r="N13" s="53">
        <f t="shared" ref="N13" si="7">SUM(N14:N21)</f>
        <v>58793.14</v>
      </c>
      <c r="O13" s="54">
        <f>SUM(O14:O21)</f>
        <v>77</v>
      </c>
      <c r="P13" s="54">
        <f>SUM(P14:P21)</f>
        <v>4.2951388888888893</v>
      </c>
      <c r="Q13" s="53">
        <f t="shared" ref="Q13" si="8">SUM(Q14:Q21)</f>
        <v>58362.92</v>
      </c>
      <c r="R13" s="54">
        <f>SUM(R14:R21)</f>
        <v>79</v>
      </c>
      <c r="S13" s="54">
        <f>SUM(S14:S21)</f>
        <v>4.2638888888888893</v>
      </c>
      <c r="T13" s="53">
        <f t="shared" ref="T13" si="9">SUM(T14:T21)</f>
        <v>15492.82</v>
      </c>
      <c r="U13" s="54">
        <f>SUM(U14:U21)</f>
        <v>19</v>
      </c>
      <c r="V13" s="54">
        <f>SUM(V14:V21)</f>
        <v>1.1319444444444444</v>
      </c>
    </row>
    <row r="14" spans="1:24" outlineLevel="2">
      <c r="A14" s="133" t="s">
        <v>23</v>
      </c>
      <c r="B14" s="97">
        <f>200000*0.85</f>
        <v>170000</v>
      </c>
      <c r="C14" s="92">
        <f t="shared" si="2"/>
        <v>126470.96</v>
      </c>
      <c r="D14" s="93">
        <f t="shared" ref="D14:D21" si="10">+C14-B14</f>
        <v>-43529.039999999994</v>
      </c>
      <c r="E14" s="18">
        <f t="shared" ref="E14:F21" si="11">+I14+L14+O14+R14+U14</f>
        <v>181</v>
      </c>
      <c r="F14" s="18">
        <f t="shared" si="11"/>
        <v>9.2395833333333339</v>
      </c>
      <c r="G14" s="37"/>
      <c r="H14" s="181">
        <v>27852.58</v>
      </c>
      <c r="I14" s="182">
        <v>35</v>
      </c>
      <c r="J14" s="183">
        <v>2.0347222222222223</v>
      </c>
      <c r="K14" s="184">
        <v>29466.639999999999</v>
      </c>
      <c r="L14" s="185">
        <v>43</v>
      </c>
      <c r="M14" s="186">
        <v>2.1527777777777777</v>
      </c>
      <c r="N14" s="184">
        <v>31320.799999999999</v>
      </c>
      <c r="O14" s="185">
        <v>45</v>
      </c>
      <c r="P14" s="186">
        <v>2.2881944444444446</v>
      </c>
      <c r="Q14" s="187">
        <v>29561.7</v>
      </c>
      <c r="R14" s="185">
        <v>46</v>
      </c>
      <c r="S14" s="186">
        <v>2.1597222222222223</v>
      </c>
      <c r="T14" s="187">
        <v>8269.24</v>
      </c>
      <c r="U14" s="185">
        <v>12</v>
      </c>
      <c r="V14" s="186">
        <v>0.60416666666666663</v>
      </c>
      <c r="X14" s="295"/>
    </row>
    <row r="15" spans="1:24" s="226" customFormat="1" outlineLevel="2">
      <c r="A15" s="165" t="s">
        <v>24</v>
      </c>
      <c r="B15" s="215">
        <f t="shared" ref="B15" si="12">200000*0.85</f>
        <v>170000</v>
      </c>
      <c r="C15" s="215">
        <f t="shared" si="2"/>
        <v>120434.16</v>
      </c>
      <c r="D15" s="216">
        <f t="shared" si="10"/>
        <v>-49565.84</v>
      </c>
      <c r="E15" s="217">
        <f t="shared" si="11"/>
        <v>122</v>
      </c>
      <c r="F15" s="217">
        <f t="shared" si="11"/>
        <v>8.7986111111111125</v>
      </c>
      <c r="G15" s="218"/>
      <c r="H15" s="219">
        <v>26424.720000000001</v>
      </c>
      <c r="I15" s="220">
        <v>24</v>
      </c>
      <c r="J15" s="221">
        <v>1.9305555555555556</v>
      </c>
      <c r="K15" s="222">
        <v>30512.3</v>
      </c>
      <c r="L15" s="223">
        <v>26</v>
      </c>
      <c r="M15" s="224">
        <v>2.2291666666666665</v>
      </c>
      <c r="N15" s="222">
        <v>27472.34</v>
      </c>
      <c r="O15" s="223">
        <v>32</v>
      </c>
      <c r="P15" s="224">
        <v>2.0069444444444446</v>
      </c>
      <c r="Q15" s="225">
        <v>28801.22</v>
      </c>
      <c r="R15" s="223">
        <v>33</v>
      </c>
      <c r="S15" s="224">
        <v>2.1041666666666665</v>
      </c>
      <c r="T15" s="225">
        <v>7223.58</v>
      </c>
      <c r="U15" s="223">
        <v>7</v>
      </c>
      <c r="V15" s="224">
        <v>0.52777777777777779</v>
      </c>
      <c r="X15" s="294"/>
    </row>
    <row r="16" spans="1:24" s="226" customFormat="1" outlineLevel="2">
      <c r="A16" s="134" t="s">
        <v>25</v>
      </c>
      <c r="B16" s="94">
        <v>0</v>
      </c>
      <c r="C16" s="215">
        <f t="shared" si="2"/>
        <v>0</v>
      </c>
      <c r="D16" s="216">
        <f t="shared" si="10"/>
        <v>0</v>
      </c>
      <c r="E16" s="217">
        <f t="shared" si="11"/>
        <v>0</v>
      </c>
      <c r="F16" s="217">
        <f t="shared" si="11"/>
        <v>0</v>
      </c>
      <c r="G16" s="218"/>
      <c r="H16" s="219"/>
      <c r="I16" s="220"/>
      <c r="J16" s="221"/>
      <c r="K16" s="222"/>
      <c r="L16" s="223"/>
      <c r="M16" s="224"/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4" s="226" customFormat="1" outlineLevel="2">
      <c r="A17" s="134" t="s">
        <v>26</v>
      </c>
      <c r="B17" s="94">
        <v>0</v>
      </c>
      <c r="C17" s="215">
        <f t="shared" si="2"/>
        <v>0</v>
      </c>
      <c r="D17" s="216">
        <f t="shared" si="10"/>
        <v>0</v>
      </c>
      <c r="E17" s="217">
        <f t="shared" si="11"/>
        <v>0</v>
      </c>
      <c r="F17" s="217">
        <f t="shared" si="11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4" s="226" customFormat="1" outlineLevel="2">
      <c r="A18" s="134" t="s">
        <v>27</v>
      </c>
      <c r="B18" s="94">
        <v>0</v>
      </c>
      <c r="C18" s="215">
        <f t="shared" si="2"/>
        <v>0</v>
      </c>
      <c r="D18" s="216">
        <f t="shared" si="10"/>
        <v>0</v>
      </c>
      <c r="E18" s="217">
        <f t="shared" si="11"/>
        <v>0</v>
      </c>
      <c r="F18" s="217">
        <f t="shared" si="11"/>
        <v>0</v>
      </c>
      <c r="G18" s="218"/>
      <c r="H18" s="219"/>
      <c r="I18" s="220"/>
      <c r="J18" s="221"/>
      <c r="K18" s="222"/>
      <c r="L18" s="223"/>
      <c r="M18" s="224"/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4" s="78" customFormat="1" outlineLevel="2">
      <c r="A19" s="134" t="s">
        <v>28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78" customFormat="1" outlineLevel="2">
      <c r="A20" s="134" t="s">
        <v>20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4" s="78" customFormat="1" outlineLevel="2">
      <c r="A21" s="134" t="s">
        <v>21</v>
      </c>
      <c r="B21" s="94">
        <v>0</v>
      </c>
      <c r="C21" s="94">
        <f t="shared" si="2"/>
        <v>0</v>
      </c>
      <c r="D21" s="95">
        <f t="shared" si="10"/>
        <v>0</v>
      </c>
      <c r="E21" s="69">
        <f t="shared" si="11"/>
        <v>0</v>
      </c>
      <c r="F21" s="69">
        <f t="shared" si="11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>
      <c r="A22" s="57" t="s">
        <v>29</v>
      </c>
      <c r="B22" s="98">
        <f>SUM(B23:B30)</f>
        <v>735000</v>
      </c>
      <c r="C22" s="98">
        <f>SUM(C23:C30)</f>
        <v>353247.12</v>
      </c>
      <c r="D22" s="98">
        <f>SUM(D23:D30)</f>
        <v>-381752.88</v>
      </c>
      <c r="E22" s="56">
        <f>SUM(E23:E30)</f>
        <v>353</v>
      </c>
      <c r="F22" s="56">
        <f>SUM(F23:F30)</f>
        <v>25.243055555555554</v>
      </c>
      <c r="G22" s="37"/>
      <c r="H22" s="55">
        <f t="shared" ref="H22:V22" si="13">SUM(H23:H30)</f>
        <v>78782.38</v>
      </c>
      <c r="I22" s="56">
        <f t="shared" si="13"/>
        <v>78</v>
      </c>
      <c r="J22" s="56">
        <f t="shared" si="13"/>
        <v>5.7361111111111107</v>
      </c>
      <c r="K22" s="55">
        <f t="shared" si="13"/>
        <v>85122.880000000005</v>
      </c>
      <c r="L22" s="56">
        <f t="shared" si="13"/>
        <v>82</v>
      </c>
      <c r="M22" s="56">
        <f t="shared" si="13"/>
        <v>6</v>
      </c>
      <c r="N22" s="55">
        <f t="shared" si="13"/>
        <v>99236.9</v>
      </c>
      <c r="O22" s="56">
        <f t="shared" si="13"/>
        <v>95</v>
      </c>
      <c r="P22" s="56">
        <f t="shared" si="13"/>
        <v>7.0902777777777786</v>
      </c>
      <c r="Q22" s="55">
        <f t="shared" si="13"/>
        <v>74134.87999999999</v>
      </c>
      <c r="R22" s="56">
        <f t="shared" si="13"/>
        <v>86</v>
      </c>
      <c r="S22" s="56">
        <f t="shared" si="13"/>
        <v>5.25</v>
      </c>
      <c r="T22" s="55">
        <f t="shared" si="13"/>
        <v>15970.08</v>
      </c>
      <c r="U22" s="56">
        <f t="shared" si="13"/>
        <v>12</v>
      </c>
      <c r="V22" s="56">
        <f t="shared" si="13"/>
        <v>1.1666666666666667</v>
      </c>
    </row>
    <row r="23" spans="1:24" s="226" customFormat="1" outlineLevel="2">
      <c r="A23" s="165" t="s">
        <v>30</v>
      </c>
      <c r="B23" s="215">
        <f>200000*0.85</f>
        <v>170000</v>
      </c>
      <c r="C23" s="215">
        <f t="shared" si="2"/>
        <v>115967.31999999999</v>
      </c>
      <c r="D23" s="216">
        <f t="shared" ref="D23:D51" si="14">+C23-B23</f>
        <v>-54032.680000000008</v>
      </c>
      <c r="E23" s="217">
        <f t="shared" ref="E23:F30" si="15">+I23+L23+O23+R23+U23</f>
        <v>126</v>
      </c>
      <c r="F23" s="217">
        <f t="shared" si="15"/>
        <v>8.4722222222222214</v>
      </c>
      <c r="G23" s="218"/>
      <c r="H23" s="219">
        <v>28898.240000000002</v>
      </c>
      <c r="I23" s="220">
        <v>31</v>
      </c>
      <c r="J23" s="221">
        <v>2.1111111111111112</v>
      </c>
      <c r="K23" s="222">
        <v>24807.72</v>
      </c>
      <c r="L23" s="223">
        <v>26</v>
      </c>
      <c r="M23" s="224">
        <v>1.8125</v>
      </c>
      <c r="N23" s="222">
        <v>35740.6</v>
      </c>
      <c r="O23" s="223">
        <v>38</v>
      </c>
      <c r="P23" s="224">
        <v>2.6111111111111112</v>
      </c>
      <c r="Q23" s="225">
        <v>26520.76</v>
      </c>
      <c r="R23" s="223">
        <v>31</v>
      </c>
      <c r="S23" s="224">
        <v>1.9375</v>
      </c>
      <c r="T23" s="225"/>
      <c r="U23" s="223"/>
      <c r="V23" s="224"/>
      <c r="X23" s="304"/>
    </row>
    <row r="24" spans="1:24" s="226" customFormat="1" outlineLevel="2">
      <c r="A24" s="165" t="s">
        <v>117</v>
      </c>
      <c r="B24" s="215">
        <f t="shared" ref="B24:B25" si="16">200000*0.85</f>
        <v>170000</v>
      </c>
      <c r="C24" s="215">
        <f>+H24+K24+N24+Q24+T24</f>
        <v>107606.93999999999</v>
      </c>
      <c r="D24" s="216">
        <f t="shared" si="14"/>
        <v>-62393.060000000012</v>
      </c>
      <c r="E24" s="217">
        <f t="shared" si="15"/>
        <v>97</v>
      </c>
      <c r="F24" s="217">
        <f t="shared" si="15"/>
        <v>7.8611111111111116</v>
      </c>
      <c r="G24" s="218"/>
      <c r="H24" s="219">
        <v>25285.96</v>
      </c>
      <c r="I24" s="220">
        <v>21</v>
      </c>
      <c r="J24" s="221">
        <v>1.8472222222222223</v>
      </c>
      <c r="K24" s="222">
        <v>23669.94</v>
      </c>
      <c r="L24" s="223">
        <v>22</v>
      </c>
      <c r="M24" s="224">
        <v>1.7291666666666667</v>
      </c>
      <c r="N24" s="222">
        <v>28707.14</v>
      </c>
      <c r="O24" s="223">
        <v>26</v>
      </c>
      <c r="P24" s="224">
        <v>2.0972222222222223</v>
      </c>
      <c r="Q24" s="225">
        <v>21958.86</v>
      </c>
      <c r="R24" s="223">
        <v>22</v>
      </c>
      <c r="S24" s="224">
        <v>1.6041666666666667</v>
      </c>
      <c r="T24" s="225">
        <v>7985.04</v>
      </c>
      <c r="U24" s="223">
        <v>6</v>
      </c>
      <c r="V24" s="224">
        <v>0.58333333333333337</v>
      </c>
      <c r="X24" s="294"/>
    </row>
    <row r="25" spans="1:24" s="226" customFormat="1" outlineLevel="2">
      <c r="A25" s="165" t="s">
        <v>118</v>
      </c>
      <c r="B25" s="215">
        <f t="shared" si="16"/>
        <v>170000</v>
      </c>
      <c r="C25" s="215">
        <f>+H25+K25+N25+Q25+T25</f>
        <v>113784.85999999999</v>
      </c>
      <c r="D25" s="216">
        <f t="shared" si="14"/>
        <v>-56215.140000000014</v>
      </c>
      <c r="E25" s="217">
        <f t="shared" si="15"/>
        <v>115</v>
      </c>
      <c r="F25" s="217">
        <f t="shared" si="15"/>
        <v>8.3125</v>
      </c>
      <c r="G25" s="218"/>
      <c r="H25" s="219">
        <v>24050.18</v>
      </c>
      <c r="I25" s="220">
        <v>25</v>
      </c>
      <c r="J25" s="221">
        <v>1.7569444444444444</v>
      </c>
      <c r="K25" s="222">
        <v>30418.22</v>
      </c>
      <c r="L25" s="223">
        <v>29</v>
      </c>
      <c r="M25" s="224">
        <v>2.2222222222222223</v>
      </c>
      <c r="N25" s="222">
        <v>30323.16</v>
      </c>
      <c r="O25" s="223">
        <v>29</v>
      </c>
      <c r="P25" s="224">
        <v>2.2152777777777777</v>
      </c>
      <c r="Q25" s="225">
        <v>21008.26</v>
      </c>
      <c r="R25" s="223">
        <v>26</v>
      </c>
      <c r="S25" s="224">
        <v>1.5347222222222223</v>
      </c>
      <c r="T25" s="225">
        <v>7985.04</v>
      </c>
      <c r="U25" s="223">
        <v>6</v>
      </c>
      <c r="V25" s="224">
        <v>0.58333333333333337</v>
      </c>
      <c r="X25" s="294"/>
    </row>
    <row r="26" spans="1:24" s="78" customFormat="1" outlineLevel="2">
      <c r="A26" s="134" t="s">
        <v>33</v>
      </c>
      <c r="B26" s="94">
        <v>0</v>
      </c>
      <c r="C26" s="94">
        <f t="shared" si="2"/>
        <v>0</v>
      </c>
      <c r="D26" s="95">
        <f t="shared" si="14"/>
        <v>0</v>
      </c>
      <c r="E26" s="69">
        <f t="shared" si="15"/>
        <v>0</v>
      </c>
      <c r="F26" s="69">
        <f t="shared" si="15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4" s="226" customFormat="1" outlineLevel="2">
      <c r="A27" s="165" t="s">
        <v>125</v>
      </c>
      <c r="B27" s="215">
        <f>450000/2</f>
        <v>225000</v>
      </c>
      <c r="C27" s="215">
        <f t="shared" ref="C27" si="17">+H27+K27+N27+Q27+T27</f>
        <v>15888</v>
      </c>
      <c r="D27" s="216">
        <f t="shared" si="14"/>
        <v>-209112</v>
      </c>
      <c r="E27" s="217">
        <f t="shared" si="15"/>
        <v>15</v>
      </c>
      <c r="F27" s="217">
        <f t="shared" si="15"/>
        <v>0.5972222222222221</v>
      </c>
      <c r="G27" s="218"/>
      <c r="H27" s="219">
        <v>548</v>
      </c>
      <c r="I27" s="220">
        <v>1</v>
      </c>
      <c r="J27" s="221">
        <v>2.0833333333333332E-2</v>
      </c>
      <c r="K27" s="222">
        <v>6227</v>
      </c>
      <c r="L27" s="223">
        <v>5</v>
      </c>
      <c r="M27" s="224">
        <v>0.2361111111111111</v>
      </c>
      <c r="N27" s="222">
        <v>4466</v>
      </c>
      <c r="O27" s="223">
        <v>2</v>
      </c>
      <c r="P27" s="224">
        <v>0.16666666666666666</v>
      </c>
      <c r="Q27" s="225">
        <v>4647</v>
      </c>
      <c r="R27" s="223">
        <v>7</v>
      </c>
      <c r="S27" s="224">
        <v>0.1736111111111111</v>
      </c>
      <c r="T27" s="225"/>
      <c r="U27" s="223"/>
      <c r="V27" s="224"/>
      <c r="X27" s="294"/>
    </row>
    <row r="28" spans="1:24" s="78" customFormat="1" outlineLevel="2">
      <c r="A28" s="134" t="s">
        <v>28</v>
      </c>
      <c r="B28" s="94">
        <v>0</v>
      </c>
      <c r="C28" s="94">
        <f t="shared" si="2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78" customFormat="1" outlineLevel="2">
      <c r="A29" s="134" t="s">
        <v>20</v>
      </c>
      <c r="B29" s="94">
        <v>0</v>
      </c>
      <c r="C29" s="94">
        <f t="shared" si="2"/>
        <v>0</v>
      </c>
      <c r="D29" s="95">
        <f t="shared" si="14"/>
        <v>0</v>
      </c>
      <c r="E29" s="69">
        <f t="shared" si="15"/>
        <v>0</v>
      </c>
      <c r="F29" s="69">
        <f t="shared" si="15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4" s="78" customFormat="1" outlineLevel="2">
      <c r="A30" s="134" t="s">
        <v>21</v>
      </c>
      <c r="B30" s="94">
        <v>0</v>
      </c>
      <c r="C30" s="94">
        <f t="shared" si="2"/>
        <v>0</v>
      </c>
      <c r="D30" s="95">
        <f t="shared" si="14"/>
        <v>0</v>
      </c>
      <c r="E30" s="69">
        <f t="shared" si="15"/>
        <v>0</v>
      </c>
      <c r="F30" s="69">
        <f t="shared" si="15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>
      <c r="A31" s="50" t="s">
        <v>34</v>
      </c>
      <c r="B31" s="99">
        <f>SUM(B32:B39)</f>
        <v>170000</v>
      </c>
      <c r="C31" s="99">
        <f t="shared" ref="C31:D31" si="18">SUM(C32:C39)</f>
        <v>110984.8</v>
      </c>
      <c r="D31" s="99">
        <f t="shared" si="18"/>
        <v>-59015.199999999997</v>
      </c>
      <c r="E31" s="52">
        <f>SUM(E32:E39)</f>
        <v>131</v>
      </c>
      <c r="F31" s="52">
        <f>SUM(F32:F39)</f>
        <v>8.1076388888888893</v>
      </c>
      <c r="G31" s="37"/>
      <c r="H31" s="51">
        <f t="shared" ref="H31" si="19">SUM(H32:H39)</f>
        <v>24335.360000000001</v>
      </c>
      <c r="I31" s="52">
        <f>SUM(I32:I39)</f>
        <v>28</v>
      </c>
      <c r="J31" s="52">
        <f>SUM(J32:J39)</f>
        <v>1.7777777777777777</v>
      </c>
      <c r="K31" s="51">
        <f t="shared" ref="K31" si="20">SUM(K32:K39)</f>
        <v>27186.18</v>
      </c>
      <c r="L31" s="52">
        <f>SUM(L32:L39)</f>
        <v>33</v>
      </c>
      <c r="M31" s="52">
        <f>SUM(M32:M39)</f>
        <v>1.9861111111111112</v>
      </c>
      <c r="N31" s="51">
        <f t="shared" ref="N31" si="21">SUM(N32:N39)</f>
        <v>27092.1</v>
      </c>
      <c r="O31" s="52">
        <f>SUM(O32:O39)</f>
        <v>33</v>
      </c>
      <c r="P31" s="52">
        <f>SUM(P32:P39)</f>
        <v>1.9791666666666667</v>
      </c>
      <c r="Q31" s="51">
        <f t="shared" ref="Q31" si="22">SUM(Q32:Q39)</f>
        <v>26952.74</v>
      </c>
      <c r="R31" s="52">
        <f>SUM(R32:R39)</f>
        <v>32</v>
      </c>
      <c r="S31" s="52">
        <f>SUM(S32:S39)</f>
        <v>1.96875</v>
      </c>
      <c r="T31" s="51">
        <f t="shared" ref="T31" si="23">SUM(T32:T39)</f>
        <v>5418.42</v>
      </c>
      <c r="U31" s="52">
        <f>SUM(U32:U39)</f>
        <v>5</v>
      </c>
      <c r="V31" s="52">
        <f>SUM(V32:V39)</f>
        <v>0.39583333333333331</v>
      </c>
    </row>
    <row r="32" spans="1:24" s="226" customFormat="1" outlineLevel="2">
      <c r="A32" s="165" t="s">
        <v>35</v>
      </c>
      <c r="B32" s="215">
        <f>200000*0.85</f>
        <v>170000</v>
      </c>
      <c r="C32" s="215">
        <f t="shared" si="2"/>
        <v>110984.8</v>
      </c>
      <c r="D32" s="216">
        <f t="shared" si="14"/>
        <v>-59015.199999999997</v>
      </c>
      <c r="E32" s="217">
        <f t="shared" ref="E32:F39" si="24">+I32+L32+O32+R32+U32</f>
        <v>131</v>
      </c>
      <c r="F32" s="217">
        <f t="shared" si="24"/>
        <v>8.1076388888888893</v>
      </c>
      <c r="G32" s="218"/>
      <c r="H32" s="219">
        <v>24335.360000000001</v>
      </c>
      <c r="I32" s="220">
        <v>28</v>
      </c>
      <c r="J32" s="221">
        <v>1.7777777777777777</v>
      </c>
      <c r="K32" s="222">
        <v>27186.18</v>
      </c>
      <c r="L32" s="223">
        <v>33</v>
      </c>
      <c r="M32" s="224">
        <v>1.9861111111111112</v>
      </c>
      <c r="N32" s="222">
        <v>27092.1</v>
      </c>
      <c r="O32" s="223">
        <v>33</v>
      </c>
      <c r="P32" s="224">
        <v>1.9791666666666667</v>
      </c>
      <c r="Q32" s="225">
        <v>26952.74</v>
      </c>
      <c r="R32" s="223">
        <v>32</v>
      </c>
      <c r="S32" s="224">
        <v>1.96875</v>
      </c>
      <c r="T32" s="225">
        <v>5418.42</v>
      </c>
      <c r="U32" s="223">
        <v>5</v>
      </c>
      <c r="V32" s="224">
        <v>0.39583333333333331</v>
      </c>
      <c r="X32" s="294"/>
    </row>
    <row r="33" spans="1:24" s="78" customFormat="1" outlineLevel="2">
      <c r="A33" s="134" t="s">
        <v>36</v>
      </c>
      <c r="B33" s="94">
        <v>0</v>
      </c>
      <c r="C33" s="94">
        <f t="shared" si="2"/>
        <v>0</v>
      </c>
      <c r="D33" s="95">
        <f t="shared" si="14"/>
        <v>0</v>
      </c>
      <c r="E33" s="69">
        <f t="shared" si="24"/>
        <v>0</v>
      </c>
      <c r="F33" s="69">
        <f t="shared" si="24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4" s="78" customFormat="1" outlineLevel="2">
      <c r="A34" s="134" t="s">
        <v>25</v>
      </c>
      <c r="B34" s="94">
        <v>0</v>
      </c>
      <c r="C34" s="94">
        <f t="shared" si="2"/>
        <v>0</v>
      </c>
      <c r="D34" s="95">
        <f t="shared" si="14"/>
        <v>0</v>
      </c>
      <c r="E34" s="69">
        <f t="shared" si="24"/>
        <v>0</v>
      </c>
      <c r="F34" s="69">
        <f t="shared" si="24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4" s="78" customFormat="1" outlineLevel="2">
      <c r="A35" s="134" t="s">
        <v>26</v>
      </c>
      <c r="B35" s="94">
        <v>0</v>
      </c>
      <c r="C35" s="94">
        <f t="shared" si="2"/>
        <v>0</v>
      </c>
      <c r="D35" s="95">
        <f t="shared" si="14"/>
        <v>0</v>
      </c>
      <c r="E35" s="69">
        <f t="shared" si="24"/>
        <v>0</v>
      </c>
      <c r="F35" s="69">
        <f t="shared" si="24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4" s="78" customFormat="1" outlineLevel="2">
      <c r="A36" s="134" t="s">
        <v>37</v>
      </c>
      <c r="B36" s="94">
        <v>0</v>
      </c>
      <c r="C36" s="94">
        <f t="shared" si="2"/>
        <v>0</v>
      </c>
      <c r="D36" s="95">
        <f t="shared" si="14"/>
        <v>0</v>
      </c>
      <c r="E36" s="69">
        <f t="shared" si="24"/>
        <v>0</v>
      </c>
      <c r="F36" s="69">
        <f t="shared" si="24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4" s="78" customFormat="1" outlineLevel="2">
      <c r="A37" s="134" t="s">
        <v>28</v>
      </c>
      <c r="B37" s="94">
        <v>0</v>
      </c>
      <c r="C37" s="94">
        <f t="shared" si="2"/>
        <v>0</v>
      </c>
      <c r="D37" s="95">
        <f t="shared" si="14"/>
        <v>0</v>
      </c>
      <c r="E37" s="69">
        <f t="shared" si="24"/>
        <v>0</v>
      </c>
      <c r="F37" s="69">
        <f t="shared" si="24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78" customFormat="1" outlineLevel="2">
      <c r="A38" s="134" t="s">
        <v>20</v>
      </c>
      <c r="B38" s="94">
        <v>0</v>
      </c>
      <c r="C38" s="94">
        <f t="shared" si="2"/>
        <v>0</v>
      </c>
      <c r="D38" s="95">
        <f t="shared" si="14"/>
        <v>0</v>
      </c>
      <c r="E38" s="69">
        <f t="shared" si="24"/>
        <v>0</v>
      </c>
      <c r="F38" s="69">
        <f t="shared" si="24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4" s="78" customFormat="1" outlineLevel="2">
      <c r="A39" s="134" t="s">
        <v>21</v>
      </c>
      <c r="B39" s="94">
        <v>0</v>
      </c>
      <c r="C39" s="94">
        <f t="shared" si="2"/>
        <v>0</v>
      </c>
      <c r="D39" s="95">
        <f t="shared" si="14"/>
        <v>0</v>
      </c>
      <c r="E39" s="69">
        <f t="shared" si="24"/>
        <v>0</v>
      </c>
      <c r="F39" s="69">
        <f t="shared" si="24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5">SUM(H41:H42)</f>
        <v>0</v>
      </c>
      <c r="I40" s="60">
        <f t="shared" si="25"/>
        <v>0</v>
      </c>
      <c r="J40" s="60">
        <f t="shared" si="25"/>
        <v>0</v>
      </c>
      <c r="K40" s="59">
        <f t="shared" si="25"/>
        <v>0</v>
      </c>
      <c r="L40" s="60">
        <f t="shared" si="25"/>
        <v>0</v>
      </c>
      <c r="M40" s="60">
        <f t="shared" si="25"/>
        <v>0</v>
      </c>
      <c r="N40" s="59">
        <f t="shared" si="25"/>
        <v>0</v>
      </c>
      <c r="O40" s="60">
        <f t="shared" si="25"/>
        <v>0</v>
      </c>
      <c r="P40" s="60">
        <f t="shared" si="25"/>
        <v>0</v>
      </c>
      <c r="Q40" s="59">
        <f t="shared" si="25"/>
        <v>0</v>
      </c>
      <c r="R40" s="60">
        <f t="shared" si="25"/>
        <v>0</v>
      </c>
      <c r="S40" s="60">
        <f t="shared" si="25"/>
        <v>0</v>
      </c>
      <c r="T40" s="59">
        <f t="shared" si="25"/>
        <v>0</v>
      </c>
      <c r="U40" s="60">
        <f t="shared" si="25"/>
        <v>0</v>
      </c>
      <c r="V40" s="60">
        <f t="shared" si="25"/>
        <v>0</v>
      </c>
    </row>
    <row r="41" spans="1:24" outlineLevel="2">
      <c r="A41" s="134" t="s">
        <v>43</v>
      </c>
      <c r="B41" s="94">
        <v>0</v>
      </c>
      <c r="C41" s="92">
        <f t="shared" si="2"/>
        <v>0</v>
      </c>
      <c r="D41" s="93">
        <f t="shared" si="14"/>
        <v>0</v>
      </c>
      <c r="E41" s="18">
        <f t="shared" ref="E41:F42" si="26">+I41+L41+O41+R41+U41</f>
        <v>0</v>
      </c>
      <c r="F41" s="18">
        <f t="shared" si="26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4" s="78" customFormat="1" outlineLevel="2">
      <c r="A42" s="134" t="s">
        <v>36</v>
      </c>
      <c r="B42" s="94">
        <v>0</v>
      </c>
      <c r="C42" s="94">
        <f t="shared" si="2"/>
        <v>0</v>
      </c>
      <c r="D42" s="95">
        <f t="shared" si="14"/>
        <v>0</v>
      </c>
      <c r="E42" s="69">
        <f t="shared" si="26"/>
        <v>0</v>
      </c>
      <c r="F42" s="69">
        <f t="shared" si="26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>
      <c r="A43" s="47" t="s">
        <v>40</v>
      </c>
      <c r="B43" s="101">
        <f>SUM(B44:B45)</f>
        <v>85000</v>
      </c>
      <c r="C43" s="101">
        <f>SUM(C44:C45)</f>
        <v>66776.22</v>
      </c>
      <c r="D43" s="101">
        <f>SUM(D44:D45)</f>
        <v>-18223.78</v>
      </c>
      <c r="E43" s="49">
        <f>SUM(E44:E45)</f>
        <v>74</v>
      </c>
      <c r="F43" s="49">
        <f>SUM(F44:F45)</f>
        <v>4.8784722222222214</v>
      </c>
      <c r="G43" s="37"/>
      <c r="H43" s="48">
        <f t="shared" ref="H43:V43" si="27">SUM(H44:H45)</f>
        <v>15682.94</v>
      </c>
      <c r="I43" s="49">
        <f t="shared" si="27"/>
        <v>18</v>
      </c>
      <c r="J43" s="49">
        <f t="shared" si="27"/>
        <v>1.1458333333333333</v>
      </c>
      <c r="K43" s="48">
        <f t="shared" si="27"/>
        <v>15875.02</v>
      </c>
      <c r="L43" s="49">
        <f t="shared" si="27"/>
        <v>13</v>
      </c>
      <c r="M43" s="49">
        <f t="shared" si="27"/>
        <v>1.1597222222222223</v>
      </c>
      <c r="N43" s="48">
        <f t="shared" si="27"/>
        <v>13829.76</v>
      </c>
      <c r="O43" s="49">
        <f t="shared" si="27"/>
        <v>14</v>
      </c>
      <c r="P43" s="49">
        <f t="shared" si="27"/>
        <v>1.0104166666666667</v>
      </c>
      <c r="Q43" s="48">
        <f t="shared" si="27"/>
        <v>18156.46</v>
      </c>
      <c r="R43" s="49">
        <f t="shared" si="27"/>
        <v>22</v>
      </c>
      <c r="S43" s="49">
        <f t="shared" si="27"/>
        <v>1.3263888888888888</v>
      </c>
      <c r="T43" s="48">
        <f t="shared" si="27"/>
        <v>3232.04</v>
      </c>
      <c r="U43" s="49">
        <f t="shared" si="27"/>
        <v>7</v>
      </c>
      <c r="V43" s="49">
        <f t="shared" si="27"/>
        <v>0.2361111111111111</v>
      </c>
    </row>
    <row r="44" spans="1:24" outlineLevel="2">
      <c r="A44" s="1" t="s">
        <v>41</v>
      </c>
      <c r="B44" s="97">
        <f>200000/2*0.85</f>
        <v>85000</v>
      </c>
      <c r="C44" s="92">
        <f t="shared" si="2"/>
        <v>66776.22</v>
      </c>
      <c r="D44" s="93">
        <f t="shared" ref="D44:D45" si="28">+C44-B44</f>
        <v>-18223.78</v>
      </c>
      <c r="E44" s="18">
        <f t="shared" ref="E44:F45" si="29">+I44+L44+O44+R44+U44</f>
        <v>74</v>
      </c>
      <c r="F44" s="18">
        <f t="shared" si="29"/>
        <v>4.8784722222222214</v>
      </c>
      <c r="G44" s="37"/>
      <c r="H44" s="181">
        <v>15682.94</v>
      </c>
      <c r="I44" s="182">
        <v>18</v>
      </c>
      <c r="J44" s="183">
        <v>1.1458333333333333</v>
      </c>
      <c r="K44" s="184">
        <v>15875.02</v>
      </c>
      <c r="L44" s="185">
        <v>13</v>
      </c>
      <c r="M44" s="186">
        <v>1.1597222222222223</v>
      </c>
      <c r="N44" s="184">
        <v>13829.76</v>
      </c>
      <c r="O44" s="185">
        <v>14</v>
      </c>
      <c r="P44" s="186">
        <v>1.0104166666666667</v>
      </c>
      <c r="Q44" s="187">
        <v>18156.46</v>
      </c>
      <c r="R44" s="185">
        <v>22</v>
      </c>
      <c r="S44" s="186">
        <v>1.3263888888888888</v>
      </c>
      <c r="T44" s="187">
        <v>3232.04</v>
      </c>
      <c r="U44" s="185">
        <v>7</v>
      </c>
      <c r="V44" s="186">
        <v>0.2361111111111111</v>
      </c>
      <c r="X44" s="295"/>
    </row>
    <row r="45" spans="1:24" s="78" customFormat="1" outlineLevel="2">
      <c r="A45" s="68" t="s">
        <v>36</v>
      </c>
      <c r="B45" s="94">
        <v>0</v>
      </c>
      <c r="C45" s="94">
        <f t="shared" si="2"/>
        <v>0</v>
      </c>
      <c r="D45" s="95">
        <f t="shared" si="28"/>
        <v>0</v>
      </c>
      <c r="E45" s="69">
        <f t="shared" si="29"/>
        <v>0</v>
      </c>
      <c r="F45" s="69">
        <f t="shared" si="29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30">SUM(H47:H48)</f>
        <v>0</v>
      </c>
      <c r="I46" s="200">
        <f t="shared" si="30"/>
        <v>0</v>
      </c>
      <c r="J46" s="200">
        <f t="shared" si="30"/>
        <v>0</v>
      </c>
      <c r="K46" s="211">
        <f t="shared" si="30"/>
        <v>0</v>
      </c>
      <c r="L46" s="200">
        <f t="shared" si="30"/>
        <v>0</v>
      </c>
      <c r="M46" s="200">
        <f t="shared" si="30"/>
        <v>0</v>
      </c>
      <c r="N46" s="211">
        <f t="shared" si="30"/>
        <v>0</v>
      </c>
      <c r="O46" s="200">
        <f t="shared" si="30"/>
        <v>0</v>
      </c>
      <c r="P46" s="200">
        <f t="shared" si="30"/>
        <v>0</v>
      </c>
      <c r="Q46" s="211">
        <f t="shared" si="30"/>
        <v>0</v>
      </c>
      <c r="R46" s="200">
        <f t="shared" si="30"/>
        <v>0</v>
      </c>
      <c r="S46" s="200">
        <f t="shared" si="30"/>
        <v>0</v>
      </c>
      <c r="T46" s="211">
        <f t="shared" si="30"/>
        <v>0</v>
      </c>
      <c r="U46" s="200">
        <f t="shared" si="30"/>
        <v>0</v>
      </c>
      <c r="V46" s="200">
        <f t="shared" si="30"/>
        <v>0</v>
      </c>
    </row>
    <row r="47" spans="1:24" s="78" customFormat="1" outlineLevel="2">
      <c r="A47" s="68" t="s">
        <v>43</v>
      </c>
      <c r="B47" s="94">
        <v>0</v>
      </c>
      <c r="C47" s="94">
        <f t="shared" si="2"/>
        <v>0</v>
      </c>
      <c r="D47" s="95">
        <f t="shared" ref="D47:D48" si="31">+C47-B47</f>
        <v>0</v>
      </c>
      <c r="E47" s="69">
        <f t="shared" ref="E47:F48" si="32">+I47+L47+O47+R47+U47</f>
        <v>0</v>
      </c>
      <c r="F47" s="69">
        <f t="shared" si="32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>
      <c r="A48" s="68" t="s">
        <v>36</v>
      </c>
      <c r="B48" s="94">
        <v>0</v>
      </c>
      <c r="C48" s="94">
        <f t="shared" si="2"/>
        <v>0</v>
      </c>
      <c r="D48" s="95">
        <f t="shared" si="31"/>
        <v>0</v>
      </c>
      <c r="E48" s="69">
        <f t="shared" si="32"/>
        <v>0</v>
      </c>
      <c r="F48" s="69">
        <f t="shared" si="32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3">SUM(H50:H51)</f>
        <v>0</v>
      </c>
      <c r="I49" s="200">
        <f t="shared" si="33"/>
        <v>0</v>
      </c>
      <c r="J49" s="200">
        <f t="shared" si="33"/>
        <v>0</v>
      </c>
      <c r="K49" s="211">
        <f t="shared" si="33"/>
        <v>0</v>
      </c>
      <c r="L49" s="200">
        <f t="shared" si="33"/>
        <v>0</v>
      </c>
      <c r="M49" s="200">
        <f t="shared" si="33"/>
        <v>0</v>
      </c>
      <c r="N49" s="211">
        <f t="shared" si="33"/>
        <v>0</v>
      </c>
      <c r="O49" s="200">
        <f t="shared" si="33"/>
        <v>0</v>
      </c>
      <c r="P49" s="200">
        <f t="shared" si="33"/>
        <v>0</v>
      </c>
      <c r="Q49" s="211">
        <f t="shared" si="33"/>
        <v>0</v>
      </c>
      <c r="R49" s="200">
        <f t="shared" si="33"/>
        <v>0</v>
      </c>
      <c r="S49" s="200">
        <f t="shared" si="33"/>
        <v>0</v>
      </c>
      <c r="T49" s="211">
        <f t="shared" si="33"/>
        <v>0</v>
      </c>
      <c r="U49" s="200">
        <f t="shared" si="33"/>
        <v>0</v>
      </c>
      <c r="V49" s="200">
        <f t="shared" si="33"/>
        <v>0</v>
      </c>
    </row>
    <row r="50" spans="1:22" s="78" customFormat="1" outlineLevel="2">
      <c r="A50" s="68" t="s">
        <v>43</v>
      </c>
      <c r="B50" s="94">
        <v>0</v>
      </c>
      <c r="C50" s="94">
        <f t="shared" si="2"/>
        <v>0</v>
      </c>
      <c r="D50" s="95">
        <f t="shared" si="14"/>
        <v>0</v>
      </c>
      <c r="E50" s="69">
        <f t="shared" ref="E50:F51" si="34">+I50+L50+O50+R50+U50</f>
        <v>0</v>
      </c>
      <c r="F50" s="69">
        <f t="shared" si="34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>
      <c r="A51" s="68" t="s">
        <v>36</v>
      </c>
      <c r="B51" s="94">
        <v>0</v>
      </c>
      <c r="C51" s="94">
        <f t="shared" si="2"/>
        <v>0</v>
      </c>
      <c r="D51" s="95">
        <f t="shared" si="14"/>
        <v>0</v>
      </c>
      <c r="E51" s="69">
        <f t="shared" si="34"/>
        <v>0</v>
      </c>
      <c r="F51" s="69">
        <f t="shared" si="34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8">
      <c r="A52" s="138" t="s">
        <v>45</v>
      </c>
      <c r="B52" s="102">
        <f>+B49+B40+B31+B22+B13+B3+B46+B43</f>
        <v>2495000</v>
      </c>
      <c r="C52" s="102">
        <f>+C49+C40+C31+C22+C13+C3+C46+C43</f>
        <v>1979163.0200000003</v>
      </c>
      <c r="D52" s="102">
        <f>+D49+D40+D31+D22+D13+D3+D46+D43</f>
        <v>-515836.97999999986</v>
      </c>
      <c r="E52" s="90">
        <f>+E49+E40+E31+E22+E13+E3+E46+E43</f>
        <v>1816</v>
      </c>
      <c r="F52" s="90">
        <f>+F49+F40+F31+F22+F13+F3+F46+F43</f>
        <v>116.63541666666666</v>
      </c>
      <c r="G52" s="38"/>
      <c r="H52" s="196">
        <f t="shared" ref="H52:V52" si="35">+H49+H40+H31+H22+H13+H3+H46+H43</f>
        <v>502503.89999999997</v>
      </c>
      <c r="I52" s="197">
        <f t="shared" si="35"/>
        <v>445</v>
      </c>
      <c r="J52" s="197">
        <f t="shared" si="35"/>
        <v>28.906249999999996</v>
      </c>
      <c r="K52" s="196">
        <f t="shared" si="35"/>
        <v>486591.10000000003</v>
      </c>
      <c r="L52" s="197">
        <f t="shared" si="35"/>
        <v>428</v>
      </c>
      <c r="M52" s="197">
        <f t="shared" si="35"/>
        <v>28.173611111111111</v>
      </c>
      <c r="N52" s="196">
        <f t="shared" si="35"/>
        <v>476566.98000000004</v>
      </c>
      <c r="O52" s="197">
        <f t="shared" si="35"/>
        <v>433</v>
      </c>
      <c r="P52" s="197">
        <f t="shared" si="35"/>
        <v>28.454861111111111</v>
      </c>
      <c r="Q52" s="196">
        <f t="shared" si="35"/>
        <v>422339.32</v>
      </c>
      <c r="R52" s="197">
        <f t="shared" si="35"/>
        <v>431</v>
      </c>
      <c r="S52" s="197">
        <f t="shared" si="35"/>
        <v>25.454861111111111</v>
      </c>
      <c r="T52" s="196">
        <f t="shared" si="35"/>
        <v>91161.719999999987</v>
      </c>
      <c r="U52" s="197">
        <f t="shared" si="35"/>
        <v>79</v>
      </c>
      <c r="V52" s="197">
        <f t="shared" si="35"/>
        <v>5.645833333333333</v>
      </c>
    </row>
    <row r="54" spans="1:22" ht="18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>
      <c r="A55" s="87" t="s">
        <v>47</v>
      </c>
      <c r="B55" s="105">
        <f>+B56+B66+B75+B84+B93+B102+B96+B99</f>
        <v>1207340</v>
      </c>
      <c r="C55" s="105">
        <f>+C56+C66+C75+C84+C93+C102+C96+C99</f>
        <v>1211043.76</v>
      </c>
      <c r="D55" s="106">
        <f>+C55-B55</f>
        <v>3703.7600000000093</v>
      </c>
    </row>
    <row r="56" spans="1:22" outlineLevel="1">
      <c r="A56" s="44" t="s">
        <v>48</v>
      </c>
      <c r="B56" s="107">
        <f>SUM(B57:B65)*1.34</f>
        <v>674020</v>
      </c>
      <c r="C56" s="107">
        <f>SUM(C57:C65)*1.34</f>
        <v>685093.76</v>
      </c>
      <c r="D56" s="108">
        <f>+C56-B56</f>
        <v>11073.760000000009</v>
      </c>
    </row>
    <row r="57" spans="1:22" outlineLevel="2">
      <c r="A57" s="132" t="str">
        <f>+A4</f>
        <v>psych. s. 1 - NÁGLOVÁ</v>
      </c>
      <c r="B57" s="93">
        <v>60000</v>
      </c>
      <c r="C57" s="93">
        <v>62550</v>
      </c>
      <c r="D57" s="109">
        <f t="shared" ref="D57:D131" si="36">+C57-B57</f>
        <v>2550</v>
      </c>
      <c r="F57" s="16"/>
      <c r="G57" s="40"/>
    </row>
    <row r="58" spans="1:22" outlineLevel="2">
      <c r="A58" s="132" t="str">
        <f t="shared" ref="A58:A104" si="37">+A5</f>
        <v>psych. s. 2 - HAJASOVÁ</v>
      </c>
      <c r="B58" s="93">
        <v>47000</v>
      </c>
      <c r="C58" s="93">
        <v>47000</v>
      </c>
      <c r="D58" s="109">
        <f t="shared" si="36"/>
        <v>0</v>
      </c>
      <c r="F58" s="16"/>
      <c r="G58" s="40"/>
    </row>
    <row r="59" spans="1:22" outlineLevel="2">
      <c r="A59" s="132" t="str">
        <f t="shared" si="37"/>
        <v>psych. s. 3 -  KAŠPÁRKOVÁ/Pekárová</v>
      </c>
      <c r="B59" s="93">
        <v>65000</v>
      </c>
      <c r="C59" s="93">
        <v>65000</v>
      </c>
      <c r="D59" s="109">
        <f t="shared" si="36"/>
        <v>0</v>
      </c>
      <c r="F59" s="16"/>
      <c r="G59" s="40"/>
    </row>
    <row r="60" spans="1:22" s="175" customFormat="1" outlineLevel="2">
      <c r="A60" s="165" t="str">
        <f t="shared" si="37"/>
        <v>psychiatr - Dr. Holá 0,2</v>
      </c>
      <c r="B60" s="166">
        <v>30000</v>
      </c>
      <c r="C60" s="166">
        <v>35714</v>
      </c>
      <c r="D60" s="167">
        <f t="shared" si="36"/>
        <v>5714</v>
      </c>
      <c r="E60" s="168"/>
      <c r="F60" s="168"/>
      <c r="G60" s="169"/>
      <c r="H60" s="170"/>
      <c r="I60" s="171"/>
      <c r="J60" s="171"/>
      <c r="K60" s="170"/>
      <c r="L60" s="172"/>
      <c r="M60" s="173"/>
      <c r="N60" s="170"/>
      <c r="O60" s="172"/>
      <c r="P60" s="174"/>
      <c r="Q60" s="170"/>
      <c r="R60" s="172"/>
      <c r="S60" s="174"/>
      <c r="T60" s="170"/>
      <c r="U60" s="172"/>
      <c r="V60" s="174"/>
    </row>
    <row r="61" spans="1:22" outlineLevel="2">
      <c r="A61" s="132" t="str">
        <f t="shared" si="37"/>
        <v>psychiatr - GÁBEL 0,2</v>
      </c>
      <c r="B61" s="93">
        <v>16000</v>
      </c>
      <c r="C61" s="93">
        <v>16000</v>
      </c>
      <c r="D61" s="109">
        <f t="shared" si="36"/>
        <v>0</v>
      </c>
      <c r="F61" s="16"/>
      <c r="G61" s="40"/>
      <c r="J61" s="82"/>
    </row>
    <row r="62" spans="1:22" outlineLevel="2">
      <c r="A62" s="132" t="str">
        <f t="shared" si="37"/>
        <v>psychiatr - PFEIFFER 0,5</v>
      </c>
      <c r="B62" s="93">
        <v>85000</v>
      </c>
      <c r="C62" s="93">
        <v>85000</v>
      </c>
      <c r="D62" s="109">
        <f t="shared" si="36"/>
        <v>0</v>
      </c>
      <c r="F62" s="16"/>
      <c r="G62" s="40"/>
      <c r="J62" s="82"/>
    </row>
    <row r="63" spans="1:22" s="175" customFormat="1" outlineLevel="2">
      <c r="A63" s="132" t="str">
        <f t="shared" si="37"/>
        <v>psychiatr - Dr. Suchánková 0,5</v>
      </c>
      <c r="B63" s="166">
        <v>160000</v>
      </c>
      <c r="C63" s="166">
        <v>160000</v>
      </c>
      <c r="D63" s="167">
        <f t="shared" si="36"/>
        <v>0</v>
      </c>
      <c r="E63" s="168"/>
      <c r="F63" s="168"/>
      <c r="G63" s="169"/>
      <c r="H63" s="170"/>
      <c r="I63" s="171"/>
      <c r="J63" s="171"/>
      <c r="K63" s="170"/>
      <c r="L63" s="172"/>
      <c r="M63" s="173"/>
      <c r="N63" s="170"/>
      <c r="O63" s="172"/>
      <c r="P63" s="174"/>
      <c r="Q63" s="170"/>
      <c r="R63" s="172"/>
      <c r="S63" s="174"/>
      <c r="T63" s="170"/>
      <c r="U63" s="172"/>
      <c r="V63" s="174"/>
    </row>
    <row r="64" spans="1:22" s="175" customFormat="1" outlineLevel="2">
      <c r="A64" s="132" t="str">
        <f t="shared" si="37"/>
        <v>psycholog 1 - Dr. Balko 0,2</v>
      </c>
      <c r="B64" s="166">
        <v>25000</v>
      </c>
      <c r="C64" s="166">
        <v>25000</v>
      </c>
      <c r="D64" s="167">
        <f t="shared" si="36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75" customFormat="1" outlineLevel="2">
      <c r="A65" s="165" t="str">
        <f t="shared" si="37"/>
        <v>psycholog 2 - Lichtenbergová</v>
      </c>
      <c r="B65" s="166">
        <v>15000</v>
      </c>
      <c r="C65" s="166">
        <v>15000</v>
      </c>
      <c r="D65" s="167">
        <f t="shared" si="36"/>
        <v>0</v>
      </c>
      <c r="E65" s="168"/>
      <c r="F65" s="168"/>
      <c r="G65" s="169"/>
      <c r="H65" s="170"/>
      <c r="I65" s="171"/>
      <c r="J65" s="171"/>
      <c r="K65" s="170"/>
      <c r="L65" s="172"/>
      <c r="M65" s="173"/>
      <c r="N65" s="170"/>
      <c r="O65" s="172"/>
      <c r="P65" s="174"/>
      <c r="Q65" s="170"/>
      <c r="R65" s="172"/>
      <c r="S65" s="174"/>
      <c r="T65" s="170"/>
      <c r="U65" s="172"/>
      <c r="V65" s="174"/>
    </row>
    <row r="66" spans="1:22" outlineLevel="1">
      <c r="A66" s="58" t="s">
        <v>52</v>
      </c>
      <c r="B66" s="111">
        <f>SUM(B67:B74)*1.34</f>
        <v>154100</v>
      </c>
      <c r="C66" s="111">
        <f>SUM(C67:C74)*1.34</f>
        <v>158120</v>
      </c>
      <c r="D66" s="112">
        <f>+C66-B66</f>
        <v>4020</v>
      </c>
      <c r="F66" s="16"/>
      <c r="G66" s="40"/>
      <c r="J66" s="82"/>
    </row>
    <row r="67" spans="1:22" outlineLevel="2">
      <c r="A67" s="132" t="str">
        <f t="shared" si="37"/>
        <v>psych. s 1 - Blažková</v>
      </c>
      <c r="B67" s="93">
        <v>55000</v>
      </c>
      <c r="C67" s="93">
        <v>56500</v>
      </c>
      <c r="D67" s="109">
        <f t="shared" si="36"/>
        <v>1500</v>
      </c>
      <c r="F67" s="16"/>
      <c r="G67" s="40"/>
      <c r="J67" s="82"/>
    </row>
    <row r="68" spans="1:22" s="175" customFormat="1" outlineLevel="2">
      <c r="A68" s="132" t="str">
        <f t="shared" si="37"/>
        <v>psych. s 2 - Pátková od 1.3</v>
      </c>
      <c r="B68" s="166">
        <v>60000</v>
      </c>
      <c r="C68" s="166">
        <v>61500</v>
      </c>
      <c r="D68" s="167">
        <f t="shared" si="36"/>
        <v>1500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64" customFormat="1" outlineLevel="2">
      <c r="A69" s="134" t="str">
        <f t="shared" si="37"/>
        <v>psych. s 3</v>
      </c>
      <c r="B69" s="155">
        <v>0</v>
      </c>
      <c r="C69" s="155">
        <v>0</v>
      </c>
      <c r="D69" s="156">
        <f t="shared" si="36"/>
        <v>0</v>
      </c>
      <c r="E69" s="157"/>
      <c r="F69" s="157"/>
      <c r="G69" s="158"/>
      <c r="H69" s="159"/>
      <c r="I69" s="160"/>
      <c r="J69" s="160"/>
      <c r="K69" s="159"/>
      <c r="L69" s="161"/>
      <c r="M69" s="162"/>
      <c r="N69" s="159"/>
      <c r="O69" s="161"/>
      <c r="P69" s="163"/>
      <c r="Q69" s="159"/>
      <c r="R69" s="161"/>
      <c r="S69" s="163"/>
      <c r="T69" s="159"/>
      <c r="U69" s="161"/>
      <c r="V69" s="163"/>
    </row>
    <row r="70" spans="1:22" s="164" customFormat="1" outlineLevel="2">
      <c r="A70" s="134" t="str">
        <f t="shared" si="37"/>
        <v>psych. s 4</v>
      </c>
      <c r="B70" s="155">
        <v>0</v>
      </c>
      <c r="C70" s="155">
        <v>0</v>
      </c>
      <c r="D70" s="156">
        <f t="shared" si="36"/>
        <v>0</v>
      </c>
      <c r="E70" s="157"/>
      <c r="F70" s="157"/>
      <c r="G70" s="158"/>
      <c r="H70" s="159"/>
      <c r="I70" s="160"/>
      <c r="J70" s="160"/>
      <c r="K70" s="159"/>
      <c r="L70" s="297"/>
      <c r="M70" s="162"/>
      <c r="N70" s="159"/>
      <c r="O70" s="161"/>
      <c r="P70" s="163"/>
      <c r="Q70" s="159"/>
      <c r="R70" s="161"/>
      <c r="S70" s="163"/>
      <c r="T70" s="159"/>
      <c r="U70" s="161"/>
      <c r="V70" s="163"/>
    </row>
    <row r="71" spans="1:22" s="164" customFormat="1" outlineLevel="2">
      <c r="A71" s="134" t="str">
        <f t="shared" si="37"/>
        <v>psychiatr 1 - 0,5 od 1.4</v>
      </c>
      <c r="B71" s="155">
        <v>0</v>
      </c>
      <c r="C71" s="155">
        <v>0</v>
      </c>
      <c r="D71" s="156">
        <f t="shared" si="36"/>
        <v>0</v>
      </c>
      <c r="E71" s="157"/>
      <c r="F71" s="157"/>
      <c r="G71" s="158"/>
      <c r="H71" s="159"/>
      <c r="I71" s="160"/>
      <c r="J71" s="160"/>
      <c r="K71" s="159"/>
      <c r="L71" s="161"/>
      <c r="M71" s="162"/>
      <c r="N71" s="159"/>
      <c r="O71" s="161"/>
      <c r="P71" s="163"/>
      <c r="Q71" s="159"/>
      <c r="R71" s="161"/>
      <c r="S71" s="163"/>
      <c r="T71" s="159"/>
      <c r="U71" s="161"/>
      <c r="V71" s="163"/>
    </row>
    <row r="72" spans="1:22" s="164" customFormat="1" outlineLevel="2">
      <c r="A72" s="134" t="str">
        <f t="shared" si="37"/>
        <v>psychiatr 2</v>
      </c>
      <c r="B72" s="155">
        <v>0</v>
      </c>
      <c r="C72" s="155">
        <v>0</v>
      </c>
      <c r="D72" s="156">
        <f t="shared" si="36"/>
        <v>0</v>
      </c>
      <c r="E72" s="157"/>
      <c r="F72" s="157"/>
      <c r="G72" s="158"/>
      <c r="H72" s="159"/>
      <c r="I72" s="160"/>
      <c r="J72" s="160"/>
      <c r="K72" s="159"/>
      <c r="L72" s="161"/>
      <c r="M72" s="162"/>
      <c r="N72" s="159"/>
      <c r="O72" s="161"/>
      <c r="P72" s="163"/>
      <c r="Q72" s="159"/>
      <c r="R72" s="161"/>
      <c r="S72" s="163"/>
      <c r="T72" s="159"/>
      <c r="U72" s="161"/>
      <c r="V72" s="163"/>
    </row>
    <row r="73" spans="1:22" s="78" customFormat="1" outlineLevel="2">
      <c r="A73" s="134" t="str">
        <f t="shared" si="37"/>
        <v>psycholog 1 - 0,5</v>
      </c>
      <c r="B73" s="95">
        <v>0</v>
      </c>
      <c r="C73" s="95">
        <v>0</v>
      </c>
      <c r="D73" s="110">
        <f t="shared" si="36"/>
        <v>0</v>
      </c>
      <c r="E73" s="79"/>
      <c r="F73" s="79"/>
      <c r="G73" s="80"/>
      <c r="H73" s="81"/>
      <c r="I73" s="82"/>
      <c r="J73" s="82"/>
      <c r="K73" s="81"/>
      <c r="L73" s="84"/>
      <c r="M73" s="85"/>
      <c r="N73" s="81"/>
      <c r="O73" s="84"/>
      <c r="P73" s="86"/>
      <c r="Q73" s="81"/>
      <c r="R73" s="84"/>
      <c r="S73" s="86"/>
      <c r="T73" s="81"/>
      <c r="U73" s="84"/>
      <c r="V73" s="86"/>
    </row>
    <row r="74" spans="1:22" s="78" customFormat="1" outlineLevel="2">
      <c r="A74" s="134" t="str">
        <f t="shared" si="37"/>
        <v>psycholog 2</v>
      </c>
      <c r="B74" s="95">
        <v>0</v>
      </c>
      <c r="C74" s="95">
        <v>0</v>
      </c>
      <c r="D74" s="110">
        <f t="shared" si="36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>
      <c r="A75" s="57" t="s">
        <v>58</v>
      </c>
      <c r="B75" s="113">
        <f>SUM(B76:B83)*1.34</f>
        <v>251920.00000000003</v>
      </c>
      <c r="C75" s="113">
        <f>SUM(C76:C83)*1.34</f>
        <v>240530</v>
      </c>
      <c r="D75" s="114">
        <f>+C75-B75</f>
        <v>-11390.000000000029</v>
      </c>
      <c r="F75" s="16"/>
      <c r="G75" s="40"/>
      <c r="J75" s="82"/>
    </row>
    <row r="76" spans="1:22" outlineLevel="2">
      <c r="A76" s="132" t="str">
        <f t="shared" si="37"/>
        <v>psych. s 1 - ZELENKOVÁ</v>
      </c>
      <c r="B76" s="93">
        <v>75000</v>
      </c>
      <c r="C76" s="93">
        <v>66500</v>
      </c>
      <c r="D76" s="109">
        <f t="shared" si="36"/>
        <v>-8500</v>
      </c>
      <c r="F76" s="16"/>
      <c r="G76" s="40"/>
      <c r="J76" s="83"/>
    </row>
    <row r="77" spans="1:22" s="175" customFormat="1" outlineLevel="2">
      <c r="A77" s="132" t="str">
        <f t="shared" si="37"/>
        <v>psych. s 2 - Vondráčková</v>
      </c>
      <c r="B77" s="166">
        <v>58000</v>
      </c>
      <c r="C77" s="166">
        <v>58000</v>
      </c>
      <c r="D77" s="167">
        <f t="shared" si="36"/>
        <v>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>
      <c r="A78" s="132" t="str">
        <f t="shared" si="37"/>
        <v>psych. s 3 - Nováková</v>
      </c>
      <c r="B78" s="166">
        <v>55000</v>
      </c>
      <c r="C78" s="166">
        <v>55000</v>
      </c>
      <c r="D78" s="167">
        <f t="shared" si="36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>
      <c r="A79" s="134" t="str">
        <f t="shared" si="37"/>
        <v>všeob. s 4 - Dušková</v>
      </c>
      <c r="B79" s="155">
        <v>0</v>
      </c>
      <c r="C79" s="155">
        <v>0</v>
      </c>
      <c r="D79" s="156">
        <f t="shared" si="36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64" customFormat="1" outlineLevel="2">
      <c r="A80" s="134" t="str">
        <f t="shared" si="37"/>
        <v>psychiatr - Dr. Suchánková 0,5</v>
      </c>
      <c r="B80" s="155">
        <v>0</v>
      </c>
      <c r="C80" s="155">
        <v>0</v>
      </c>
      <c r="D80" s="156">
        <f t="shared" si="36"/>
        <v>0</v>
      </c>
      <c r="E80" s="157"/>
      <c r="F80" s="157"/>
      <c r="G80" s="158"/>
      <c r="H80" s="159"/>
      <c r="I80" s="160"/>
      <c r="J80" s="296"/>
      <c r="K80" s="159"/>
      <c r="L80" s="161"/>
      <c r="M80" s="162"/>
      <c r="N80" s="159"/>
      <c r="O80" s="161"/>
      <c r="P80" s="163"/>
      <c r="Q80" s="159"/>
      <c r="R80" s="161"/>
      <c r="S80" s="163"/>
      <c r="T80" s="159"/>
      <c r="U80" s="161"/>
      <c r="V80" s="163"/>
    </row>
    <row r="81" spans="1:22" s="78" customFormat="1" outlineLevel="2">
      <c r="A81" s="134" t="str">
        <f t="shared" si="37"/>
        <v>psychiatr 2</v>
      </c>
      <c r="B81" s="95">
        <v>0</v>
      </c>
      <c r="C81" s="95">
        <v>0</v>
      </c>
      <c r="D81" s="110">
        <f t="shared" si="36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78" customFormat="1" outlineLevel="2">
      <c r="A82" s="134" t="str">
        <f t="shared" si="37"/>
        <v>psycholog 1 - 0,5</v>
      </c>
      <c r="B82" s="95">
        <v>0</v>
      </c>
      <c r="C82" s="95">
        <v>0</v>
      </c>
      <c r="D82" s="110">
        <f t="shared" si="36"/>
        <v>0</v>
      </c>
      <c r="E82" s="79"/>
      <c r="F82" s="79"/>
      <c r="G82" s="80"/>
      <c r="H82" s="81"/>
      <c r="I82" s="82"/>
      <c r="J82" s="83"/>
      <c r="K82" s="81"/>
      <c r="L82" s="84"/>
      <c r="M82" s="85"/>
      <c r="N82" s="81"/>
      <c r="O82" s="84"/>
      <c r="P82" s="86"/>
      <c r="Q82" s="81"/>
      <c r="R82" s="84"/>
      <c r="S82" s="86"/>
      <c r="T82" s="81"/>
      <c r="U82" s="84"/>
      <c r="V82" s="86"/>
    </row>
    <row r="83" spans="1:22" s="78" customFormat="1" outlineLevel="2">
      <c r="A83" s="134" t="str">
        <f t="shared" si="37"/>
        <v>psycholog 2</v>
      </c>
      <c r="B83" s="95">
        <v>0</v>
      </c>
      <c r="C83" s="95">
        <v>0</v>
      </c>
      <c r="D83" s="110">
        <f t="shared" si="36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>
      <c r="A84" s="50" t="s">
        <v>60</v>
      </c>
      <c r="B84" s="115">
        <f>SUM(B85:B92)*1.34</f>
        <v>93800</v>
      </c>
      <c r="C84" s="115">
        <f>SUM(C85:C92)*1.34</f>
        <v>93800</v>
      </c>
      <c r="D84" s="116">
        <f>+C84-B84</f>
        <v>0</v>
      </c>
      <c r="F84" s="16"/>
      <c r="G84" s="40"/>
    </row>
    <row r="85" spans="1:22" s="175" customFormat="1" outlineLevel="2">
      <c r="A85" s="132" t="str">
        <f t="shared" si="37"/>
        <v>psych. s 1 - Štréblová 0,2 od 1.3 od 5 celý</v>
      </c>
      <c r="B85" s="166">
        <v>70000</v>
      </c>
      <c r="C85" s="166">
        <v>70000</v>
      </c>
      <c r="D85" s="167">
        <f t="shared" si="36"/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78" customFormat="1" outlineLevel="2">
      <c r="A86" s="134" t="str">
        <f t="shared" si="37"/>
        <v>psych. s 2</v>
      </c>
      <c r="B86" s="95">
        <v>0</v>
      </c>
      <c r="C86" s="95">
        <v>0</v>
      </c>
      <c r="D86" s="110">
        <f t="shared" si="36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>
      <c r="A87" s="134" t="str">
        <f t="shared" si="37"/>
        <v>psych. s 3</v>
      </c>
      <c r="B87" s="95">
        <v>0</v>
      </c>
      <c r="C87" s="95">
        <v>0</v>
      </c>
      <c r="D87" s="110">
        <f t="shared" si="36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>
      <c r="A88" s="134" t="str">
        <f t="shared" si="37"/>
        <v>psych. s 4</v>
      </c>
      <c r="B88" s="95">
        <v>0</v>
      </c>
      <c r="C88" s="95">
        <v>0</v>
      </c>
      <c r="D88" s="110">
        <f t="shared" si="36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>
      <c r="A89" s="134" t="str">
        <f t="shared" si="37"/>
        <v xml:space="preserve">psychiatr 1 - 0,5 </v>
      </c>
      <c r="B89" s="95">
        <v>0</v>
      </c>
      <c r="C89" s="95">
        <v>0</v>
      </c>
      <c r="D89" s="110">
        <f t="shared" si="36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>
      <c r="A90" s="134" t="str">
        <f t="shared" si="37"/>
        <v>psychiatr 2</v>
      </c>
      <c r="B90" s="95">
        <v>0</v>
      </c>
      <c r="C90" s="95">
        <v>0</v>
      </c>
      <c r="D90" s="110">
        <f t="shared" si="36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78" customFormat="1" outlineLevel="2">
      <c r="A91" s="134" t="str">
        <f t="shared" si="37"/>
        <v>psycholog 1 - 0,5</v>
      </c>
      <c r="B91" s="95">
        <v>0</v>
      </c>
      <c r="C91" s="95">
        <v>0</v>
      </c>
      <c r="D91" s="110">
        <f t="shared" si="36"/>
        <v>0</v>
      </c>
      <c r="E91" s="79"/>
      <c r="F91" s="79"/>
      <c r="G91" s="80"/>
      <c r="H91" s="81"/>
      <c r="I91" s="82"/>
      <c r="J91" s="83"/>
      <c r="K91" s="81"/>
      <c r="L91" s="84"/>
      <c r="M91" s="85"/>
      <c r="N91" s="81"/>
      <c r="O91" s="84"/>
      <c r="P91" s="86"/>
      <c r="Q91" s="81"/>
      <c r="R91" s="84"/>
      <c r="S91" s="86"/>
      <c r="T91" s="81"/>
      <c r="U91" s="84"/>
      <c r="V91" s="86"/>
    </row>
    <row r="92" spans="1:22" s="78" customFormat="1" outlineLevel="2">
      <c r="A92" s="134" t="str">
        <f t="shared" si="37"/>
        <v>psycholog 2</v>
      </c>
      <c r="B92" s="95">
        <v>0</v>
      </c>
      <c r="C92" s="95">
        <v>0</v>
      </c>
      <c r="D92" s="110">
        <f t="shared" si="36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36"/>
        <v>0</v>
      </c>
      <c r="F93" s="16"/>
      <c r="G93" s="40"/>
    </row>
    <row r="94" spans="1:22" outlineLevel="2">
      <c r="A94" s="134" t="str">
        <f t="shared" si="37"/>
        <v xml:space="preserve">psych. s 1 </v>
      </c>
      <c r="B94" s="155">
        <v>0</v>
      </c>
      <c r="C94" s="93">
        <v>0</v>
      </c>
      <c r="D94" s="119">
        <f t="shared" si="36"/>
        <v>0</v>
      </c>
      <c r="F94" s="16"/>
      <c r="G94" s="40"/>
    </row>
    <row r="95" spans="1:22" s="78" customFormat="1" outlineLevel="2">
      <c r="A95" s="134" t="str">
        <f t="shared" si="37"/>
        <v>psych. s 2</v>
      </c>
      <c r="B95" s="95">
        <v>0</v>
      </c>
      <c r="C95" s="95">
        <v>0</v>
      </c>
      <c r="D95" s="110">
        <f t="shared" si="36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>
      <c r="A96" s="136" t="s">
        <v>63</v>
      </c>
      <c r="B96" s="120">
        <f>SUM(B97:B98)*1.34</f>
        <v>33500</v>
      </c>
      <c r="C96" s="120">
        <f>SUM(C97:C98)*1.34</f>
        <v>33500</v>
      </c>
      <c r="D96" s="121">
        <f t="shared" si="36"/>
        <v>0</v>
      </c>
      <c r="F96" s="16"/>
      <c r="G96" s="40"/>
    </row>
    <row r="97" spans="1:22" outlineLevel="2">
      <c r="A97" s="132" t="str">
        <f t="shared" si="37"/>
        <v>psych. s 1 Prajzová 0,5</v>
      </c>
      <c r="B97" s="93">
        <v>25000</v>
      </c>
      <c r="C97" s="93">
        <v>25000</v>
      </c>
      <c r="D97" s="119">
        <f t="shared" si="36"/>
        <v>0</v>
      </c>
      <c r="F97" s="16"/>
      <c r="G97" s="40"/>
    </row>
    <row r="98" spans="1:22" s="78" customFormat="1" outlineLevel="2">
      <c r="A98" s="134" t="str">
        <f t="shared" si="37"/>
        <v>psych. s 2</v>
      </c>
      <c r="B98" s="95">
        <v>0</v>
      </c>
      <c r="C98" s="95">
        <v>0</v>
      </c>
      <c r="D98" s="110">
        <f t="shared" si="36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6"/>
        <v>0</v>
      </c>
      <c r="F99" s="16"/>
      <c r="G99" s="40"/>
    </row>
    <row r="100" spans="1:22" s="78" customFormat="1" outlineLevel="2">
      <c r="A100" s="134" t="str">
        <f t="shared" si="37"/>
        <v xml:space="preserve">psych. s 1 </v>
      </c>
      <c r="B100" s="95">
        <v>0</v>
      </c>
      <c r="C100" s="95">
        <v>0</v>
      </c>
      <c r="D100" s="110">
        <f t="shared" si="36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>
      <c r="A101" s="134" t="str">
        <f t="shared" si="37"/>
        <v>psych. s 2</v>
      </c>
      <c r="B101" s="95">
        <v>0</v>
      </c>
      <c r="C101" s="95">
        <v>0</v>
      </c>
      <c r="D101" s="110">
        <f t="shared" si="36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>
      <c r="A102" s="202" t="s">
        <v>65</v>
      </c>
      <c r="B102" s="203">
        <f>SUM(B103:B104)*1.34</f>
        <v>0</v>
      </c>
      <c r="C102" s="203">
        <f>SUM(C103:C104)*1.34</f>
        <v>0</v>
      </c>
      <c r="D102" s="204">
        <f t="shared" si="36"/>
        <v>0</v>
      </c>
      <c r="F102" s="16"/>
      <c r="G102" s="40"/>
    </row>
    <row r="103" spans="1:22" s="78" customFormat="1" outlineLevel="2">
      <c r="A103" s="134" t="str">
        <f t="shared" si="37"/>
        <v xml:space="preserve">psych. s 1 </v>
      </c>
      <c r="B103" s="95">
        <v>0</v>
      </c>
      <c r="C103" s="95">
        <v>0</v>
      </c>
      <c r="D103" s="110">
        <f t="shared" si="36"/>
        <v>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>
      <c r="A104" s="134" t="str">
        <f t="shared" si="37"/>
        <v>psych. s 2</v>
      </c>
      <c r="B104" s="95">
        <v>0</v>
      </c>
      <c r="C104" s="95">
        <v>0</v>
      </c>
      <c r="D104" s="110">
        <f t="shared" si="36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>
      <c r="A105" s="89" t="s">
        <v>66</v>
      </c>
      <c r="B105" s="122">
        <f>SUM(B106:B113)</f>
        <v>374250</v>
      </c>
      <c r="C105" s="122">
        <f>SUM(C106:C113)</f>
        <v>296874.45300000004</v>
      </c>
      <c r="D105" s="123">
        <f>+C105-B105</f>
        <v>-77375.546999999962</v>
      </c>
    </row>
    <row r="106" spans="1:22" outlineLevel="1">
      <c r="A106" s="44" t="s">
        <v>67</v>
      </c>
      <c r="B106" s="141">
        <f>+B3*0.15</f>
        <v>174750</v>
      </c>
      <c r="C106" s="141">
        <f>+C3*0.15</f>
        <v>180187.46400000004</v>
      </c>
      <c r="D106" s="142">
        <f t="shared" si="36"/>
        <v>5437.4640000000363</v>
      </c>
    </row>
    <row r="107" spans="1:22" outlineLevel="1">
      <c r="A107" s="58" t="s">
        <v>68</v>
      </c>
      <c r="B107" s="141">
        <f>+B13*0.15</f>
        <v>51000</v>
      </c>
      <c r="C107" s="141">
        <f>+C13*0.15</f>
        <v>37035.767999999996</v>
      </c>
      <c r="D107" s="142">
        <f t="shared" si="36"/>
        <v>-13964.232000000004</v>
      </c>
    </row>
    <row r="108" spans="1:22" outlineLevel="1">
      <c r="A108" s="57" t="s">
        <v>69</v>
      </c>
      <c r="B108" s="141">
        <f>+B22*0.15</f>
        <v>110250</v>
      </c>
      <c r="C108" s="141">
        <f>+C22*0.15</f>
        <v>52987.067999999999</v>
      </c>
      <c r="D108" s="142">
        <f t="shared" si="36"/>
        <v>-57262.932000000001</v>
      </c>
    </row>
    <row r="109" spans="1:22" outlineLevel="1">
      <c r="A109" s="50" t="s">
        <v>70</v>
      </c>
      <c r="B109" s="141">
        <f>+B31*0.15</f>
        <v>25500</v>
      </c>
      <c r="C109" s="141">
        <f>+C31*0.15</f>
        <v>16647.72</v>
      </c>
      <c r="D109" s="142">
        <f t="shared" si="36"/>
        <v>-8852.2799999999988</v>
      </c>
    </row>
    <row r="110" spans="1:22" outlineLevel="1">
      <c r="A110" s="67" t="s">
        <v>71</v>
      </c>
      <c r="B110" s="141">
        <f>+B40*0.15</f>
        <v>0</v>
      </c>
      <c r="C110" s="141">
        <f>+C40*0.15</f>
        <v>0</v>
      </c>
      <c r="D110" s="142">
        <f t="shared" si="36"/>
        <v>0</v>
      </c>
    </row>
    <row r="111" spans="1:22" outlineLevel="1">
      <c r="A111" s="47" t="s">
        <v>72</v>
      </c>
      <c r="B111" s="141">
        <f>+B43*0.15</f>
        <v>12750</v>
      </c>
      <c r="C111" s="141">
        <f>+C43*0.15</f>
        <v>10016.432999999999</v>
      </c>
      <c r="D111" s="142">
        <f t="shared" si="36"/>
        <v>-2733.5670000000009</v>
      </c>
    </row>
    <row r="112" spans="1:22" outlineLevel="1">
      <c r="A112" s="198" t="s">
        <v>73</v>
      </c>
      <c r="B112" s="141">
        <f>+B46*0.15</f>
        <v>0</v>
      </c>
      <c r="C112" s="141">
        <f>+C46*0.15</f>
        <v>0</v>
      </c>
      <c r="D112" s="142">
        <f t="shared" si="36"/>
        <v>0</v>
      </c>
    </row>
    <row r="113" spans="1:4" outlineLevel="1">
      <c r="A113" s="198" t="s">
        <v>74</v>
      </c>
      <c r="B113" s="141">
        <f>+B49*0.15</f>
        <v>0</v>
      </c>
      <c r="C113" s="141">
        <f>+C49*0.15</f>
        <v>0</v>
      </c>
      <c r="D113" s="142">
        <f t="shared" si="36"/>
        <v>0</v>
      </c>
    </row>
    <row r="114" spans="1:4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>
      <c r="A115" s="44" t="s">
        <v>76</v>
      </c>
      <c r="B115" s="111">
        <v>30000</v>
      </c>
      <c r="C115" s="111">
        <f>+B115</f>
        <v>30000</v>
      </c>
      <c r="D115" s="112">
        <f t="shared" si="36"/>
        <v>0</v>
      </c>
    </row>
    <row r="116" spans="1:4" outlineLevel="1">
      <c r="A116" s="58" t="s">
        <v>77</v>
      </c>
      <c r="B116" s="111">
        <v>20000</v>
      </c>
      <c r="C116" s="111">
        <f t="shared" ref="C116:C122" si="38">+B116</f>
        <v>20000</v>
      </c>
      <c r="D116" s="112">
        <f t="shared" si="36"/>
        <v>0</v>
      </c>
    </row>
    <row r="117" spans="1:4" outlineLevel="1">
      <c r="A117" s="57" t="s">
        <v>78</v>
      </c>
      <c r="B117" s="111">
        <v>20000</v>
      </c>
      <c r="C117" s="111">
        <f t="shared" si="38"/>
        <v>20000</v>
      </c>
      <c r="D117" s="111">
        <f t="shared" si="36"/>
        <v>0</v>
      </c>
    </row>
    <row r="118" spans="1:4" outlineLevel="1">
      <c r="A118" s="50" t="s">
        <v>79</v>
      </c>
      <c r="B118" s="111">
        <v>0</v>
      </c>
      <c r="C118" s="111">
        <f t="shared" si="38"/>
        <v>0</v>
      </c>
      <c r="D118" s="111">
        <f t="shared" si="36"/>
        <v>0</v>
      </c>
    </row>
    <row r="119" spans="1:4" outlineLevel="1">
      <c r="A119" s="67" t="s">
        <v>80</v>
      </c>
      <c r="B119" s="111">
        <v>0</v>
      </c>
      <c r="C119" s="111">
        <f t="shared" si="38"/>
        <v>0</v>
      </c>
      <c r="D119" s="111">
        <f t="shared" si="36"/>
        <v>0</v>
      </c>
    </row>
    <row r="120" spans="1:4" outlineLevel="1">
      <c r="A120" s="47" t="s">
        <v>81</v>
      </c>
      <c r="B120" s="111">
        <v>0</v>
      </c>
      <c r="C120" s="111">
        <f t="shared" si="38"/>
        <v>0</v>
      </c>
      <c r="D120" s="111">
        <f t="shared" si="36"/>
        <v>0</v>
      </c>
    </row>
    <row r="121" spans="1:4" outlineLevel="1">
      <c r="A121" s="198" t="s">
        <v>82</v>
      </c>
      <c r="B121" s="111">
        <v>0</v>
      </c>
      <c r="C121" s="111">
        <f t="shared" si="38"/>
        <v>0</v>
      </c>
      <c r="D121" s="111">
        <f t="shared" si="36"/>
        <v>0</v>
      </c>
    </row>
    <row r="122" spans="1:4" outlineLevel="1">
      <c r="A122" s="198" t="s">
        <v>83</v>
      </c>
      <c r="B122" s="111">
        <v>0</v>
      </c>
      <c r="C122" s="111">
        <f t="shared" si="38"/>
        <v>0</v>
      </c>
      <c r="D122" s="111">
        <f t="shared" si="36"/>
        <v>0</v>
      </c>
    </row>
    <row r="123" spans="1:4">
      <c r="A123" s="150" t="s">
        <v>84</v>
      </c>
      <c r="B123" s="151">
        <f>SUM(B124:B131)</f>
        <v>249500</v>
      </c>
      <c r="C123" s="151">
        <f t="shared" ref="C123" si="39">SUM(C124:C131)</f>
        <v>197916.30200000003</v>
      </c>
      <c r="D123" s="151">
        <f>+C123-B123</f>
        <v>-51583.697999999975</v>
      </c>
    </row>
    <row r="124" spans="1:4" outlineLevel="1">
      <c r="A124" s="44" t="s">
        <v>85</v>
      </c>
      <c r="B124" s="152">
        <f>+B3/10</f>
        <v>116500</v>
      </c>
      <c r="C124" s="152">
        <f>+C3/10</f>
        <v>120124.97600000002</v>
      </c>
      <c r="D124" s="153">
        <f t="shared" si="36"/>
        <v>3624.9760000000242</v>
      </c>
    </row>
    <row r="125" spans="1:4" outlineLevel="1">
      <c r="A125" s="58" t="s">
        <v>86</v>
      </c>
      <c r="B125" s="152">
        <f>+B13/10</f>
        <v>34000</v>
      </c>
      <c r="C125" s="152">
        <f>+C13/10</f>
        <v>24690.511999999999</v>
      </c>
      <c r="D125" s="153">
        <f t="shared" si="36"/>
        <v>-9309.4880000000012</v>
      </c>
    </row>
    <row r="126" spans="1:4" outlineLevel="1">
      <c r="A126" s="57" t="s">
        <v>87</v>
      </c>
      <c r="B126" s="152">
        <f>+B22/10</f>
        <v>73500</v>
      </c>
      <c r="C126" s="152">
        <f>+C22/10</f>
        <v>35324.712</v>
      </c>
      <c r="D126" s="152">
        <f t="shared" si="36"/>
        <v>-38175.288</v>
      </c>
    </row>
    <row r="127" spans="1:4" outlineLevel="1">
      <c r="A127" s="50" t="s">
        <v>88</v>
      </c>
      <c r="B127" s="152">
        <f>+B31/10</f>
        <v>17000</v>
      </c>
      <c r="C127" s="152">
        <f>+C31/10</f>
        <v>11098.48</v>
      </c>
      <c r="D127" s="152">
        <f t="shared" si="36"/>
        <v>-5901.52</v>
      </c>
    </row>
    <row r="128" spans="1:4" outlineLevel="1">
      <c r="A128" s="67" t="s">
        <v>89</v>
      </c>
      <c r="B128" s="152">
        <f>+B40/10</f>
        <v>0</v>
      </c>
      <c r="C128" s="152">
        <f>+C40/10</f>
        <v>0</v>
      </c>
      <c r="D128" s="152">
        <f t="shared" si="36"/>
        <v>0</v>
      </c>
    </row>
    <row r="129" spans="1:7" outlineLevel="1">
      <c r="A129" s="47" t="s">
        <v>90</v>
      </c>
      <c r="B129" s="152">
        <f>+B43/10</f>
        <v>8500</v>
      </c>
      <c r="C129" s="152">
        <f>+C43/10</f>
        <v>6677.6220000000003</v>
      </c>
      <c r="D129" s="152">
        <f t="shared" si="36"/>
        <v>-1822.3779999999997</v>
      </c>
    </row>
    <row r="130" spans="1:7" outlineLevel="1">
      <c r="A130" s="198" t="s">
        <v>91</v>
      </c>
      <c r="B130" s="152">
        <f>+B46/10</f>
        <v>0</v>
      </c>
      <c r="C130" s="152">
        <f>+C46/10</f>
        <v>0</v>
      </c>
      <c r="D130" s="152">
        <f t="shared" si="36"/>
        <v>0</v>
      </c>
    </row>
    <row r="131" spans="1:7" outlineLevel="1">
      <c r="A131" s="198" t="s">
        <v>92</v>
      </c>
      <c r="B131" s="152">
        <f>+B49/10</f>
        <v>0</v>
      </c>
      <c r="C131" s="152">
        <f>+C49/10</f>
        <v>0</v>
      </c>
      <c r="D131" s="152">
        <f t="shared" si="36"/>
        <v>0</v>
      </c>
    </row>
    <row r="132" spans="1:7" ht="18">
      <c r="A132" s="139" t="s">
        <v>93</v>
      </c>
      <c r="B132" s="126">
        <f t="shared" ref="B132:D133" si="40">+B114+B105+B55+B123</f>
        <v>1901090</v>
      </c>
      <c r="C132" s="126">
        <f t="shared" si="40"/>
        <v>1775834.5150000001</v>
      </c>
      <c r="D132" s="126">
        <f t="shared" si="40"/>
        <v>-125255.48499999993</v>
      </c>
      <c r="E132" s="15"/>
      <c r="F132" s="10"/>
      <c r="G132" s="41"/>
    </row>
    <row r="133" spans="1:7" outlineLevel="1">
      <c r="A133" s="44" t="s">
        <v>94</v>
      </c>
      <c r="B133" s="140">
        <f t="shared" si="40"/>
        <v>995270</v>
      </c>
      <c r="C133" s="140">
        <f t="shared" si="40"/>
        <v>1015406.2000000001</v>
      </c>
      <c r="D133" s="140">
        <f t="shared" si="40"/>
        <v>20136.20000000007</v>
      </c>
      <c r="E133" s="15"/>
      <c r="F133" s="10"/>
      <c r="G133" s="41"/>
    </row>
    <row r="134" spans="1:7" outlineLevel="1">
      <c r="A134" s="58" t="s">
        <v>95</v>
      </c>
      <c r="B134" s="140">
        <f>+B116+B107+B66+B125</f>
        <v>259100</v>
      </c>
      <c r="C134" s="140">
        <f>+C116+C107+C66+C125</f>
        <v>239846.27999999997</v>
      </c>
      <c r="D134" s="140">
        <f>+D116+D107+D66+D125</f>
        <v>-19253.720000000005</v>
      </c>
      <c r="E134" s="15"/>
      <c r="F134" s="10"/>
      <c r="G134" s="41"/>
    </row>
    <row r="135" spans="1:7" outlineLevel="1">
      <c r="A135" s="57" t="s">
        <v>96</v>
      </c>
      <c r="B135" s="140">
        <f>+B117+B108+B75+B126</f>
        <v>455670</v>
      </c>
      <c r="C135" s="140">
        <f>+C117+C108+C75+C126</f>
        <v>348841.77999999997</v>
      </c>
      <c r="D135" s="140">
        <f>+D117+D108+D75+D126</f>
        <v>-106828.22000000003</v>
      </c>
      <c r="E135" s="15"/>
      <c r="F135" s="10"/>
      <c r="G135" s="41"/>
    </row>
    <row r="136" spans="1:7" outlineLevel="1">
      <c r="A136" s="50" t="s">
        <v>97</v>
      </c>
      <c r="B136" s="140">
        <f>+B118+B109+B84+B127</f>
        <v>136300</v>
      </c>
      <c r="C136" s="140">
        <f>+C118+C109+C84+C127</f>
        <v>121546.2</v>
      </c>
      <c r="D136" s="140">
        <f>+D118+D109+D84+D127</f>
        <v>-14753.8</v>
      </c>
      <c r="E136" s="15"/>
      <c r="F136" s="10"/>
      <c r="G136" s="41"/>
    </row>
    <row r="137" spans="1:7" outlineLevel="1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>
      <c r="A138" s="47" t="s">
        <v>99</v>
      </c>
      <c r="B138" s="140">
        <f>+B129+B120+B111+B96</f>
        <v>54750</v>
      </c>
      <c r="C138" s="140">
        <f>+C129+C120+C111+C96</f>
        <v>50194.055</v>
      </c>
      <c r="D138" s="140">
        <f>+D121+D112+D101+D130</f>
        <v>0</v>
      </c>
      <c r="E138" s="15"/>
      <c r="F138" s="10"/>
      <c r="G138" s="41"/>
    </row>
    <row r="139" spans="1:7" outlineLevel="1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>
      <c r="A140" s="198" t="s">
        <v>101</v>
      </c>
      <c r="B140" s="140">
        <f>+B131+B122+B113+B102</f>
        <v>0</v>
      </c>
      <c r="C140" s="140">
        <f>+C131+C122+C113+C102</f>
        <v>0</v>
      </c>
      <c r="D140" s="140">
        <f>+D122+D113+D102+D131</f>
        <v>0</v>
      </c>
      <c r="E140" s="15"/>
      <c r="F140" s="10"/>
      <c r="G140" s="41"/>
    </row>
    <row r="141" spans="1:7">
      <c r="A141" s="7"/>
      <c r="B141" s="127"/>
      <c r="C141" s="127"/>
      <c r="D141" s="128"/>
      <c r="E141" s="15"/>
      <c r="F141" s="10"/>
      <c r="G141" s="41"/>
    </row>
    <row r="142" spans="1:7" ht="15.75">
      <c r="A142" s="177" t="s">
        <v>102</v>
      </c>
      <c r="B142" s="129">
        <f>+B52-B132</f>
        <v>593910</v>
      </c>
      <c r="C142" s="129">
        <f>+C52-C132</f>
        <v>203328.50500000012</v>
      </c>
      <c r="D142" s="129">
        <f>+D52-D132</f>
        <v>-390581.49499999994</v>
      </c>
      <c r="E142" s="19"/>
      <c r="F142" s="20"/>
      <c r="G142" s="42"/>
    </row>
    <row r="143" spans="1:7">
      <c r="A143" s="44" t="s">
        <v>103</v>
      </c>
      <c r="B143" s="178">
        <f>+B3-B133</f>
        <v>169730</v>
      </c>
      <c r="C143" s="178">
        <f>+C3-C133</f>
        <v>185843.56000000017</v>
      </c>
      <c r="D143" s="178">
        <f>+D3-D133</f>
        <v>16113.55999999999</v>
      </c>
      <c r="E143" s="19"/>
      <c r="F143" s="20"/>
      <c r="G143" s="42"/>
    </row>
    <row r="144" spans="1:7">
      <c r="A144" s="58" t="s">
        <v>104</v>
      </c>
      <c r="B144" s="178">
        <f>+B13-B134</f>
        <v>80900</v>
      </c>
      <c r="C144" s="178">
        <f>+C13-C134</f>
        <v>7058.8400000000256</v>
      </c>
      <c r="D144" s="178">
        <f>+D13-D134</f>
        <v>-73841.159999999989</v>
      </c>
      <c r="E144" s="19"/>
      <c r="F144" s="20"/>
      <c r="G144" s="42"/>
    </row>
    <row r="145" spans="1:7">
      <c r="A145" s="57" t="s">
        <v>105</v>
      </c>
      <c r="B145" s="178">
        <f>+B22-B135</f>
        <v>279330</v>
      </c>
      <c r="C145" s="178">
        <f>+C22-C135</f>
        <v>4405.3400000000256</v>
      </c>
      <c r="D145" s="178">
        <f>+D22-D135</f>
        <v>-274924.65999999997</v>
      </c>
      <c r="E145" s="19"/>
      <c r="F145" s="20"/>
      <c r="G145" s="42"/>
    </row>
    <row r="146" spans="1:7">
      <c r="A146" s="50" t="s">
        <v>106</v>
      </c>
      <c r="B146" s="178">
        <f>+B31-B136</f>
        <v>33700</v>
      </c>
      <c r="C146" s="178">
        <f>+C31-C136</f>
        <v>-10561.399999999994</v>
      </c>
      <c r="D146" s="178">
        <f>+D31-D136</f>
        <v>-44261.399999999994</v>
      </c>
      <c r="E146" s="19"/>
      <c r="F146" s="20"/>
      <c r="G146" s="42"/>
    </row>
    <row r="147" spans="1:7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>
      <c r="A148" s="62" t="s">
        <v>108</v>
      </c>
      <c r="B148" s="178">
        <f>+B43-B138</f>
        <v>30250</v>
      </c>
      <c r="C148" s="178">
        <f>+C43-C138</f>
        <v>16582.165000000001</v>
      </c>
      <c r="D148" s="178">
        <f>+D48-D139</f>
        <v>0</v>
      </c>
      <c r="E148" s="19"/>
      <c r="F148" s="20"/>
      <c r="G148" s="42"/>
    </row>
    <row r="149" spans="1:7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>
      <c r="A150" s="201" t="s">
        <v>110</v>
      </c>
      <c r="B150" s="178">
        <f>+B49-B140</f>
        <v>0</v>
      </c>
      <c r="C150" s="178">
        <f>+C49-C140</f>
        <v>0</v>
      </c>
      <c r="D150" s="178">
        <f>+D49-D140</f>
        <v>0</v>
      </c>
      <c r="E150" s="19"/>
      <c r="F150" s="20"/>
      <c r="G150" s="42"/>
    </row>
    <row r="151" spans="1:7">
      <c r="D151" s="131"/>
      <c r="E151" s="21"/>
      <c r="F151" s="22"/>
      <c r="G151" s="43"/>
    </row>
    <row r="152" spans="1:7">
      <c r="A152" s="179" t="s">
        <v>111</v>
      </c>
      <c r="B152" s="180">
        <f>+B52/B132-1</f>
        <v>0.31240498871699929</v>
      </c>
      <c r="C152" s="180">
        <f>+C52/C132-1</f>
        <v>0.11449743953197133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21" priority="1" operator="lessThan">
      <formula>0</formula>
    </cfRule>
    <cfRule type="cellIs" dxfId="20" priority="2" operator="greaterThan">
      <formula>0</formula>
    </cfRule>
  </conditionalFormatting>
  <conditionalFormatting sqref="D4:D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{2CFED15E-AC58-40D0-B9E4-F851BC4B96DB}</x14:id>
        </ext>
      </extLst>
    </cfRule>
  </conditionalFormatting>
  <conditionalFormatting sqref="D14:D2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{55589B8E-893A-4F3E-840A-1FDBB8F27A88}</x14:id>
        </ext>
      </extLst>
    </cfRule>
  </conditionalFormatting>
  <conditionalFormatting sqref="D23:D3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{F7AF4B49-865B-4893-9AC6-66E3100C8464}</x14:id>
        </ext>
      </extLst>
    </cfRule>
  </conditionalFormatting>
  <conditionalFormatting sqref="D32:D3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{38393949-E25F-4D12-A0C5-F23255C1D5E0}</x14:id>
        </ext>
      </extLst>
    </cfRule>
  </conditionalFormatting>
  <conditionalFormatting sqref="D36:D3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{DFD5E8B3-1351-49BF-B591-93D2B759ADF1}</x14:id>
        </ext>
      </extLst>
    </cfRule>
  </conditionalFormatting>
  <conditionalFormatting sqref="D41:D4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{F8A81D81-5DB5-4C2D-B8A5-0C982B077793}</x14:id>
        </ext>
      </extLst>
    </cfRule>
  </conditionalFormatting>
  <conditionalFormatting sqref="D44:D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{D805E3C5-1982-426E-8B2F-D2C58C048E83}</x14:id>
        </ext>
      </extLst>
    </cfRule>
  </conditionalFormatting>
  <conditionalFormatting sqref="D47:D4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{A0F00B5A-3228-4938-A190-17BFFB931840}</x14:id>
        </ext>
      </extLst>
    </cfRule>
  </conditionalFormatting>
  <conditionalFormatting sqref="D50:D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{4ED09710-EF93-46E0-AAF6-C307E9238D0E}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FED15E-AC58-40D0-B9E4-F851BC4B9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55589B8E-893A-4F3E-840A-1FDBB8F27A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F7AF4B49-865B-4893-9AC6-66E3100C84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38393949-E25F-4D12-A0C5-F23255C1D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DFD5E8B3-1351-49BF-B591-93D2B759AD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F8A81D81-5DB5-4C2D-B8A5-0C982B077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D805E3C5-1982-426E-8B2F-D2C58C048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A0F00B5A-3228-4938-A190-17BFFB9318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4ED09710-EF93-46E0-AAF6-C307E9238D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52"/>
  <sheetViews>
    <sheetView zoomScale="90" zoomScaleNormal="90" workbookViewId="0">
      <pane ySplit="2" topLeftCell="A89" activePane="bottomLeft" state="frozen"/>
      <selection pane="bottomLeft"/>
    </sheetView>
  </sheetViews>
  <sheetFormatPr defaultRowHeight="14.25" outlineLevelRow="2"/>
  <cols>
    <col min="1" max="1" width="32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  <col min="23" max="23" width="13.85546875" customWidth="1"/>
  </cols>
  <sheetData>
    <row r="1" spans="1:23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3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3" s="23" customFormat="1">
      <c r="A3" s="44" t="s">
        <v>13</v>
      </c>
      <c r="B3" s="91">
        <f>SUM(B4:B12)</f>
        <v>1165000</v>
      </c>
      <c r="C3" s="91">
        <f>SUM(C4:C12)</f>
        <v>1039019.41</v>
      </c>
      <c r="D3" s="91">
        <f>SUM(D4:D12)</f>
        <v>-125980.58999999994</v>
      </c>
      <c r="E3" s="46">
        <f>SUM(E4:E12)</f>
        <v>847</v>
      </c>
      <c r="F3" s="46">
        <f>SUM(F4:F12)</f>
        <v>53.426388888888887</v>
      </c>
      <c r="G3" s="36"/>
      <c r="H3" s="45">
        <f t="shared" ref="H3:V3" si="0">SUM(H4:H12)</f>
        <v>193213.08000000002</v>
      </c>
      <c r="I3" s="46">
        <f t="shared" si="0"/>
        <v>156</v>
      </c>
      <c r="J3" s="46">
        <f t="shared" si="0"/>
        <v>9.7847222222222214</v>
      </c>
      <c r="K3" s="45">
        <f t="shared" si="0"/>
        <v>157461.84999999998</v>
      </c>
      <c r="L3" s="46">
        <f t="shared" si="0"/>
        <v>131</v>
      </c>
      <c r="M3" s="46">
        <f t="shared" si="0"/>
        <v>8.3958333333333321</v>
      </c>
      <c r="N3" s="45">
        <f t="shared" si="0"/>
        <v>152020.79999999999</v>
      </c>
      <c r="O3" s="46">
        <f t="shared" si="0"/>
        <v>125</v>
      </c>
      <c r="P3" s="46">
        <f t="shared" si="0"/>
        <v>7.8923611111111107</v>
      </c>
      <c r="Q3" s="45">
        <f t="shared" si="0"/>
        <v>295533.36</v>
      </c>
      <c r="R3" s="46">
        <f t="shared" si="0"/>
        <v>236</v>
      </c>
      <c r="S3" s="46">
        <f t="shared" si="0"/>
        <v>15.082638888888889</v>
      </c>
      <c r="T3" s="45">
        <f t="shared" si="0"/>
        <v>240790.32</v>
      </c>
      <c r="U3" s="46">
        <f t="shared" si="0"/>
        <v>199</v>
      </c>
      <c r="V3" s="46">
        <f t="shared" si="0"/>
        <v>12.270833333333334</v>
      </c>
    </row>
    <row r="4" spans="1:23" outlineLevel="2">
      <c r="A4" s="132" t="s">
        <v>14</v>
      </c>
      <c r="B4" s="92">
        <v>200000</v>
      </c>
      <c r="C4" s="92">
        <f>+H4+K4+N4+Q4+T4</f>
        <v>186967.45</v>
      </c>
      <c r="D4" s="93">
        <f t="shared" ref="D4:D12" si="1">+C4-B4</f>
        <v>-13032.549999999988</v>
      </c>
      <c r="E4" s="18">
        <f>+I4+L4+O4+R4+U4</f>
        <v>206</v>
      </c>
      <c r="F4" s="18">
        <f>+J4+M4+P4+S4+V4</f>
        <v>11.399305555555557</v>
      </c>
      <c r="G4" s="37"/>
      <c r="H4" s="181">
        <v>37021.32</v>
      </c>
      <c r="I4" s="182">
        <v>39</v>
      </c>
      <c r="J4" s="183">
        <v>2.3298611111111112</v>
      </c>
      <c r="K4" s="184">
        <v>52219.09</v>
      </c>
      <c r="L4" s="185">
        <v>54</v>
      </c>
      <c r="M4" s="186">
        <v>3.1111111111111112</v>
      </c>
      <c r="N4" s="184"/>
      <c r="O4" s="185"/>
      <c r="P4" s="186"/>
      <c r="Q4" s="187">
        <v>56867.4</v>
      </c>
      <c r="R4" s="185">
        <v>66</v>
      </c>
      <c r="S4" s="186">
        <v>3.4305555555555554</v>
      </c>
      <c r="T4" s="187">
        <v>40859.64</v>
      </c>
      <c r="U4" s="185">
        <v>47</v>
      </c>
      <c r="V4" s="186">
        <v>2.5277777777777777</v>
      </c>
      <c r="W4" s="295"/>
    </row>
    <row r="5" spans="1:23" outlineLevel="2">
      <c r="A5" s="133" t="s">
        <v>15</v>
      </c>
      <c r="B5" s="92">
        <v>200000</v>
      </c>
      <c r="C5" s="92">
        <f t="shared" ref="C5:C12" si="2">+H5+K5+N5+Q5+T5</f>
        <v>126559.8</v>
      </c>
      <c r="D5" s="93">
        <f t="shared" si="1"/>
        <v>-73440.2</v>
      </c>
      <c r="E5" s="18">
        <f t="shared" ref="E5:F12" si="3">+I5+L5+O5+R5+U5</f>
        <v>113</v>
      </c>
      <c r="F5" s="18">
        <f t="shared" si="3"/>
        <v>7.8923611111111107</v>
      </c>
      <c r="G5" s="37"/>
      <c r="H5" s="181">
        <v>14340.24</v>
      </c>
      <c r="I5" s="182">
        <v>11</v>
      </c>
      <c r="J5" s="183">
        <v>0.91666666666666663</v>
      </c>
      <c r="K5" s="184"/>
      <c r="L5" s="185"/>
      <c r="M5" s="186"/>
      <c r="N5" s="184">
        <v>35385.120000000003</v>
      </c>
      <c r="O5" s="185">
        <v>33</v>
      </c>
      <c r="P5" s="186">
        <v>2.1875</v>
      </c>
      <c r="Q5" s="187">
        <v>38593.800000000003</v>
      </c>
      <c r="R5" s="185">
        <v>34</v>
      </c>
      <c r="S5" s="186">
        <v>2.4340277777777777</v>
      </c>
      <c r="T5" s="187">
        <v>38240.639999999999</v>
      </c>
      <c r="U5" s="185">
        <v>35</v>
      </c>
      <c r="V5" s="186">
        <v>2.3541666666666665</v>
      </c>
      <c r="W5" s="295"/>
    </row>
    <row r="6" spans="1:23" outlineLevel="2">
      <c r="A6" s="133" t="s">
        <v>16</v>
      </c>
      <c r="B6" s="92">
        <v>200000</v>
      </c>
      <c r="C6" s="92">
        <f t="shared" si="2"/>
        <v>164511</v>
      </c>
      <c r="D6" s="93">
        <f t="shared" si="1"/>
        <v>-35489</v>
      </c>
      <c r="E6" s="18">
        <f t="shared" si="3"/>
        <v>145</v>
      </c>
      <c r="F6" s="18">
        <f t="shared" si="3"/>
        <v>10.516666666666666</v>
      </c>
      <c r="G6" s="37"/>
      <c r="H6" s="181">
        <v>32898.959999999999</v>
      </c>
      <c r="I6" s="182">
        <v>34</v>
      </c>
      <c r="J6" s="183">
        <v>2.0451388888888888</v>
      </c>
      <c r="K6" s="184">
        <v>36339.839999999997</v>
      </c>
      <c r="L6" s="185">
        <v>29</v>
      </c>
      <c r="M6" s="186">
        <v>2.375</v>
      </c>
      <c r="N6" s="184">
        <v>37875.599999999999</v>
      </c>
      <c r="O6" s="185">
        <v>35</v>
      </c>
      <c r="P6" s="186">
        <v>2.3298611111111112</v>
      </c>
      <c r="Q6" s="187">
        <v>32254.2</v>
      </c>
      <c r="R6" s="185">
        <v>27</v>
      </c>
      <c r="S6" s="186">
        <v>2.1</v>
      </c>
      <c r="T6" s="187">
        <v>25142.400000000001</v>
      </c>
      <c r="U6" s="185">
        <v>20</v>
      </c>
      <c r="V6" s="186">
        <v>1.6666666666666667</v>
      </c>
      <c r="W6" s="295"/>
    </row>
    <row r="7" spans="1:23" s="78" customFormat="1" outlineLevel="2">
      <c r="A7" s="308" t="s">
        <v>126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3" s="78" customFormat="1" outlineLevel="2">
      <c r="A8" s="132" t="s">
        <v>18</v>
      </c>
      <c r="B8" s="92">
        <f>450000*0.2</f>
        <v>90000</v>
      </c>
      <c r="C8" s="92">
        <f t="shared" si="2"/>
        <v>11315.16</v>
      </c>
      <c r="D8" s="93">
        <f t="shared" si="1"/>
        <v>-78684.84</v>
      </c>
      <c r="E8" s="217">
        <f t="shared" ref="E8" si="4">+I8+L8+O8+R8+U8</f>
        <v>27</v>
      </c>
      <c r="F8" s="217">
        <f t="shared" ref="F8" si="5">+J8+M8+P8+S8+V8</f>
        <v>0.53472222222222221</v>
      </c>
      <c r="G8" s="70"/>
      <c r="H8" s="195">
        <v>1172.8800000000001</v>
      </c>
      <c r="I8" s="182">
        <v>6</v>
      </c>
      <c r="J8" s="183">
        <v>4.1666666666666664E-2</v>
      </c>
      <c r="K8" s="305">
        <v>2966.76</v>
      </c>
      <c r="L8" s="306">
        <v>9</v>
      </c>
      <c r="M8" s="307">
        <v>0.13194444444444445</v>
      </c>
      <c r="N8" s="305">
        <v>2984.04</v>
      </c>
      <c r="O8" s="306">
        <v>6</v>
      </c>
      <c r="P8" s="307">
        <v>0.14583333333333334</v>
      </c>
      <c r="Q8" s="309">
        <v>1598.4</v>
      </c>
      <c r="R8" s="306">
        <v>2</v>
      </c>
      <c r="S8" s="307">
        <v>8.3333333333333329E-2</v>
      </c>
      <c r="T8" s="309">
        <v>2593.08</v>
      </c>
      <c r="U8" s="306">
        <v>4</v>
      </c>
      <c r="V8" s="307">
        <v>0.13194444444444445</v>
      </c>
      <c r="W8" s="312"/>
    </row>
    <row r="9" spans="1:23" outlineLevel="2">
      <c r="A9" s="132" t="s">
        <v>49</v>
      </c>
      <c r="B9" s="92">
        <f>450000*0.5</f>
        <v>225000</v>
      </c>
      <c r="C9" s="92">
        <f t="shared" si="2"/>
        <v>242778.6</v>
      </c>
      <c r="D9" s="93">
        <f t="shared" si="1"/>
        <v>17778.600000000006</v>
      </c>
      <c r="E9" s="18">
        <f t="shared" si="3"/>
        <v>167</v>
      </c>
      <c r="F9" s="18">
        <f t="shared" si="3"/>
        <v>10.1875</v>
      </c>
      <c r="G9" s="37"/>
      <c r="H9" s="195"/>
      <c r="I9" s="182"/>
      <c r="J9" s="183"/>
      <c r="K9" s="184">
        <v>65936.160000000003</v>
      </c>
      <c r="L9" s="185">
        <v>39</v>
      </c>
      <c r="M9" s="186">
        <v>2.7777777777777777</v>
      </c>
      <c r="N9" s="184">
        <v>75776.039999999994</v>
      </c>
      <c r="O9" s="185">
        <v>51</v>
      </c>
      <c r="P9" s="186">
        <v>3.2291666666666665</v>
      </c>
      <c r="Q9" s="187">
        <v>53789.4</v>
      </c>
      <c r="R9" s="185">
        <v>36</v>
      </c>
      <c r="S9" s="186">
        <v>2.2291666666666665</v>
      </c>
      <c r="T9" s="187">
        <v>47277</v>
      </c>
      <c r="U9" s="185">
        <v>41</v>
      </c>
      <c r="V9" s="186">
        <v>1.9513888888888888</v>
      </c>
      <c r="W9" s="300"/>
    </row>
    <row r="10" spans="1:23" outlineLevel="2">
      <c r="A10" s="165" t="s">
        <v>125</v>
      </c>
      <c r="B10" s="215">
        <f>450000/2</f>
        <v>225000</v>
      </c>
      <c r="C10" s="215">
        <f t="shared" si="2"/>
        <v>287516.52</v>
      </c>
      <c r="D10" s="93">
        <f t="shared" si="1"/>
        <v>62516.520000000019</v>
      </c>
      <c r="E10" s="18">
        <f t="shared" si="3"/>
        <v>181</v>
      </c>
      <c r="F10" s="18">
        <f t="shared" si="3"/>
        <v>12.229166666666668</v>
      </c>
      <c r="G10" s="37"/>
      <c r="H10" s="195">
        <v>88408.8</v>
      </c>
      <c r="I10" s="182">
        <v>58</v>
      </c>
      <c r="J10" s="183">
        <v>3.7847222222222223</v>
      </c>
      <c r="K10" s="184"/>
      <c r="L10" s="185"/>
      <c r="M10" s="186"/>
      <c r="N10" s="184"/>
      <c r="O10" s="185"/>
      <c r="P10" s="186"/>
      <c r="Q10" s="187">
        <v>112430.16</v>
      </c>
      <c r="R10" s="185">
        <v>71</v>
      </c>
      <c r="S10" s="186">
        <v>4.8055555555555554</v>
      </c>
      <c r="T10" s="187">
        <v>86677.56</v>
      </c>
      <c r="U10" s="185">
        <v>52</v>
      </c>
      <c r="V10" s="186">
        <v>3.6388888888888888</v>
      </c>
      <c r="W10" s="295"/>
    </row>
    <row r="11" spans="1:23" s="78" customFormat="1" outlineLevel="2">
      <c r="A11" s="165" t="s">
        <v>122</v>
      </c>
      <c r="B11" s="215">
        <v>25000</v>
      </c>
      <c r="C11" s="302">
        <f>+H11+K11+N11+Q11+T11</f>
        <v>19370.88</v>
      </c>
      <c r="D11" s="95">
        <f t="shared" si="1"/>
        <v>-5629.119999999999</v>
      </c>
      <c r="E11" s="69">
        <f t="shared" si="3"/>
        <v>8</v>
      </c>
      <c r="F11" s="69">
        <f t="shared" si="3"/>
        <v>0.66666666666666663</v>
      </c>
      <c r="G11" s="70"/>
      <c r="H11" s="195">
        <v>19370.88</v>
      </c>
      <c r="I11" s="182">
        <v>8</v>
      </c>
      <c r="J11" s="183">
        <v>0.66666666666666663</v>
      </c>
      <c r="K11" s="191"/>
      <c r="L11" s="192"/>
      <c r="M11" s="193"/>
      <c r="N11" s="191"/>
      <c r="O11" s="192"/>
      <c r="P11" s="193"/>
      <c r="Q11" s="194"/>
      <c r="R11" s="192"/>
      <c r="S11" s="193"/>
      <c r="T11" s="194"/>
      <c r="U11" s="192"/>
      <c r="V11" s="193"/>
      <c r="W11" s="313"/>
    </row>
    <row r="12" spans="1:23" s="78" customFormat="1" outlineLevel="2">
      <c r="A12" s="165" t="s">
        <v>115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  <c r="W12" s="311"/>
    </row>
    <row r="13" spans="1:23">
      <c r="A13" s="58" t="s">
        <v>22</v>
      </c>
      <c r="B13" s="96">
        <f>SUM(B14:B21)</f>
        <v>400000</v>
      </c>
      <c r="C13" s="96">
        <f t="shared" ref="C13:D13" si="6">SUM(C14:C21)</f>
        <v>224761.03999999998</v>
      </c>
      <c r="D13" s="96">
        <f t="shared" si="6"/>
        <v>-175238.96000000002</v>
      </c>
      <c r="E13" s="54">
        <f>SUM(E14:E21)</f>
        <v>265</v>
      </c>
      <c r="F13" s="54">
        <f>SUM(F14:F21)</f>
        <v>16.420138888888886</v>
      </c>
      <c r="G13" s="37"/>
      <c r="H13" s="53">
        <f t="shared" ref="H13" si="7">SUM(H14:H21)</f>
        <v>52287.899999999994</v>
      </c>
      <c r="I13" s="54">
        <f>SUM(I14:I21)</f>
        <v>63</v>
      </c>
      <c r="J13" s="54">
        <f>SUM(J14:J21)</f>
        <v>3.8194444444444446</v>
      </c>
      <c r="K13" s="53">
        <f t="shared" ref="K13" si="8">SUM(K14:K21)</f>
        <v>40299.56</v>
      </c>
      <c r="L13" s="54">
        <f>SUM(L14:L21)</f>
        <v>37</v>
      </c>
      <c r="M13" s="54">
        <f>SUM(M14:M21)</f>
        <v>2.9444444444444446</v>
      </c>
      <c r="N13" s="53">
        <f t="shared" ref="N13" si="9">SUM(N14:N21)</f>
        <v>37166.5</v>
      </c>
      <c r="O13" s="54">
        <f>SUM(O14:O21)</f>
        <v>44</v>
      </c>
      <c r="P13" s="54">
        <f>SUM(P14:P21)</f>
        <v>2.7152777777777777</v>
      </c>
      <c r="Q13" s="53">
        <f t="shared" ref="Q13" si="10">SUM(Q14:Q21)</f>
        <v>41015.94</v>
      </c>
      <c r="R13" s="54">
        <f>SUM(R14:R21)</f>
        <v>55</v>
      </c>
      <c r="S13" s="54">
        <f>SUM(S14:S21)</f>
        <v>2.9965277777777777</v>
      </c>
      <c r="T13" s="53">
        <f t="shared" ref="T13" si="11">SUM(T14:T21)</f>
        <v>53991.14</v>
      </c>
      <c r="U13" s="54">
        <f>SUM(U14:U21)</f>
        <v>66</v>
      </c>
      <c r="V13" s="54">
        <f>SUM(V14:V21)</f>
        <v>3.9444444444444442</v>
      </c>
    </row>
    <row r="14" spans="1:23" outlineLevel="2">
      <c r="A14" s="133" t="s">
        <v>23</v>
      </c>
      <c r="B14" s="97">
        <v>200000</v>
      </c>
      <c r="C14" s="92">
        <f t="shared" ref="C14:C51" si="12">+H14+K14+N14+Q14+T14</f>
        <v>130747.68</v>
      </c>
      <c r="D14" s="93">
        <f t="shared" ref="D14:D21" si="13">+C14-B14</f>
        <v>-69252.320000000007</v>
      </c>
      <c r="E14" s="18">
        <f t="shared" ref="E14:F21" si="14">+I14+L14+O14+R14+U14</f>
        <v>173</v>
      </c>
      <c r="F14" s="18">
        <f t="shared" si="14"/>
        <v>9.5520833333333321</v>
      </c>
      <c r="G14" s="37"/>
      <c r="H14" s="181">
        <v>26520.76</v>
      </c>
      <c r="I14" s="182">
        <v>36</v>
      </c>
      <c r="J14" s="183">
        <v>1.9375</v>
      </c>
      <c r="K14" s="184"/>
      <c r="L14" s="185"/>
      <c r="M14" s="186"/>
      <c r="N14" s="184">
        <v>37166.5</v>
      </c>
      <c r="O14" s="185">
        <v>44</v>
      </c>
      <c r="P14" s="186">
        <v>2.7152777777777777</v>
      </c>
      <c r="Q14" s="187">
        <v>41015.94</v>
      </c>
      <c r="R14" s="185">
        <v>55</v>
      </c>
      <c r="S14" s="186">
        <v>2.9965277777777777</v>
      </c>
      <c r="T14" s="187">
        <v>26044.48</v>
      </c>
      <c r="U14" s="185">
        <v>38</v>
      </c>
      <c r="V14" s="186">
        <v>1.9027777777777777</v>
      </c>
      <c r="W14" s="295"/>
    </row>
    <row r="15" spans="1:23" s="226" customFormat="1" outlineLevel="2">
      <c r="A15" s="165" t="s">
        <v>24</v>
      </c>
      <c r="B15" s="97">
        <v>200000</v>
      </c>
      <c r="C15" s="215">
        <f t="shared" si="12"/>
        <v>94013.36</v>
      </c>
      <c r="D15" s="216">
        <f t="shared" si="13"/>
        <v>-105986.64</v>
      </c>
      <c r="E15" s="217">
        <f t="shared" si="14"/>
        <v>92</v>
      </c>
      <c r="F15" s="217">
        <f t="shared" si="14"/>
        <v>6.8680555555555554</v>
      </c>
      <c r="G15" s="218"/>
      <c r="H15" s="219">
        <v>25767.14</v>
      </c>
      <c r="I15" s="220">
        <v>27</v>
      </c>
      <c r="J15" s="221">
        <v>1.8819444444444444</v>
      </c>
      <c r="K15" s="222">
        <v>40299.56</v>
      </c>
      <c r="L15" s="223">
        <v>37</v>
      </c>
      <c r="M15" s="224">
        <v>2.9444444444444446</v>
      </c>
      <c r="N15" s="222"/>
      <c r="O15" s="223"/>
      <c r="P15" s="224"/>
      <c r="Q15" s="225"/>
      <c r="R15" s="223"/>
      <c r="S15" s="224"/>
      <c r="T15" s="225">
        <v>27946.66</v>
      </c>
      <c r="U15" s="223">
        <v>28</v>
      </c>
      <c r="V15" s="224">
        <v>2.0416666666666665</v>
      </c>
      <c r="W15" s="294"/>
    </row>
    <row r="16" spans="1:23" s="226" customFormat="1" outlineLevel="2">
      <c r="A16" s="134" t="s">
        <v>25</v>
      </c>
      <c r="B16" s="94">
        <v>0</v>
      </c>
      <c r="C16" s="94">
        <f t="shared" si="12"/>
        <v>0</v>
      </c>
      <c r="D16" s="95">
        <f t="shared" si="13"/>
        <v>0</v>
      </c>
      <c r="E16" s="69">
        <f t="shared" si="14"/>
        <v>0</v>
      </c>
      <c r="F16" s="69">
        <f t="shared" si="14"/>
        <v>0</v>
      </c>
      <c r="G16" s="218"/>
      <c r="H16" s="219"/>
      <c r="I16" s="220"/>
      <c r="J16" s="221"/>
      <c r="K16" s="222"/>
      <c r="L16" s="223"/>
      <c r="M16" s="224"/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3" s="226" customFormat="1" outlineLevel="2">
      <c r="A17" s="134" t="s">
        <v>26</v>
      </c>
      <c r="B17" s="94">
        <v>0</v>
      </c>
      <c r="C17" s="94">
        <f t="shared" si="12"/>
        <v>0</v>
      </c>
      <c r="D17" s="95">
        <f t="shared" si="13"/>
        <v>0</v>
      </c>
      <c r="E17" s="69">
        <f t="shared" si="14"/>
        <v>0</v>
      </c>
      <c r="F17" s="69">
        <f t="shared" si="14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3" s="226" customFormat="1" outlineLevel="2">
      <c r="A18" s="134" t="s">
        <v>27</v>
      </c>
      <c r="B18" s="94">
        <v>0</v>
      </c>
      <c r="C18" s="94">
        <f t="shared" si="12"/>
        <v>0</v>
      </c>
      <c r="D18" s="95">
        <f t="shared" si="13"/>
        <v>0</v>
      </c>
      <c r="E18" s="69">
        <f t="shared" si="14"/>
        <v>0</v>
      </c>
      <c r="F18" s="69">
        <f t="shared" si="14"/>
        <v>0</v>
      </c>
      <c r="G18" s="218"/>
      <c r="H18" s="219"/>
      <c r="I18" s="220"/>
      <c r="J18" s="221"/>
      <c r="K18" s="222"/>
      <c r="L18" s="223"/>
      <c r="M18" s="224"/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3" s="78" customFormat="1" outlineLevel="2">
      <c r="A19" s="134" t="s">
        <v>28</v>
      </c>
      <c r="B19" s="94">
        <v>0</v>
      </c>
      <c r="C19" s="94">
        <f t="shared" si="12"/>
        <v>0</v>
      </c>
      <c r="D19" s="95">
        <f t="shared" si="13"/>
        <v>0</v>
      </c>
      <c r="E19" s="69">
        <f t="shared" si="14"/>
        <v>0</v>
      </c>
      <c r="F19" s="69">
        <f t="shared" si="14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3" s="226" customFormat="1" outlineLevel="2">
      <c r="A20" s="134" t="s">
        <v>20</v>
      </c>
      <c r="B20" s="94">
        <v>0</v>
      </c>
      <c r="C20" s="94">
        <f t="shared" si="12"/>
        <v>0</v>
      </c>
      <c r="D20" s="95">
        <f t="shared" si="13"/>
        <v>0</v>
      </c>
      <c r="E20" s="69">
        <f t="shared" si="14"/>
        <v>0</v>
      </c>
      <c r="F20" s="69">
        <f t="shared" si="14"/>
        <v>0</v>
      </c>
      <c r="G20" s="218"/>
      <c r="H20" s="219"/>
      <c r="I20" s="220"/>
      <c r="J20" s="221"/>
      <c r="K20" s="222"/>
      <c r="L20" s="223"/>
      <c r="M20" s="224"/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3" s="78" customFormat="1" outlineLevel="2">
      <c r="A21" s="134" t="s">
        <v>21</v>
      </c>
      <c r="B21" s="94">
        <v>0</v>
      </c>
      <c r="C21" s="94">
        <f t="shared" si="12"/>
        <v>0</v>
      </c>
      <c r="D21" s="95">
        <f t="shared" si="13"/>
        <v>0</v>
      </c>
      <c r="E21" s="69">
        <f t="shared" si="14"/>
        <v>0</v>
      </c>
      <c r="F21" s="69">
        <f t="shared" si="14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3">
      <c r="A22" s="57" t="s">
        <v>29</v>
      </c>
      <c r="B22" s="98">
        <f>SUM(B23:B30)</f>
        <v>600000</v>
      </c>
      <c r="C22" s="98">
        <f>SUM(C23:C30)</f>
        <v>344386.7</v>
      </c>
      <c r="D22" s="98">
        <f>SUM(D23:D30)</f>
        <v>-255613.3</v>
      </c>
      <c r="E22" s="56">
        <f>SUM(E23:E30)</f>
        <v>373</v>
      </c>
      <c r="F22" s="56">
        <f>SUM(F23:F30)</f>
        <v>23.909722222222221</v>
      </c>
      <c r="G22" s="37"/>
      <c r="H22" s="55">
        <f t="shared" ref="H22:V22" si="15">SUM(H23:H30)</f>
        <v>57796.479999999996</v>
      </c>
      <c r="I22" s="56">
        <f t="shared" si="15"/>
        <v>57</v>
      </c>
      <c r="J22" s="56">
        <f t="shared" si="15"/>
        <v>2.9722222222222223</v>
      </c>
      <c r="K22" s="55">
        <f t="shared" si="15"/>
        <v>56651.840000000004</v>
      </c>
      <c r="L22" s="56">
        <f t="shared" si="15"/>
        <v>67</v>
      </c>
      <c r="M22" s="56">
        <f t="shared" si="15"/>
        <v>4.1388888888888893</v>
      </c>
      <c r="N22" s="55">
        <f t="shared" si="15"/>
        <v>93342.06</v>
      </c>
      <c r="O22" s="56">
        <f t="shared" si="15"/>
        <v>112</v>
      </c>
      <c r="P22" s="56">
        <f t="shared" si="15"/>
        <v>6.8194444444444446</v>
      </c>
      <c r="Q22" s="55">
        <f t="shared" si="15"/>
        <v>75190.5</v>
      </c>
      <c r="R22" s="56">
        <f t="shared" si="15"/>
        <v>79</v>
      </c>
      <c r="S22" s="56">
        <f t="shared" si="15"/>
        <v>5.4930555555555554</v>
      </c>
      <c r="T22" s="55">
        <f t="shared" si="15"/>
        <v>61405.82</v>
      </c>
      <c r="U22" s="56">
        <f t="shared" si="15"/>
        <v>58</v>
      </c>
      <c r="V22" s="56">
        <f t="shared" si="15"/>
        <v>4.4861111111111107</v>
      </c>
    </row>
    <row r="23" spans="1:23" s="226" customFormat="1" outlineLevel="2">
      <c r="A23" s="165" t="s">
        <v>30</v>
      </c>
      <c r="B23" s="215">
        <f>200000</f>
        <v>200000</v>
      </c>
      <c r="C23" s="215">
        <f t="shared" si="12"/>
        <v>112259.98000000001</v>
      </c>
      <c r="D23" s="216">
        <f t="shared" ref="D23:D51" si="16">+C23-B23</f>
        <v>-87740.01999999999</v>
      </c>
      <c r="E23" s="217">
        <f t="shared" ref="E23:F30" si="17">+I23+L23+O23+R23+U23</f>
        <v>118</v>
      </c>
      <c r="F23" s="217">
        <f t="shared" si="17"/>
        <v>8.2013888888888893</v>
      </c>
      <c r="G23" s="218"/>
      <c r="H23" s="219"/>
      <c r="I23" s="220"/>
      <c r="J23" s="221"/>
      <c r="K23" s="222"/>
      <c r="L23" s="223"/>
      <c r="M23" s="224"/>
      <c r="N23" s="222">
        <v>37734.9</v>
      </c>
      <c r="O23" s="223">
        <v>42</v>
      </c>
      <c r="P23" s="224">
        <v>2.7569444444444446</v>
      </c>
      <c r="Q23" s="225">
        <v>42015.54</v>
      </c>
      <c r="R23" s="223">
        <v>44</v>
      </c>
      <c r="S23" s="224">
        <v>3.0694444444444446</v>
      </c>
      <c r="T23" s="225">
        <v>32509.54</v>
      </c>
      <c r="U23" s="223">
        <v>32</v>
      </c>
      <c r="V23" s="224">
        <v>2.375</v>
      </c>
      <c r="W23" s="310"/>
    </row>
    <row r="24" spans="1:23" s="226" customFormat="1" outlineLevel="2">
      <c r="A24" s="165" t="s">
        <v>117</v>
      </c>
      <c r="B24" s="215">
        <f t="shared" ref="B24:B25" si="18">200000</f>
        <v>200000</v>
      </c>
      <c r="C24" s="215">
        <f t="shared" si="12"/>
        <v>147903.56</v>
      </c>
      <c r="D24" s="216">
        <f t="shared" si="16"/>
        <v>-52096.44</v>
      </c>
      <c r="E24" s="217">
        <f t="shared" si="17"/>
        <v>152</v>
      </c>
      <c r="F24" s="217">
        <f t="shared" si="17"/>
        <v>9.5555555555555554</v>
      </c>
      <c r="G24" s="218"/>
      <c r="H24" s="219">
        <v>31940.16</v>
      </c>
      <c r="I24" s="220">
        <v>29</v>
      </c>
      <c r="J24" s="221">
        <v>1.0833333333333333</v>
      </c>
      <c r="K24" s="222">
        <v>23190.720000000001</v>
      </c>
      <c r="L24" s="223">
        <v>27</v>
      </c>
      <c r="M24" s="224">
        <v>1.6944444444444444</v>
      </c>
      <c r="N24" s="222">
        <v>30701.439999999999</v>
      </c>
      <c r="O24" s="223">
        <v>35</v>
      </c>
      <c r="P24" s="224">
        <v>2.2430555555555554</v>
      </c>
      <c r="Q24" s="225">
        <v>33174.959999999999</v>
      </c>
      <c r="R24" s="223">
        <v>35</v>
      </c>
      <c r="S24" s="224">
        <v>2.4236111111111112</v>
      </c>
      <c r="T24" s="225">
        <v>28896.28</v>
      </c>
      <c r="U24" s="223">
        <v>26</v>
      </c>
      <c r="V24" s="224">
        <v>2.1111111111111112</v>
      </c>
      <c r="W24" s="294"/>
    </row>
    <row r="25" spans="1:23" s="226" customFormat="1" outlineLevel="2">
      <c r="A25" s="165" t="s">
        <v>118</v>
      </c>
      <c r="B25" s="215">
        <f t="shared" si="18"/>
        <v>200000</v>
      </c>
      <c r="C25" s="215">
        <f t="shared" si="12"/>
        <v>84223.16</v>
      </c>
      <c r="D25" s="216">
        <f t="shared" si="16"/>
        <v>-115776.84</v>
      </c>
      <c r="E25" s="217">
        <f t="shared" si="17"/>
        <v>103</v>
      </c>
      <c r="F25" s="217">
        <f t="shared" si="17"/>
        <v>6.1527777777777786</v>
      </c>
      <c r="G25" s="218"/>
      <c r="H25" s="219">
        <v>25856.32</v>
      </c>
      <c r="I25" s="220">
        <v>28</v>
      </c>
      <c r="J25" s="221">
        <v>1.8888888888888888</v>
      </c>
      <c r="K25" s="222">
        <v>33461.120000000003</v>
      </c>
      <c r="L25" s="223">
        <v>40</v>
      </c>
      <c r="M25" s="224">
        <v>2.4444444444444446</v>
      </c>
      <c r="N25" s="222">
        <v>24905.72</v>
      </c>
      <c r="O25" s="223">
        <v>35</v>
      </c>
      <c r="P25" s="224">
        <v>1.8194444444444444</v>
      </c>
      <c r="Q25" s="225"/>
      <c r="R25" s="223"/>
      <c r="S25" s="224"/>
      <c r="T25" s="225"/>
      <c r="U25" s="223"/>
      <c r="V25" s="224"/>
      <c r="W25" s="294"/>
    </row>
    <row r="26" spans="1:23" s="226" customFormat="1" outlineLevel="2">
      <c r="A26" s="134" t="s">
        <v>33</v>
      </c>
      <c r="B26" s="94">
        <v>0</v>
      </c>
      <c r="C26" s="94">
        <f t="shared" si="12"/>
        <v>0</v>
      </c>
      <c r="D26" s="95">
        <f t="shared" si="16"/>
        <v>0</v>
      </c>
      <c r="E26" s="69">
        <f t="shared" si="17"/>
        <v>0</v>
      </c>
      <c r="F26" s="69">
        <f t="shared" si="17"/>
        <v>0</v>
      </c>
      <c r="G26" s="218"/>
      <c r="H26" s="219"/>
      <c r="I26" s="220"/>
      <c r="J26" s="221"/>
      <c r="K26" s="222"/>
      <c r="L26" s="223"/>
      <c r="M26" s="224"/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3" s="78" customFormat="1" outlineLevel="2">
      <c r="A27" s="134" t="s">
        <v>127</v>
      </c>
      <c r="B27" s="94">
        <v>0</v>
      </c>
      <c r="C27" s="94">
        <f t="shared" si="12"/>
        <v>0</v>
      </c>
      <c r="D27" s="95">
        <f t="shared" si="16"/>
        <v>0</v>
      </c>
      <c r="E27" s="69">
        <f t="shared" si="17"/>
        <v>0</v>
      </c>
      <c r="F27" s="69">
        <f t="shared" si="17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3" s="78" customFormat="1" outlineLevel="2">
      <c r="A28" s="134" t="s">
        <v>28</v>
      </c>
      <c r="B28" s="94">
        <v>0</v>
      </c>
      <c r="C28" s="94">
        <f t="shared" si="12"/>
        <v>0</v>
      </c>
      <c r="D28" s="95">
        <f t="shared" si="16"/>
        <v>0</v>
      </c>
      <c r="E28" s="69">
        <f t="shared" si="17"/>
        <v>0</v>
      </c>
      <c r="F28" s="69">
        <f t="shared" si="17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3" s="78" customFormat="1" outlineLevel="2">
      <c r="A29" s="134" t="s">
        <v>128</v>
      </c>
      <c r="B29" s="94">
        <v>0</v>
      </c>
      <c r="C29" s="94">
        <f t="shared" si="12"/>
        <v>0</v>
      </c>
      <c r="D29" s="95">
        <f t="shared" si="16"/>
        <v>0</v>
      </c>
      <c r="E29" s="69">
        <f t="shared" si="17"/>
        <v>0</v>
      </c>
      <c r="F29" s="69">
        <f t="shared" si="17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3" s="78" customFormat="1" outlineLevel="2">
      <c r="A30" s="134" t="s">
        <v>21</v>
      </c>
      <c r="B30" s="94">
        <v>0</v>
      </c>
      <c r="C30" s="94">
        <f t="shared" si="12"/>
        <v>0</v>
      </c>
      <c r="D30" s="95">
        <f t="shared" si="16"/>
        <v>0</v>
      </c>
      <c r="E30" s="69">
        <f t="shared" si="17"/>
        <v>0</v>
      </c>
      <c r="F30" s="69">
        <f t="shared" si="17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3">
      <c r="A31" s="50" t="s">
        <v>34</v>
      </c>
      <c r="B31" s="99">
        <f>SUM(B32:B39)</f>
        <v>170000</v>
      </c>
      <c r="C31" s="99">
        <f t="shared" ref="C31:D31" si="19">SUM(C32:C39)</f>
        <v>96626.04</v>
      </c>
      <c r="D31" s="99">
        <f t="shared" si="19"/>
        <v>-73373.960000000006</v>
      </c>
      <c r="E31" s="52">
        <f>SUM(E32:E39)</f>
        <v>124</v>
      </c>
      <c r="F31" s="52">
        <f>SUM(F32:F39)</f>
        <v>7.0590277777777786</v>
      </c>
      <c r="G31" s="37"/>
      <c r="H31" s="51">
        <f t="shared" ref="H31" si="20">SUM(H32:H39)</f>
        <v>21150.36</v>
      </c>
      <c r="I31" s="52">
        <f>SUM(I32:I39)</f>
        <v>28</v>
      </c>
      <c r="J31" s="52">
        <f>SUM(J32:J39)</f>
        <v>1.5451388888888888</v>
      </c>
      <c r="K31" s="51">
        <f t="shared" ref="K31" si="21">SUM(K32:K39)</f>
        <v>29420.58</v>
      </c>
      <c r="L31" s="52">
        <f>SUM(L32:L39)</f>
        <v>37</v>
      </c>
      <c r="M31" s="52">
        <f>SUM(M32:M39)</f>
        <v>2.1493055555555554</v>
      </c>
      <c r="N31" s="51">
        <f t="shared" ref="N31" si="22">SUM(N32:N39)</f>
        <v>4182.6400000000003</v>
      </c>
      <c r="O31" s="52">
        <f>SUM(O32:O39)</f>
        <v>6</v>
      </c>
      <c r="P31" s="52">
        <f>SUM(P32:P39)</f>
        <v>0.30555555555555558</v>
      </c>
      <c r="Q31" s="51">
        <f t="shared" ref="Q31" si="23">SUM(Q32:Q39)</f>
        <v>20294.82</v>
      </c>
      <c r="R31" s="52">
        <f>SUM(R32:R39)</f>
        <v>26</v>
      </c>
      <c r="S31" s="52">
        <f>SUM(S32:S39)</f>
        <v>1.4826388888888888</v>
      </c>
      <c r="T31" s="51">
        <f t="shared" ref="T31" si="24">SUM(T32:T39)</f>
        <v>21577.64</v>
      </c>
      <c r="U31" s="52">
        <f>SUM(U32:U39)</f>
        <v>27</v>
      </c>
      <c r="V31" s="52">
        <f>SUM(V32:V39)</f>
        <v>1.5763888888888888</v>
      </c>
    </row>
    <row r="32" spans="1:23" s="226" customFormat="1" outlineLevel="2">
      <c r="A32" s="165" t="s">
        <v>35</v>
      </c>
      <c r="B32" s="215">
        <f>200000*0.85</f>
        <v>170000</v>
      </c>
      <c r="C32" s="215">
        <f t="shared" si="12"/>
        <v>96626.04</v>
      </c>
      <c r="D32" s="216">
        <f t="shared" si="16"/>
        <v>-73373.960000000006</v>
      </c>
      <c r="E32" s="217">
        <f t="shared" ref="E32:F39" si="25">+I32+L32+O32+R32+U32</f>
        <v>124</v>
      </c>
      <c r="F32" s="217">
        <f t="shared" si="25"/>
        <v>7.0590277777777786</v>
      </c>
      <c r="G32" s="218"/>
      <c r="H32" s="219">
        <v>21150.36</v>
      </c>
      <c r="I32" s="220">
        <v>28</v>
      </c>
      <c r="J32" s="221">
        <v>1.5451388888888888</v>
      </c>
      <c r="K32" s="222">
        <v>29420.58</v>
      </c>
      <c r="L32" s="223">
        <v>37</v>
      </c>
      <c r="M32" s="224">
        <v>2.1493055555555554</v>
      </c>
      <c r="N32" s="222">
        <v>4182.6400000000003</v>
      </c>
      <c r="O32" s="223">
        <v>6</v>
      </c>
      <c r="P32" s="224">
        <v>0.30555555555555558</v>
      </c>
      <c r="Q32" s="225">
        <v>20294.82</v>
      </c>
      <c r="R32" s="223">
        <v>26</v>
      </c>
      <c r="S32" s="224">
        <v>1.4826388888888888</v>
      </c>
      <c r="T32" s="225">
        <v>21577.64</v>
      </c>
      <c r="U32" s="223">
        <v>27</v>
      </c>
      <c r="V32" s="224">
        <v>1.5763888888888888</v>
      </c>
      <c r="W32" s="294"/>
    </row>
    <row r="33" spans="1:23" s="78" customFormat="1" outlineLevel="2">
      <c r="A33" s="134" t="s">
        <v>36</v>
      </c>
      <c r="B33" s="94">
        <v>0</v>
      </c>
      <c r="C33" s="94">
        <f t="shared" si="12"/>
        <v>0</v>
      </c>
      <c r="D33" s="95">
        <f t="shared" si="16"/>
        <v>0</v>
      </c>
      <c r="E33" s="69">
        <f t="shared" si="25"/>
        <v>0</v>
      </c>
      <c r="F33" s="69">
        <f t="shared" si="25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3" s="78" customFormat="1" outlineLevel="2">
      <c r="A34" s="134" t="s">
        <v>25</v>
      </c>
      <c r="B34" s="94">
        <v>0</v>
      </c>
      <c r="C34" s="94">
        <f t="shared" si="12"/>
        <v>0</v>
      </c>
      <c r="D34" s="95">
        <f t="shared" si="16"/>
        <v>0</v>
      </c>
      <c r="E34" s="69">
        <f t="shared" si="25"/>
        <v>0</v>
      </c>
      <c r="F34" s="69">
        <f t="shared" si="25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3" s="78" customFormat="1" outlineLevel="2">
      <c r="A35" s="134" t="s">
        <v>26</v>
      </c>
      <c r="B35" s="94">
        <v>0</v>
      </c>
      <c r="C35" s="94">
        <f t="shared" si="12"/>
        <v>0</v>
      </c>
      <c r="D35" s="95">
        <f t="shared" si="16"/>
        <v>0</v>
      </c>
      <c r="E35" s="69">
        <f t="shared" si="25"/>
        <v>0</v>
      </c>
      <c r="F35" s="69">
        <f t="shared" si="25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3" s="78" customFormat="1" outlineLevel="2">
      <c r="A36" s="134" t="s">
        <v>37</v>
      </c>
      <c r="B36" s="94">
        <v>0</v>
      </c>
      <c r="C36" s="94">
        <f t="shared" si="12"/>
        <v>0</v>
      </c>
      <c r="D36" s="95">
        <f t="shared" si="16"/>
        <v>0</v>
      </c>
      <c r="E36" s="69">
        <f t="shared" si="25"/>
        <v>0</v>
      </c>
      <c r="F36" s="69">
        <f t="shared" si="25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3" s="78" customFormat="1" outlineLevel="2">
      <c r="A37" s="134" t="s">
        <v>28</v>
      </c>
      <c r="B37" s="94">
        <v>0</v>
      </c>
      <c r="C37" s="94">
        <f t="shared" si="12"/>
        <v>0</v>
      </c>
      <c r="D37" s="95">
        <f t="shared" si="16"/>
        <v>0</v>
      </c>
      <c r="E37" s="69">
        <f t="shared" si="25"/>
        <v>0</v>
      </c>
      <c r="F37" s="69">
        <f t="shared" si="25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3" s="78" customFormat="1" outlineLevel="2">
      <c r="A38" s="134" t="s">
        <v>20</v>
      </c>
      <c r="B38" s="94">
        <v>0</v>
      </c>
      <c r="C38" s="94">
        <f t="shared" si="12"/>
        <v>0</v>
      </c>
      <c r="D38" s="95">
        <f t="shared" si="16"/>
        <v>0</v>
      </c>
      <c r="E38" s="69">
        <f t="shared" si="25"/>
        <v>0</v>
      </c>
      <c r="F38" s="69">
        <f t="shared" si="25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3" s="78" customFormat="1" outlineLevel="2">
      <c r="A39" s="134" t="s">
        <v>21</v>
      </c>
      <c r="B39" s="94">
        <v>0</v>
      </c>
      <c r="C39" s="94">
        <f t="shared" si="12"/>
        <v>0</v>
      </c>
      <c r="D39" s="95">
        <f t="shared" si="16"/>
        <v>0</v>
      </c>
      <c r="E39" s="69">
        <f t="shared" si="25"/>
        <v>0</v>
      </c>
      <c r="F39" s="69">
        <f t="shared" si="25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3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6">SUM(H41:H42)</f>
        <v>0</v>
      </c>
      <c r="I40" s="60">
        <f t="shared" si="26"/>
        <v>0</v>
      </c>
      <c r="J40" s="60">
        <f t="shared" si="26"/>
        <v>0</v>
      </c>
      <c r="K40" s="59">
        <f t="shared" si="26"/>
        <v>0</v>
      </c>
      <c r="L40" s="60">
        <f t="shared" si="26"/>
        <v>0</v>
      </c>
      <c r="M40" s="60">
        <f t="shared" si="26"/>
        <v>0</v>
      </c>
      <c r="N40" s="59">
        <f t="shared" si="26"/>
        <v>0</v>
      </c>
      <c r="O40" s="60">
        <f t="shared" si="26"/>
        <v>0</v>
      </c>
      <c r="P40" s="60">
        <f t="shared" si="26"/>
        <v>0</v>
      </c>
      <c r="Q40" s="59">
        <f t="shared" si="26"/>
        <v>0</v>
      </c>
      <c r="R40" s="60">
        <f t="shared" si="26"/>
        <v>0</v>
      </c>
      <c r="S40" s="60">
        <f t="shared" si="26"/>
        <v>0</v>
      </c>
      <c r="T40" s="59">
        <f t="shared" si="26"/>
        <v>0</v>
      </c>
      <c r="U40" s="60">
        <f t="shared" si="26"/>
        <v>0</v>
      </c>
      <c r="V40" s="60">
        <f t="shared" si="26"/>
        <v>0</v>
      </c>
    </row>
    <row r="41" spans="1:23" outlineLevel="2">
      <c r="A41" s="134" t="s">
        <v>39</v>
      </c>
      <c r="B41" s="94">
        <v>0</v>
      </c>
      <c r="C41" s="94">
        <f t="shared" si="12"/>
        <v>0</v>
      </c>
      <c r="D41" s="95">
        <f t="shared" si="16"/>
        <v>0</v>
      </c>
      <c r="E41" s="69">
        <f t="shared" ref="E41:F42" si="27">+I41+L41+O41+R41+U41</f>
        <v>0</v>
      </c>
      <c r="F41" s="69">
        <f t="shared" si="27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3" s="78" customFormat="1" outlineLevel="2">
      <c r="A42" s="134" t="s">
        <v>36</v>
      </c>
      <c r="B42" s="94">
        <v>0</v>
      </c>
      <c r="C42" s="94">
        <f t="shared" si="12"/>
        <v>0</v>
      </c>
      <c r="D42" s="95">
        <f t="shared" si="16"/>
        <v>0</v>
      </c>
      <c r="E42" s="69">
        <f t="shared" si="27"/>
        <v>0</v>
      </c>
      <c r="F42" s="69">
        <f t="shared" si="27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3">
      <c r="A43" s="47" t="s">
        <v>40</v>
      </c>
      <c r="B43" s="101">
        <f>SUM(B44:B45)</f>
        <v>85000</v>
      </c>
      <c r="C43" s="101">
        <f>SUM(C44:C45)</f>
        <v>73813.599999999991</v>
      </c>
      <c r="D43" s="101">
        <f>SUM(D44:D45)</f>
        <v>-11186.400000000009</v>
      </c>
      <c r="E43" s="49">
        <f>SUM(E44:E45)</f>
        <v>96</v>
      </c>
      <c r="F43" s="49">
        <f>SUM(F44:F45)</f>
        <v>5.3923611111111116</v>
      </c>
      <c r="G43" s="37"/>
      <c r="H43" s="48">
        <f t="shared" ref="H43:V43" si="28">SUM(H44:H45)</f>
        <v>13403.46</v>
      </c>
      <c r="I43" s="49">
        <f t="shared" si="28"/>
        <v>15</v>
      </c>
      <c r="J43" s="49">
        <f t="shared" si="28"/>
        <v>0.97916666666666663</v>
      </c>
      <c r="K43" s="48">
        <f t="shared" si="28"/>
        <v>17871.28</v>
      </c>
      <c r="L43" s="49">
        <f t="shared" si="28"/>
        <v>30</v>
      </c>
      <c r="M43" s="49">
        <f t="shared" si="28"/>
        <v>1.3055555555555556</v>
      </c>
      <c r="N43" s="48">
        <f t="shared" si="28"/>
        <v>15875.02</v>
      </c>
      <c r="O43" s="49">
        <f t="shared" si="28"/>
        <v>16</v>
      </c>
      <c r="P43" s="49">
        <f t="shared" si="28"/>
        <v>1.1597222222222223</v>
      </c>
      <c r="Q43" s="48">
        <f t="shared" si="28"/>
        <v>13403.46</v>
      </c>
      <c r="R43" s="49">
        <f t="shared" si="28"/>
        <v>17</v>
      </c>
      <c r="S43" s="49">
        <f t="shared" si="28"/>
        <v>0.97916666666666663</v>
      </c>
      <c r="T43" s="48">
        <f t="shared" si="28"/>
        <v>13260.38</v>
      </c>
      <c r="U43" s="49">
        <f t="shared" si="28"/>
        <v>18</v>
      </c>
      <c r="V43" s="49">
        <f t="shared" si="28"/>
        <v>0.96875</v>
      </c>
    </row>
    <row r="44" spans="1:23" outlineLevel="2">
      <c r="A44" s="1" t="s">
        <v>41</v>
      </c>
      <c r="B44" s="97">
        <f>200000/2*0.85</f>
        <v>85000</v>
      </c>
      <c r="C44" s="92">
        <f t="shared" si="12"/>
        <v>73813.599999999991</v>
      </c>
      <c r="D44" s="93">
        <f t="shared" ref="D44:D45" si="29">+C44-B44</f>
        <v>-11186.400000000009</v>
      </c>
      <c r="E44" s="18">
        <f t="shared" ref="E44:F45" si="30">+I44+L44+O44+R44+U44</f>
        <v>96</v>
      </c>
      <c r="F44" s="18">
        <f t="shared" si="30"/>
        <v>5.3923611111111116</v>
      </c>
      <c r="G44" s="37"/>
      <c r="H44" s="181">
        <v>13403.46</v>
      </c>
      <c r="I44" s="182">
        <v>15</v>
      </c>
      <c r="J44" s="183">
        <v>0.97916666666666663</v>
      </c>
      <c r="K44" s="184">
        <v>17871.28</v>
      </c>
      <c r="L44" s="185">
        <v>30</v>
      </c>
      <c r="M44" s="186">
        <v>1.3055555555555556</v>
      </c>
      <c r="N44" s="184">
        <v>15875.02</v>
      </c>
      <c r="O44" s="185">
        <v>16</v>
      </c>
      <c r="P44" s="186">
        <v>1.1597222222222223</v>
      </c>
      <c r="Q44" s="187">
        <v>13403.46</v>
      </c>
      <c r="R44" s="185">
        <v>17</v>
      </c>
      <c r="S44" s="186">
        <v>0.97916666666666663</v>
      </c>
      <c r="T44" s="187">
        <v>13260.38</v>
      </c>
      <c r="U44" s="185">
        <v>18</v>
      </c>
      <c r="V44" s="186">
        <v>0.96875</v>
      </c>
      <c r="W44" s="295"/>
    </row>
    <row r="45" spans="1:23" s="78" customFormat="1" outlineLevel="2">
      <c r="A45" s="68" t="s">
        <v>36</v>
      </c>
      <c r="B45" s="94">
        <v>0</v>
      </c>
      <c r="C45" s="94">
        <f t="shared" si="12"/>
        <v>0</v>
      </c>
      <c r="D45" s="95">
        <f t="shared" si="29"/>
        <v>0</v>
      </c>
      <c r="E45" s="69">
        <f t="shared" si="30"/>
        <v>0</v>
      </c>
      <c r="F45" s="69">
        <f t="shared" si="30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3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31">SUM(H47:H48)</f>
        <v>0</v>
      </c>
      <c r="I46" s="200">
        <f t="shared" si="31"/>
        <v>0</v>
      </c>
      <c r="J46" s="200">
        <f t="shared" si="31"/>
        <v>0</v>
      </c>
      <c r="K46" s="211">
        <f t="shared" si="31"/>
        <v>0</v>
      </c>
      <c r="L46" s="200">
        <f t="shared" si="31"/>
        <v>0</v>
      </c>
      <c r="M46" s="200">
        <f t="shared" si="31"/>
        <v>0</v>
      </c>
      <c r="N46" s="211">
        <f t="shared" si="31"/>
        <v>0</v>
      </c>
      <c r="O46" s="200">
        <f t="shared" si="31"/>
        <v>0</v>
      </c>
      <c r="P46" s="200">
        <f t="shared" si="31"/>
        <v>0</v>
      </c>
      <c r="Q46" s="211">
        <f t="shared" si="31"/>
        <v>0</v>
      </c>
      <c r="R46" s="200">
        <f t="shared" si="31"/>
        <v>0</v>
      </c>
      <c r="S46" s="200">
        <f t="shared" si="31"/>
        <v>0</v>
      </c>
      <c r="T46" s="211">
        <f t="shared" si="31"/>
        <v>0</v>
      </c>
      <c r="U46" s="200">
        <f t="shared" si="31"/>
        <v>0</v>
      </c>
      <c r="V46" s="200">
        <f t="shared" si="31"/>
        <v>0</v>
      </c>
    </row>
    <row r="47" spans="1:23" s="78" customFormat="1" outlineLevel="2">
      <c r="A47" s="68" t="s">
        <v>43</v>
      </c>
      <c r="B47" s="94">
        <v>0</v>
      </c>
      <c r="C47" s="94">
        <f t="shared" si="12"/>
        <v>0</v>
      </c>
      <c r="D47" s="95">
        <f t="shared" ref="D47:D48" si="32">+C47-B47</f>
        <v>0</v>
      </c>
      <c r="E47" s="69">
        <f t="shared" ref="E47:F48" si="33">+I47+L47+O47+R47+U47</f>
        <v>0</v>
      </c>
      <c r="F47" s="69">
        <f t="shared" si="33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3" s="78" customFormat="1" outlineLevel="2">
      <c r="A48" s="68" t="s">
        <v>36</v>
      </c>
      <c r="B48" s="94">
        <v>0</v>
      </c>
      <c r="C48" s="94">
        <f t="shared" si="12"/>
        <v>0</v>
      </c>
      <c r="D48" s="95">
        <f t="shared" si="32"/>
        <v>0</v>
      </c>
      <c r="E48" s="69">
        <f t="shared" si="33"/>
        <v>0</v>
      </c>
      <c r="F48" s="69">
        <f t="shared" si="33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4">SUM(H50:H51)</f>
        <v>0</v>
      </c>
      <c r="I49" s="200">
        <f t="shared" si="34"/>
        <v>0</v>
      </c>
      <c r="J49" s="200">
        <f t="shared" si="34"/>
        <v>0</v>
      </c>
      <c r="K49" s="211">
        <f t="shared" si="34"/>
        <v>0</v>
      </c>
      <c r="L49" s="200">
        <f t="shared" si="34"/>
        <v>0</v>
      </c>
      <c r="M49" s="200">
        <f t="shared" si="34"/>
        <v>0</v>
      </c>
      <c r="N49" s="211">
        <f t="shared" si="34"/>
        <v>0</v>
      </c>
      <c r="O49" s="200">
        <f t="shared" si="34"/>
        <v>0</v>
      </c>
      <c r="P49" s="200">
        <f t="shared" si="34"/>
        <v>0</v>
      </c>
      <c r="Q49" s="211">
        <f t="shared" si="34"/>
        <v>0</v>
      </c>
      <c r="R49" s="200">
        <f t="shared" si="34"/>
        <v>0</v>
      </c>
      <c r="S49" s="200">
        <f t="shared" si="34"/>
        <v>0</v>
      </c>
      <c r="T49" s="211">
        <f t="shared" si="34"/>
        <v>0</v>
      </c>
      <c r="U49" s="200">
        <f t="shared" si="34"/>
        <v>0</v>
      </c>
      <c r="V49" s="200">
        <f t="shared" si="34"/>
        <v>0</v>
      </c>
    </row>
    <row r="50" spans="1:22" s="226" customFormat="1" outlineLevel="2">
      <c r="A50" s="315" t="s">
        <v>129</v>
      </c>
      <c r="B50" s="215">
        <v>0</v>
      </c>
      <c r="C50" s="215">
        <f t="shared" si="12"/>
        <v>0</v>
      </c>
      <c r="D50" s="216">
        <f t="shared" si="16"/>
        <v>0</v>
      </c>
      <c r="E50" s="217">
        <f t="shared" ref="E50:F51" si="35">+I50+L50+O50+R50+U50</f>
        <v>0</v>
      </c>
      <c r="F50" s="217">
        <f t="shared" si="35"/>
        <v>0</v>
      </c>
      <c r="G50" s="218"/>
      <c r="H50" s="219"/>
      <c r="I50" s="220"/>
      <c r="J50" s="221"/>
      <c r="K50" s="222"/>
      <c r="L50" s="223"/>
      <c r="M50" s="224"/>
      <c r="N50" s="222"/>
      <c r="O50" s="223"/>
      <c r="P50" s="224"/>
      <c r="Q50" s="225"/>
      <c r="R50" s="223"/>
      <c r="S50" s="224"/>
      <c r="T50" s="225"/>
      <c r="U50" s="223"/>
      <c r="V50" s="224"/>
    </row>
    <row r="51" spans="1:22" s="78" customFormat="1" outlineLevel="2">
      <c r="A51" s="68" t="s">
        <v>36</v>
      </c>
      <c r="B51" s="94">
        <v>0</v>
      </c>
      <c r="C51" s="94">
        <f t="shared" si="12"/>
        <v>0</v>
      </c>
      <c r="D51" s="95">
        <f t="shared" si="16"/>
        <v>0</v>
      </c>
      <c r="E51" s="69">
        <f t="shared" si="35"/>
        <v>0</v>
      </c>
      <c r="F51" s="69">
        <f t="shared" si="35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8">
      <c r="A52" s="138" t="s">
        <v>45</v>
      </c>
      <c r="B52" s="102">
        <f>+B49+B40+B31+B22+B13+B3+B46+B43</f>
        <v>2420000</v>
      </c>
      <c r="C52" s="102">
        <f>+C49+C40+C31+C22+C13+C3+C46+C43</f>
        <v>1778606.79</v>
      </c>
      <c r="D52" s="102">
        <f>+D49+D40+D31+D22+D13+D3+D46+D43</f>
        <v>-641393.21</v>
      </c>
      <c r="E52" s="90">
        <f>+E49+E40+E31+E22+E13+E3+E46+E43</f>
        <v>1705</v>
      </c>
      <c r="F52" s="90">
        <f>+F49+F40+F31+F22+F13+F3+F46+F43</f>
        <v>106.20763888888888</v>
      </c>
      <c r="G52" s="38"/>
      <c r="H52" s="196">
        <f t="shared" ref="H52:V52" si="36">+H49+H40+H31+H22+H13+H3+H46+H43</f>
        <v>337851.28</v>
      </c>
      <c r="I52" s="197">
        <f t="shared" si="36"/>
        <v>319</v>
      </c>
      <c r="J52" s="197">
        <f t="shared" si="36"/>
        <v>19.100694444444446</v>
      </c>
      <c r="K52" s="196">
        <f t="shared" si="36"/>
        <v>301705.11</v>
      </c>
      <c r="L52" s="197">
        <f t="shared" si="36"/>
        <v>302</v>
      </c>
      <c r="M52" s="197">
        <f t="shared" si="36"/>
        <v>18.934027777777779</v>
      </c>
      <c r="N52" s="196">
        <f t="shared" si="36"/>
        <v>302587.02</v>
      </c>
      <c r="O52" s="197">
        <f t="shared" si="36"/>
        <v>303</v>
      </c>
      <c r="P52" s="197">
        <f t="shared" si="36"/>
        <v>18.892361111111111</v>
      </c>
      <c r="Q52" s="196">
        <f t="shared" si="36"/>
        <v>445438.08</v>
      </c>
      <c r="R52" s="197">
        <f t="shared" si="36"/>
        <v>413</v>
      </c>
      <c r="S52" s="197">
        <f t="shared" si="36"/>
        <v>26.034027777777776</v>
      </c>
      <c r="T52" s="196">
        <f t="shared" si="36"/>
        <v>391025.3</v>
      </c>
      <c r="U52" s="197">
        <f t="shared" si="36"/>
        <v>368</v>
      </c>
      <c r="V52" s="197">
        <f t="shared" si="36"/>
        <v>23.246527777777779</v>
      </c>
    </row>
    <row r="54" spans="1:22" ht="18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>
      <c r="A55" s="87" t="s">
        <v>47</v>
      </c>
      <c r="B55" s="105">
        <f>+B56+B66+B75+B84+B93+B102+B96+B99</f>
        <v>1268980</v>
      </c>
      <c r="C55" s="105">
        <f>+C56+C66+C75+C84+C93+C102+C96+C99</f>
        <v>1167877</v>
      </c>
      <c r="D55" s="106">
        <f>+C55-B55</f>
        <v>-101103</v>
      </c>
    </row>
    <row r="56" spans="1:22" outlineLevel="1">
      <c r="A56" s="44" t="s">
        <v>48</v>
      </c>
      <c r="B56" s="107">
        <f>SUM(B57:B65)*1.34</f>
        <v>633820</v>
      </c>
      <c r="C56" s="107">
        <f>SUM(C57:C65)*1.34</f>
        <v>637237</v>
      </c>
      <c r="D56" s="108">
        <f>+C56-B56</f>
        <v>3417</v>
      </c>
    </row>
    <row r="57" spans="1:22" outlineLevel="2">
      <c r="A57" s="132" t="str">
        <f>+A4</f>
        <v>psych. s. 1 - NÁGLOVÁ</v>
      </c>
      <c r="B57" s="93">
        <v>60000</v>
      </c>
      <c r="C57" s="93">
        <f>+B57</f>
        <v>60000</v>
      </c>
      <c r="D57" s="109">
        <f t="shared" ref="D57:D131" si="37">+C57-B57</f>
        <v>0</v>
      </c>
      <c r="F57" s="16"/>
      <c r="G57" s="40"/>
    </row>
    <row r="58" spans="1:22" outlineLevel="2">
      <c r="A58" s="132" t="str">
        <f t="shared" ref="A58:A65" si="38">+A5</f>
        <v>psych. s. 2 - HAJASOVÁ</v>
      </c>
      <c r="B58" s="93">
        <v>47000</v>
      </c>
      <c r="C58" s="93">
        <v>49550</v>
      </c>
      <c r="D58" s="109">
        <f t="shared" si="37"/>
        <v>2550</v>
      </c>
      <c r="F58" s="16"/>
      <c r="G58" s="40"/>
    </row>
    <row r="59" spans="1:22" outlineLevel="2">
      <c r="A59" s="132" t="str">
        <f t="shared" si="38"/>
        <v>psych. s. 3 -  KAŠPÁRKOVÁ/Pekárová</v>
      </c>
      <c r="B59" s="93">
        <v>65000</v>
      </c>
      <c r="C59" s="93">
        <v>65000</v>
      </c>
      <c r="D59" s="109">
        <f t="shared" si="37"/>
        <v>0</v>
      </c>
      <c r="F59" s="16"/>
      <c r="G59" s="40"/>
    </row>
    <row r="60" spans="1:22" s="164" customFormat="1" outlineLevel="2">
      <c r="A60" s="134" t="str">
        <f t="shared" si="38"/>
        <v>psychiatr 1</v>
      </c>
      <c r="B60" s="155">
        <v>0</v>
      </c>
      <c r="C60" s="155">
        <v>0</v>
      </c>
      <c r="D60" s="156">
        <f t="shared" si="37"/>
        <v>0</v>
      </c>
      <c r="E60" s="157"/>
      <c r="F60" s="157"/>
      <c r="G60" s="158"/>
      <c r="H60" s="159"/>
      <c r="I60" s="160"/>
      <c r="J60" s="160"/>
      <c r="K60" s="159"/>
      <c r="L60" s="161"/>
      <c r="M60" s="162"/>
      <c r="N60" s="159"/>
      <c r="O60" s="161"/>
      <c r="P60" s="163"/>
      <c r="Q60" s="159"/>
      <c r="R60" s="161"/>
      <c r="S60" s="163"/>
      <c r="T60" s="159"/>
      <c r="U60" s="161"/>
      <c r="V60" s="163"/>
    </row>
    <row r="61" spans="1:22" outlineLevel="2">
      <c r="A61" s="132" t="str">
        <f t="shared" si="38"/>
        <v>psychiatr - GÁBEL 0,2</v>
      </c>
      <c r="B61" s="93">
        <v>16000</v>
      </c>
      <c r="C61" s="93">
        <f>+B61</f>
        <v>16000</v>
      </c>
      <c r="D61" s="109">
        <f t="shared" si="37"/>
        <v>0</v>
      </c>
      <c r="F61" s="16"/>
      <c r="G61" s="40"/>
      <c r="J61" s="82"/>
    </row>
    <row r="62" spans="1:22" outlineLevel="2">
      <c r="A62" s="132" t="str">
        <f t="shared" si="38"/>
        <v>psychiatr - PFEIFFER 0,5</v>
      </c>
      <c r="B62" s="93">
        <v>85000</v>
      </c>
      <c r="C62" s="93">
        <f>+B62</f>
        <v>85000</v>
      </c>
      <c r="D62" s="109">
        <f t="shared" si="37"/>
        <v>0</v>
      </c>
      <c r="F62" s="16"/>
      <c r="G62" s="40"/>
      <c r="J62" s="82"/>
    </row>
    <row r="63" spans="1:22" outlineLevel="2">
      <c r="A63" s="132" t="str">
        <f t="shared" si="38"/>
        <v>psychiatr - Dr. Suchánková 0,5</v>
      </c>
      <c r="B63" s="166">
        <v>160000</v>
      </c>
      <c r="C63" s="93">
        <f>+B63</f>
        <v>160000</v>
      </c>
      <c r="D63" s="109">
        <f t="shared" si="37"/>
        <v>0</v>
      </c>
      <c r="F63" s="16"/>
      <c r="G63" s="40"/>
      <c r="J63" s="82"/>
    </row>
    <row r="64" spans="1:22" s="175" customFormat="1" outlineLevel="2">
      <c r="A64" s="132" t="str">
        <f t="shared" si="38"/>
        <v>psycholog 1 - Dr. Balko 0,2</v>
      </c>
      <c r="B64" s="166">
        <v>25000</v>
      </c>
      <c r="C64" s="166">
        <f>+B64</f>
        <v>25000</v>
      </c>
      <c r="D64" s="167">
        <f t="shared" si="37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>
      <c r="A65" s="132" t="str">
        <f t="shared" si="38"/>
        <v>psycholog 2 - Lichtenbergová</v>
      </c>
      <c r="B65" s="166">
        <v>15000</v>
      </c>
      <c r="C65" s="155">
        <f>+B65</f>
        <v>15000</v>
      </c>
      <c r="D65" s="156">
        <f t="shared" si="37"/>
        <v>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>
      <c r="A66" s="58" t="s">
        <v>52</v>
      </c>
      <c r="B66" s="111">
        <f>SUM(B67:B74)*1.34</f>
        <v>154100</v>
      </c>
      <c r="C66" s="111">
        <f>SUM(C67:C74)*1.34</f>
        <v>154100</v>
      </c>
      <c r="D66" s="112">
        <f>+C66-B66</f>
        <v>0</v>
      </c>
      <c r="F66" s="16"/>
      <c r="G66" s="40"/>
      <c r="J66" s="82"/>
    </row>
    <row r="67" spans="1:22" outlineLevel="2">
      <c r="A67" s="133" t="s">
        <v>23</v>
      </c>
      <c r="B67" s="93">
        <v>55000</v>
      </c>
      <c r="C67" s="93">
        <f>+B67</f>
        <v>55000</v>
      </c>
      <c r="D67" s="109">
        <f t="shared" si="37"/>
        <v>0</v>
      </c>
      <c r="F67" s="16"/>
      <c r="G67" s="40"/>
      <c r="J67" s="82"/>
    </row>
    <row r="68" spans="1:22" s="175" customFormat="1" outlineLevel="2">
      <c r="A68" s="165" t="s">
        <v>54</v>
      </c>
      <c r="B68" s="166">
        <v>60000</v>
      </c>
      <c r="C68" s="166">
        <f>+B68</f>
        <v>60000</v>
      </c>
      <c r="D68" s="167">
        <f t="shared" si="37"/>
        <v>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>
      <c r="A69" s="134" t="s">
        <v>25</v>
      </c>
      <c r="B69" s="155">
        <v>0</v>
      </c>
      <c r="C69" s="155">
        <v>0</v>
      </c>
      <c r="D69" s="156">
        <f t="shared" si="37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>
      <c r="A70" s="134" t="s">
        <v>26</v>
      </c>
      <c r="B70" s="155">
        <v>0</v>
      </c>
      <c r="C70" s="155">
        <v>0</v>
      </c>
      <c r="D70" s="156">
        <f t="shared" si="37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>
      <c r="A71" s="134" t="s">
        <v>27</v>
      </c>
      <c r="B71" s="155">
        <v>0</v>
      </c>
      <c r="C71" s="155">
        <v>0</v>
      </c>
      <c r="D71" s="156">
        <f t="shared" si="37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>
      <c r="A72" s="134" t="s">
        <v>28</v>
      </c>
      <c r="B72" s="155">
        <v>0</v>
      </c>
      <c r="C72" s="155">
        <v>0</v>
      </c>
      <c r="D72" s="156">
        <f t="shared" si="37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>
      <c r="A73" s="134" t="s">
        <v>20</v>
      </c>
      <c r="B73" s="155">
        <v>0</v>
      </c>
      <c r="C73" s="155">
        <v>0</v>
      </c>
      <c r="D73" s="156">
        <f t="shared" si="37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>
      <c r="A74" s="134" t="s">
        <v>21</v>
      </c>
      <c r="B74" s="95">
        <v>0</v>
      </c>
      <c r="C74" s="95">
        <v>0</v>
      </c>
      <c r="D74" s="110">
        <f t="shared" si="37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>
      <c r="A75" s="57" t="s">
        <v>58</v>
      </c>
      <c r="B75" s="113">
        <f>SUM(B76:B83)*1.34</f>
        <v>238520</v>
      </c>
      <c r="C75" s="113">
        <f>SUM(C76:C83)*1.34</f>
        <v>247230.00000000003</v>
      </c>
      <c r="D75" s="114">
        <f>+C75-B75</f>
        <v>8710.0000000000291</v>
      </c>
      <c r="F75" s="16"/>
      <c r="G75" s="40"/>
      <c r="J75" s="82"/>
    </row>
    <row r="76" spans="1:22" outlineLevel="2">
      <c r="A76" s="165" t="s">
        <v>30</v>
      </c>
      <c r="B76" s="93">
        <v>65000</v>
      </c>
      <c r="C76" s="93">
        <v>66500</v>
      </c>
      <c r="D76" s="109">
        <f t="shared" si="37"/>
        <v>1500</v>
      </c>
      <c r="F76" s="16"/>
      <c r="G76" s="40"/>
      <c r="J76" s="83"/>
    </row>
    <row r="77" spans="1:22" s="175" customFormat="1" outlineLevel="2">
      <c r="A77" s="165" t="s">
        <v>117</v>
      </c>
      <c r="B77" s="166">
        <v>58000</v>
      </c>
      <c r="C77" s="166">
        <v>61000</v>
      </c>
      <c r="D77" s="167">
        <f t="shared" si="37"/>
        <v>3000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>
      <c r="A78" s="165" t="s">
        <v>118</v>
      </c>
      <c r="B78" s="166">
        <v>55000</v>
      </c>
      <c r="C78" s="166">
        <v>57000</v>
      </c>
      <c r="D78" s="167">
        <f t="shared" si="37"/>
        <v>2000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>
      <c r="A79" s="134" t="s">
        <v>33</v>
      </c>
      <c r="B79" s="155">
        <v>0</v>
      </c>
      <c r="C79" s="155">
        <v>0</v>
      </c>
      <c r="D79" s="156">
        <f t="shared" si="37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>
      <c r="A80" s="134" t="s">
        <v>27</v>
      </c>
      <c r="B80" s="155">
        <v>0</v>
      </c>
      <c r="C80" s="155">
        <v>0</v>
      </c>
      <c r="D80" s="156">
        <f t="shared" si="37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>
      <c r="A81" s="134" t="s">
        <v>28</v>
      </c>
      <c r="B81" s="95">
        <v>0</v>
      </c>
      <c r="C81" s="95">
        <v>0</v>
      </c>
      <c r="D81" s="110">
        <f t="shared" si="37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64" customFormat="1" outlineLevel="2">
      <c r="A82" s="134" t="s">
        <v>20</v>
      </c>
      <c r="B82" s="155">
        <v>0</v>
      </c>
      <c r="C82" s="155">
        <v>0</v>
      </c>
      <c r="D82" s="156">
        <f t="shared" si="37"/>
        <v>0</v>
      </c>
      <c r="E82" s="157"/>
      <c r="F82" s="157"/>
      <c r="G82" s="158"/>
      <c r="H82" s="159"/>
      <c r="I82" s="160"/>
      <c r="J82" s="296"/>
      <c r="K82" s="159"/>
      <c r="L82" s="161"/>
      <c r="M82" s="162"/>
      <c r="N82" s="159"/>
      <c r="O82" s="161"/>
      <c r="P82" s="163"/>
      <c r="Q82" s="159"/>
      <c r="R82" s="161"/>
      <c r="S82" s="163"/>
      <c r="T82" s="159"/>
      <c r="U82" s="161"/>
      <c r="V82" s="163"/>
    </row>
    <row r="83" spans="1:22" s="78" customFormat="1" outlineLevel="2">
      <c r="A83" s="134" t="s">
        <v>21</v>
      </c>
      <c r="B83" s="95">
        <v>0</v>
      </c>
      <c r="C83" s="95">
        <v>0</v>
      </c>
      <c r="D83" s="110">
        <f t="shared" si="37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>
      <c r="A84" s="50" t="s">
        <v>60</v>
      </c>
      <c r="B84" s="115">
        <f>SUM(B85:B92)*1.34</f>
        <v>93800</v>
      </c>
      <c r="C84" s="115">
        <f>SUM(C85:C92)*1.34</f>
        <v>95810</v>
      </c>
      <c r="D84" s="116">
        <f>+C84-B84</f>
        <v>2010</v>
      </c>
      <c r="F84" s="16"/>
      <c r="G84" s="40"/>
    </row>
    <row r="85" spans="1:22" s="175" customFormat="1" outlineLevel="2">
      <c r="A85" s="165" t="s">
        <v>130</v>
      </c>
      <c r="B85" s="166">
        <v>70000</v>
      </c>
      <c r="C85" s="166">
        <v>71500</v>
      </c>
      <c r="D85" s="167">
        <f t="shared" si="37"/>
        <v>1500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78" customFormat="1" outlineLevel="2">
      <c r="A86" s="134" t="s">
        <v>36</v>
      </c>
      <c r="B86" s="95">
        <v>0</v>
      </c>
      <c r="C86" s="95">
        <v>0</v>
      </c>
      <c r="D86" s="110">
        <f t="shared" si="37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>
      <c r="A87" s="134" t="s">
        <v>25</v>
      </c>
      <c r="B87" s="95">
        <v>0</v>
      </c>
      <c r="C87" s="95">
        <v>0</v>
      </c>
      <c r="D87" s="110">
        <f t="shared" si="37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>
      <c r="A88" s="134" t="s">
        <v>26</v>
      </c>
      <c r="B88" s="95">
        <v>0</v>
      </c>
      <c r="C88" s="95">
        <v>0</v>
      </c>
      <c r="D88" s="110">
        <f t="shared" si="37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>
      <c r="A89" s="134" t="s">
        <v>37</v>
      </c>
      <c r="B89" s="95">
        <v>0</v>
      </c>
      <c r="C89" s="95">
        <v>0</v>
      </c>
      <c r="D89" s="110">
        <f t="shared" si="37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>
      <c r="A90" s="134" t="s">
        <v>28</v>
      </c>
      <c r="B90" s="95">
        <v>0</v>
      </c>
      <c r="C90" s="95">
        <v>0</v>
      </c>
      <c r="D90" s="110">
        <f t="shared" si="37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78" customFormat="1" outlineLevel="2">
      <c r="A91" s="134" t="s">
        <v>20</v>
      </c>
      <c r="B91" s="95">
        <v>0</v>
      </c>
      <c r="C91" s="95">
        <v>0</v>
      </c>
      <c r="D91" s="110">
        <f t="shared" si="37"/>
        <v>0</v>
      </c>
      <c r="E91" s="79"/>
      <c r="F91" s="79"/>
      <c r="G91" s="80"/>
      <c r="H91" s="81"/>
      <c r="I91" s="82"/>
      <c r="J91" s="83"/>
      <c r="K91" s="81"/>
      <c r="L91" s="84"/>
      <c r="M91" s="85"/>
      <c r="N91" s="81"/>
      <c r="O91" s="84"/>
      <c r="P91" s="86"/>
      <c r="Q91" s="81"/>
      <c r="R91" s="84"/>
      <c r="S91" s="86"/>
      <c r="T91" s="81"/>
      <c r="U91" s="84"/>
      <c r="V91" s="86"/>
    </row>
    <row r="92" spans="1:22" s="78" customFormat="1" outlineLevel="2">
      <c r="A92" s="134" t="s">
        <v>21</v>
      </c>
      <c r="B92" s="95">
        <v>0</v>
      </c>
      <c r="C92" s="95">
        <v>0</v>
      </c>
      <c r="D92" s="110">
        <f t="shared" si="37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>
      <c r="A93" s="135" t="s">
        <v>62</v>
      </c>
      <c r="B93" s="117">
        <f>SUM(B94:B95)*1.34</f>
        <v>96480</v>
      </c>
      <c r="C93" s="117">
        <f>SUM(C94:C95)*1.34</f>
        <v>0</v>
      </c>
      <c r="D93" s="118">
        <f t="shared" si="37"/>
        <v>-96480</v>
      </c>
      <c r="F93" s="16"/>
      <c r="G93" s="40"/>
    </row>
    <row r="94" spans="1:22" outlineLevel="2">
      <c r="A94" s="134" t="s">
        <v>39</v>
      </c>
      <c r="B94" s="155">
        <v>72000</v>
      </c>
      <c r="C94" s="155">
        <v>0</v>
      </c>
      <c r="D94" s="156">
        <f t="shared" si="37"/>
        <v>-72000</v>
      </c>
      <c r="F94" s="16"/>
      <c r="G94" s="40"/>
    </row>
    <row r="95" spans="1:22" s="78" customFormat="1" outlineLevel="2">
      <c r="A95" s="134" t="s">
        <v>36</v>
      </c>
      <c r="B95" s="95">
        <v>0</v>
      </c>
      <c r="C95" s="95">
        <v>0</v>
      </c>
      <c r="D95" s="110">
        <f t="shared" si="37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>
      <c r="A96" s="136" t="s">
        <v>63</v>
      </c>
      <c r="B96" s="120">
        <f>SUM(B97:B98)*1.34</f>
        <v>33500</v>
      </c>
      <c r="C96" s="120">
        <f>SUM(C97:C98)*1.34</f>
        <v>33500</v>
      </c>
      <c r="D96" s="121">
        <f t="shared" si="37"/>
        <v>0</v>
      </c>
      <c r="F96" s="16"/>
      <c r="G96" s="40"/>
    </row>
    <row r="97" spans="1:22" outlineLevel="2">
      <c r="A97" s="1" t="s">
        <v>41</v>
      </c>
      <c r="B97" s="93">
        <v>25000</v>
      </c>
      <c r="C97" s="93">
        <v>25000</v>
      </c>
      <c r="D97" s="119">
        <f t="shared" si="37"/>
        <v>0</v>
      </c>
      <c r="F97" s="16"/>
      <c r="G97" s="40"/>
    </row>
    <row r="98" spans="1:22" s="78" customFormat="1" outlineLevel="2">
      <c r="A98" s="68" t="s">
        <v>36</v>
      </c>
      <c r="B98" s="95">
        <v>0</v>
      </c>
      <c r="C98" s="95">
        <v>0</v>
      </c>
      <c r="D98" s="110">
        <f t="shared" si="37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7"/>
        <v>0</v>
      </c>
      <c r="F99" s="16"/>
      <c r="G99" s="40"/>
    </row>
    <row r="100" spans="1:22" s="78" customFormat="1" outlineLevel="2">
      <c r="A100" s="68" t="s">
        <v>43</v>
      </c>
      <c r="B100" s="95">
        <v>0</v>
      </c>
      <c r="C100" s="95">
        <v>0</v>
      </c>
      <c r="D100" s="110">
        <f t="shared" si="37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>
      <c r="A101" s="68" t="s">
        <v>36</v>
      </c>
      <c r="B101" s="95">
        <v>0</v>
      </c>
      <c r="C101" s="95">
        <v>0</v>
      </c>
      <c r="D101" s="110">
        <f t="shared" si="37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37"/>
        <v>-18760</v>
      </c>
      <c r="F102" s="16"/>
      <c r="G102" s="40"/>
    </row>
    <row r="103" spans="1:22" s="226" customFormat="1" outlineLevel="2">
      <c r="A103" s="315" t="str">
        <f>+A50</f>
        <v>psych. s 1  - Skokanová</v>
      </c>
      <c r="B103" s="216">
        <v>14000</v>
      </c>
      <c r="C103" s="216">
        <v>0</v>
      </c>
      <c r="D103" s="119">
        <f t="shared" si="37"/>
        <v>-14000</v>
      </c>
      <c r="E103" s="316"/>
      <c r="F103" s="316"/>
      <c r="G103" s="317"/>
      <c r="H103" s="318"/>
      <c r="I103" s="319"/>
      <c r="J103" s="320"/>
      <c r="K103" s="318"/>
      <c r="L103" s="321"/>
      <c r="M103" s="322"/>
      <c r="N103" s="318"/>
      <c r="O103" s="321"/>
      <c r="P103" s="323"/>
      <c r="Q103" s="318"/>
      <c r="R103" s="321"/>
      <c r="S103" s="323"/>
      <c r="T103" s="318"/>
      <c r="U103" s="321"/>
      <c r="V103" s="323"/>
    </row>
    <row r="104" spans="1:22" s="78" customFormat="1" outlineLevel="2">
      <c r="A104" s="68" t="s">
        <v>36</v>
      </c>
      <c r="B104" s="95">
        <v>0</v>
      </c>
      <c r="C104" s="95">
        <v>0</v>
      </c>
      <c r="D104" s="110">
        <f t="shared" si="37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>
      <c r="A105" s="89" t="s">
        <v>66</v>
      </c>
      <c r="B105" s="122">
        <f>SUM(B106:B113)</f>
        <v>363000</v>
      </c>
      <c r="C105" s="122">
        <f>SUM(C106:C113)</f>
        <v>266791.01849999995</v>
      </c>
      <c r="D105" s="123">
        <f>+C105-B105</f>
        <v>-96208.981500000053</v>
      </c>
    </row>
    <row r="106" spans="1:22" outlineLevel="1">
      <c r="A106" s="44" t="s">
        <v>67</v>
      </c>
      <c r="B106" s="141">
        <f>+B3*0.15</f>
        <v>174750</v>
      </c>
      <c r="C106" s="141">
        <f>+C3*0.15</f>
        <v>155852.91149999999</v>
      </c>
      <c r="D106" s="142">
        <f t="shared" si="37"/>
        <v>-18897.088500000013</v>
      </c>
    </row>
    <row r="107" spans="1:22" outlineLevel="1">
      <c r="A107" s="58" t="s">
        <v>68</v>
      </c>
      <c r="B107" s="141">
        <f>+B13*0.15</f>
        <v>60000</v>
      </c>
      <c r="C107" s="141">
        <f>+C13*0.15</f>
        <v>33714.155999999995</v>
      </c>
      <c r="D107" s="142">
        <f t="shared" si="37"/>
        <v>-26285.844000000005</v>
      </c>
    </row>
    <row r="108" spans="1:22" outlineLevel="1">
      <c r="A108" s="57" t="s">
        <v>69</v>
      </c>
      <c r="B108" s="141">
        <f>+B22*0.15</f>
        <v>90000</v>
      </c>
      <c r="C108" s="141">
        <f>+C22*0.15</f>
        <v>51658.004999999997</v>
      </c>
      <c r="D108" s="142">
        <f t="shared" si="37"/>
        <v>-38341.995000000003</v>
      </c>
    </row>
    <row r="109" spans="1:22" outlineLevel="1">
      <c r="A109" s="50" t="s">
        <v>70</v>
      </c>
      <c r="B109" s="141">
        <f>+B31*0.15</f>
        <v>25500</v>
      </c>
      <c r="C109" s="141">
        <f>+C31*0.15</f>
        <v>14493.905999999999</v>
      </c>
      <c r="D109" s="142">
        <f t="shared" si="37"/>
        <v>-11006.094000000001</v>
      </c>
    </row>
    <row r="110" spans="1:22" outlineLevel="1">
      <c r="A110" s="67" t="s">
        <v>71</v>
      </c>
      <c r="B110" s="141">
        <f>+B40*0.15</f>
        <v>0</v>
      </c>
      <c r="C110" s="141">
        <f>+C40*0.15</f>
        <v>0</v>
      </c>
      <c r="D110" s="142">
        <f t="shared" si="37"/>
        <v>0</v>
      </c>
    </row>
    <row r="111" spans="1:22" outlineLevel="1">
      <c r="A111" s="47" t="s">
        <v>72</v>
      </c>
      <c r="B111" s="141">
        <f>+B43*0.15</f>
        <v>12750</v>
      </c>
      <c r="C111" s="141">
        <f>+C43*0.15</f>
        <v>11072.039999999999</v>
      </c>
      <c r="D111" s="142">
        <f t="shared" si="37"/>
        <v>-1677.9600000000009</v>
      </c>
    </row>
    <row r="112" spans="1:22" outlineLevel="1">
      <c r="A112" s="198" t="s">
        <v>73</v>
      </c>
      <c r="B112" s="141">
        <f>+B46*0.15</f>
        <v>0</v>
      </c>
      <c r="C112" s="141">
        <f>+C46*0.15</f>
        <v>0</v>
      </c>
      <c r="D112" s="142">
        <f t="shared" si="37"/>
        <v>0</v>
      </c>
    </row>
    <row r="113" spans="1:4" outlineLevel="1">
      <c r="A113" s="198" t="s">
        <v>74</v>
      </c>
      <c r="B113" s="141">
        <f>+B49*0.15</f>
        <v>0</v>
      </c>
      <c r="C113" s="141">
        <f>+C49*0.15</f>
        <v>0</v>
      </c>
      <c r="D113" s="142">
        <f t="shared" si="37"/>
        <v>0</v>
      </c>
    </row>
    <row r="114" spans="1:4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>
      <c r="A115" s="44" t="s">
        <v>76</v>
      </c>
      <c r="B115" s="111">
        <v>30000</v>
      </c>
      <c r="C115" s="111">
        <f>+B115</f>
        <v>30000</v>
      </c>
      <c r="D115" s="112">
        <f t="shared" si="37"/>
        <v>0</v>
      </c>
    </row>
    <row r="116" spans="1:4" outlineLevel="1">
      <c r="A116" s="58" t="s">
        <v>77</v>
      </c>
      <c r="B116" s="111">
        <v>20000</v>
      </c>
      <c r="C116" s="111">
        <f t="shared" ref="C116:C122" si="39">+B116</f>
        <v>20000</v>
      </c>
      <c r="D116" s="112">
        <f t="shared" si="37"/>
        <v>0</v>
      </c>
    </row>
    <row r="117" spans="1:4" outlineLevel="1">
      <c r="A117" s="57" t="s">
        <v>78</v>
      </c>
      <c r="B117" s="111">
        <v>20000</v>
      </c>
      <c r="C117" s="111">
        <f t="shared" si="39"/>
        <v>20000</v>
      </c>
      <c r="D117" s="111">
        <f t="shared" si="37"/>
        <v>0</v>
      </c>
    </row>
    <row r="118" spans="1:4" outlineLevel="1">
      <c r="A118" s="50" t="s">
        <v>79</v>
      </c>
      <c r="B118" s="111">
        <v>0</v>
      </c>
      <c r="C118" s="111">
        <f t="shared" si="39"/>
        <v>0</v>
      </c>
      <c r="D118" s="111">
        <f t="shared" si="37"/>
        <v>0</v>
      </c>
    </row>
    <row r="119" spans="1:4" outlineLevel="1">
      <c r="A119" s="67" t="s">
        <v>80</v>
      </c>
      <c r="B119" s="111">
        <v>0</v>
      </c>
      <c r="C119" s="111">
        <f t="shared" si="39"/>
        <v>0</v>
      </c>
      <c r="D119" s="111">
        <f t="shared" si="37"/>
        <v>0</v>
      </c>
    </row>
    <row r="120" spans="1:4" outlineLevel="1">
      <c r="A120" s="47" t="s">
        <v>81</v>
      </c>
      <c r="B120" s="111">
        <v>0</v>
      </c>
      <c r="C120" s="111">
        <f t="shared" si="39"/>
        <v>0</v>
      </c>
      <c r="D120" s="111">
        <f t="shared" si="37"/>
        <v>0</v>
      </c>
    </row>
    <row r="121" spans="1:4" outlineLevel="1">
      <c r="A121" s="198" t="s">
        <v>82</v>
      </c>
      <c r="B121" s="111">
        <v>0</v>
      </c>
      <c r="C121" s="111">
        <f t="shared" si="39"/>
        <v>0</v>
      </c>
      <c r="D121" s="111">
        <f t="shared" si="37"/>
        <v>0</v>
      </c>
    </row>
    <row r="122" spans="1:4" outlineLevel="1">
      <c r="A122" s="198" t="s">
        <v>83</v>
      </c>
      <c r="B122" s="111">
        <v>0</v>
      </c>
      <c r="C122" s="111">
        <f t="shared" si="39"/>
        <v>0</v>
      </c>
      <c r="D122" s="111">
        <f t="shared" si="37"/>
        <v>0</v>
      </c>
    </row>
    <row r="123" spans="1:4">
      <c r="A123" s="150" t="s">
        <v>84</v>
      </c>
      <c r="B123" s="151">
        <f>SUM(B124:B131)</f>
        <v>242000</v>
      </c>
      <c r="C123" s="151">
        <f t="shared" ref="C123" si="40">SUM(C124:C131)</f>
        <v>177860.679</v>
      </c>
      <c r="D123" s="151">
        <f>+C123-B123</f>
        <v>-64139.320999999996</v>
      </c>
    </row>
    <row r="124" spans="1:4" outlineLevel="1">
      <c r="A124" s="44" t="s">
        <v>85</v>
      </c>
      <c r="B124" s="152">
        <f>+B3/10</f>
        <v>116500</v>
      </c>
      <c r="C124" s="152">
        <f>+C3/10</f>
        <v>103901.94100000001</v>
      </c>
      <c r="D124" s="153">
        <f t="shared" si="37"/>
        <v>-12598.058999999994</v>
      </c>
    </row>
    <row r="125" spans="1:4" outlineLevel="1">
      <c r="A125" s="58" t="s">
        <v>86</v>
      </c>
      <c r="B125" s="152">
        <f>+B13/10</f>
        <v>40000</v>
      </c>
      <c r="C125" s="152">
        <f>+C13/10</f>
        <v>22476.103999999999</v>
      </c>
      <c r="D125" s="153">
        <f t="shared" si="37"/>
        <v>-17523.896000000001</v>
      </c>
    </row>
    <row r="126" spans="1:4" outlineLevel="1">
      <c r="A126" s="57" t="s">
        <v>87</v>
      </c>
      <c r="B126" s="152">
        <f>+B22/10</f>
        <v>60000</v>
      </c>
      <c r="C126" s="152">
        <f>+C22/10</f>
        <v>34438.67</v>
      </c>
      <c r="D126" s="152">
        <f t="shared" si="37"/>
        <v>-25561.33</v>
      </c>
    </row>
    <row r="127" spans="1:4" outlineLevel="1">
      <c r="A127" s="50" t="s">
        <v>88</v>
      </c>
      <c r="B127" s="152">
        <f>+B31/10</f>
        <v>17000</v>
      </c>
      <c r="C127" s="152">
        <f>+C31/10</f>
        <v>9662.6039999999994</v>
      </c>
      <c r="D127" s="152">
        <f t="shared" si="37"/>
        <v>-7337.3960000000006</v>
      </c>
    </row>
    <row r="128" spans="1:4" outlineLevel="1">
      <c r="A128" s="67" t="s">
        <v>89</v>
      </c>
      <c r="B128" s="152">
        <f>+B40/10</f>
        <v>0</v>
      </c>
      <c r="C128" s="152">
        <f>+C40/10</f>
        <v>0</v>
      </c>
      <c r="D128" s="152">
        <f t="shared" si="37"/>
        <v>0</v>
      </c>
    </row>
    <row r="129" spans="1:7" outlineLevel="1">
      <c r="A129" s="47" t="s">
        <v>90</v>
      </c>
      <c r="B129" s="152">
        <f>+B43/10</f>
        <v>8500</v>
      </c>
      <c r="C129" s="152">
        <f>+C43/10</f>
        <v>7381.3599999999988</v>
      </c>
      <c r="D129" s="152">
        <f t="shared" si="37"/>
        <v>-1118.6400000000012</v>
      </c>
    </row>
    <row r="130" spans="1:7" outlineLevel="1">
      <c r="A130" s="198" t="s">
        <v>91</v>
      </c>
      <c r="B130" s="152">
        <f>+B46/10</f>
        <v>0</v>
      </c>
      <c r="C130" s="152">
        <f>+C46/10</f>
        <v>0</v>
      </c>
      <c r="D130" s="152">
        <f t="shared" si="37"/>
        <v>0</v>
      </c>
    </row>
    <row r="131" spans="1:7" outlineLevel="1">
      <c r="A131" s="198" t="s">
        <v>92</v>
      </c>
      <c r="B131" s="152">
        <f>+B49/10</f>
        <v>0</v>
      </c>
      <c r="C131" s="152">
        <f>+C49/10</f>
        <v>0</v>
      </c>
      <c r="D131" s="152">
        <f t="shared" si="37"/>
        <v>0</v>
      </c>
    </row>
    <row r="132" spans="1:7" ht="18">
      <c r="A132" s="139" t="s">
        <v>93</v>
      </c>
      <c r="B132" s="126">
        <f t="shared" ref="B132:D133" si="41">+B114+B105+B55+B123</f>
        <v>1943980</v>
      </c>
      <c r="C132" s="126">
        <f t="shared" si="41"/>
        <v>1682528.6975</v>
      </c>
      <c r="D132" s="126">
        <f t="shared" si="41"/>
        <v>-261451.30250000005</v>
      </c>
      <c r="E132" s="15"/>
      <c r="F132" s="10"/>
      <c r="G132" s="41"/>
    </row>
    <row r="133" spans="1:7" outlineLevel="1">
      <c r="A133" s="44" t="s">
        <v>94</v>
      </c>
      <c r="B133" s="140">
        <f t="shared" si="41"/>
        <v>955070</v>
      </c>
      <c r="C133" s="140">
        <f t="shared" si="41"/>
        <v>926991.85249999992</v>
      </c>
      <c r="D133" s="140">
        <f t="shared" si="41"/>
        <v>-28078.147500000006</v>
      </c>
      <c r="E133" s="15"/>
      <c r="F133" s="10"/>
      <c r="G133" s="41"/>
    </row>
    <row r="134" spans="1:7" outlineLevel="1">
      <c r="A134" s="58" t="s">
        <v>95</v>
      </c>
      <c r="B134" s="140">
        <f>+B116+B107+B66+B125</f>
        <v>274100</v>
      </c>
      <c r="C134" s="140">
        <f>+C116+C107+C66+C125</f>
        <v>230290.25999999998</v>
      </c>
      <c r="D134" s="140">
        <f>+D116+D107+D66+D125</f>
        <v>-43809.740000000005</v>
      </c>
      <c r="E134" s="15"/>
      <c r="F134" s="10"/>
      <c r="G134" s="41"/>
    </row>
    <row r="135" spans="1:7" outlineLevel="1">
      <c r="A135" s="57" t="s">
        <v>96</v>
      </c>
      <c r="B135" s="140">
        <f>+B117+B108+B75+B126</f>
        <v>408520</v>
      </c>
      <c r="C135" s="140">
        <f>+C117+C108+C75+C126</f>
        <v>353326.67499999999</v>
      </c>
      <c r="D135" s="140">
        <f>+D117+D108+D75+D126</f>
        <v>-55193.324999999975</v>
      </c>
      <c r="E135" s="15"/>
      <c r="F135" s="10"/>
      <c r="G135" s="41"/>
    </row>
    <row r="136" spans="1:7" outlineLevel="1">
      <c r="A136" s="50" t="s">
        <v>97</v>
      </c>
      <c r="B136" s="140">
        <f>+B118+B109+B84+B127</f>
        <v>136300</v>
      </c>
      <c r="C136" s="140">
        <f>+C118+C109+C84+C127</f>
        <v>119966.51000000001</v>
      </c>
      <c r="D136" s="140">
        <f>+D118+D109+D84+D127</f>
        <v>-16333.490000000002</v>
      </c>
      <c r="E136" s="15"/>
      <c r="F136" s="10"/>
      <c r="G136" s="41"/>
    </row>
    <row r="137" spans="1:7" outlineLevel="1">
      <c r="A137" s="67" t="s">
        <v>98</v>
      </c>
      <c r="B137" s="140">
        <f>+B119+B110+B93+B128</f>
        <v>96480</v>
      </c>
      <c r="C137" s="140">
        <f>+C119+C110+C93+C128</f>
        <v>0</v>
      </c>
      <c r="D137" s="140">
        <f>+D119+D110+D93+D128</f>
        <v>-96480</v>
      </c>
      <c r="E137" s="15"/>
      <c r="F137" s="10"/>
      <c r="G137" s="41"/>
    </row>
    <row r="138" spans="1:7" outlineLevel="1">
      <c r="A138" s="47" t="s">
        <v>99</v>
      </c>
      <c r="B138" s="140">
        <f>+B129+B120+B111+B96</f>
        <v>54750</v>
      </c>
      <c r="C138" s="140">
        <f>+C129+C120+C111+C96</f>
        <v>51953.399999999994</v>
      </c>
      <c r="D138" s="140">
        <f>+D121+D112+D101+D130</f>
        <v>0</v>
      </c>
      <c r="E138" s="15"/>
      <c r="F138" s="10"/>
      <c r="G138" s="41"/>
    </row>
    <row r="139" spans="1:7" outlineLevel="1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>
      <c r="A141" s="7"/>
      <c r="B141" s="127"/>
      <c r="C141" s="127"/>
      <c r="D141" s="128"/>
      <c r="E141" s="15"/>
      <c r="F141" s="10"/>
      <c r="G141" s="41"/>
    </row>
    <row r="142" spans="1:7" ht="15.75">
      <c r="A142" s="177" t="s">
        <v>102</v>
      </c>
      <c r="B142" s="129">
        <f>+B52-B132</f>
        <v>476020</v>
      </c>
      <c r="C142" s="129">
        <f>+C52-C132</f>
        <v>96078.092500000028</v>
      </c>
      <c r="D142" s="129">
        <f>+D52-D132</f>
        <v>-379941.90749999991</v>
      </c>
      <c r="E142" s="19"/>
      <c r="F142" s="20"/>
      <c r="G142" s="42"/>
    </row>
    <row r="143" spans="1:7">
      <c r="A143" s="44" t="s">
        <v>103</v>
      </c>
      <c r="B143" s="178">
        <f>+B3-B133</f>
        <v>209930</v>
      </c>
      <c r="C143" s="178">
        <f>+C3-C133</f>
        <v>112027.55750000011</v>
      </c>
      <c r="D143" s="178">
        <f>+D3-D133</f>
        <v>-97902.442499999932</v>
      </c>
      <c r="E143" s="19"/>
      <c r="F143" s="20"/>
      <c r="G143" s="42"/>
    </row>
    <row r="144" spans="1:7">
      <c r="A144" s="58" t="s">
        <v>104</v>
      </c>
      <c r="B144" s="178">
        <f>+B13-B134</f>
        <v>125900</v>
      </c>
      <c r="C144" s="178">
        <f>+C13-C134</f>
        <v>-5529.2200000000012</v>
      </c>
      <c r="D144" s="178">
        <f>+D13-D134</f>
        <v>-131429.22000000003</v>
      </c>
      <c r="E144" s="19"/>
      <c r="F144" s="20"/>
      <c r="G144" s="42"/>
    </row>
    <row r="145" spans="1:7">
      <c r="A145" s="57" t="s">
        <v>105</v>
      </c>
      <c r="B145" s="178">
        <f>+B22-B135</f>
        <v>191480</v>
      </c>
      <c r="C145" s="178">
        <f>+C22-C135</f>
        <v>-8939.9749999999767</v>
      </c>
      <c r="D145" s="178">
        <f>+D22-D135</f>
        <v>-200419.97500000001</v>
      </c>
      <c r="E145" s="19"/>
      <c r="F145" s="20"/>
      <c r="G145" s="42"/>
    </row>
    <row r="146" spans="1:7">
      <c r="A146" s="50" t="s">
        <v>106</v>
      </c>
      <c r="B146" s="178">
        <f>+B31-B136</f>
        <v>33700</v>
      </c>
      <c r="C146" s="178">
        <f>+C31-C136</f>
        <v>-23340.470000000016</v>
      </c>
      <c r="D146" s="178">
        <f>+D31-D136</f>
        <v>-57040.47</v>
      </c>
      <c r="E146" s="19"/>
      <c r="F146" s="20"/>
      <c r="G146" s="42"/>
    </row>
    <row r="147" spans="1:7">
      <c r="A147" s="61" t="s">
        <v>107</v>
      </c>
      <c r="B147" s="178">
        <f>+B40-B137</f>
        <v>-96480</v>
      </c>
      <c r="C147" s="178">
        <f>+C40-C137</f>
        <v>0</v>
      </c>
      <c r="D147" s="178">
        <f>+D40-D137</f>
        <v>96480</v>
      </c>
      <c r="E147" s="19"/>
      <c r="F147" s="20"/>
      <c r="G147" s="42"/>
    </row>
    <row r="148" spans="1:7">
      <c r="A148" s="62" t="s">
        <v>108</v>
      </c>
      <c r="B148" s="178">
        <f>+B43-B138</f>
        <v>30250</v>
      </c>
      <c r="C148" s="178">
        <f>+C43-C138</f>
        <v>21860.199999999997</v>
      </c>
      <c r="D148" s="178">
        <f>+D48-D139</f>
        <v>0</v>
      </c>
      <c r="E148" s="19"/>
      <c r="F148" s="20"/>
      <c r="G148" s="42"/>
    </row>
    <row r="149" spans="1:7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>
      <c r="D151" s="131"/>
      <c r="E151" s="21"/>
      <c r="F151" s="22"/>
      <c r="G151" s="43"/>
    </row>
    <row r="152" spans="1:7">
      <c r="A152" s="179" t="s">
        <v>111</v>
      </c>
      <c r="B152" s="180">
        <f>+B52/B132-1</f>
        <v>0.24486877437010679</v>
      </c>
      <c r="C152" s="180">
        <f>+C52/C132-1</f>
        <v>5.7103390059711101E-2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D4:D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{794B98B6-EEC1-4BE5-8380-383294F1AB32}</x14:id>
        </ext>
      </extLst>
    </cfRule>
  </conditionalFormatting>
  <conditionalFormatting sqref="D14:D2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{5407C94C-2A9C-4715-9700-AC3EE1F6257C}</x14:id>
        </ext>
      </extLst>
    </cfRule>
  </conditionalFormatting>
  <conditionalFormatting sqref="D23:D3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{A985D24E-D5D1-4C2C-ACB1-1C6D953971C9}</x14:id>
        </ext>
      </extLst>
    </cfRule>
  </conditionalFormatting>
  <conditionalFormatting sqref="D32:D3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{BEE61A58-4F1B-49D1-B842-DB63A16BA8D7}</x14:id>
        </ext>
      </extLst>
    </cfRule>
  </conditionalFormatting>
  <conditionalFormatting sqref="D36:D3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{13CBC525-FF0F-4D41-BDD3-9CB4F30C4C3A}</x14:id>
        </ext>
      </extLst>
    </cfRule>
  </conditionalFormatting>
  <conditionalFormatting sqref="D41:D4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{F4D0DFE8-E4AD-4AEF-BBD4-5B9C8D892B39}</x14:id>
        </ext>
      </extLst>
    </cfRule>
  </conditionalFormatting>
  <conditionalFormatting sqref="D44:D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{BC7A10DF-9680-436B-957B-92562A3EFC3A}</x14:id>
        </ext>
      </extLst>
    </cfRule>
  </conditionalFormatting>
  <conditionalFormatting sqref="D47:D4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{2ACB7F51-925E-4193-891B-8BAA09E7B199}</x14:id>
        </ext>
      </extLst>
    </cfRule>
  </conditionalFormatting>
  <conditionalFormatting sqref="D50:D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{25409B42-05CB-4A78-90F2-F39056B2B4D7}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4B98B6-EEC1-4BE5-8380-383294F1AB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5407C94C-2A9C-4715-9700-AC3EE1F625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A985D24E-D5D1-4C2C-ACB1-1C6D95397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BEE61A58-4F1B-49D1-B842-DB63A16BA8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13CBC525-FF0F-4D41-BDD3-9CB4F30C4C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F4D0DFE8-E4AD-4AEF-BBD4-5B9C8D892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BC7A10DF-9680-436B-957B-92562A3EFC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2ACB7F51-925E-4193-891B-8BAA09E7B1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25409B42-05CB-4A78-90F2-F39056B2B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52"/>
  <sheetViews>
    <sheetView zoomScale="90" zoomScaleNormal="90" workbookViewId="0">
      <pane ySplit="2" topLeftCell="A86" activePane="bottomLeft" state="frozen"/>
      <selection pane="bottomLeft"/>
    </sheetView>
  </sheetViews>
  <sheetFormatPr defaultRowHeight="14.25" outlineLevelRow="2"/>
  <cols>
    <col min="1" max="1" width="30.85546875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  <col min="23" max="23" width="12.28515625" bestFit="1" customWidth="1"/>
    <col min="24" max="24" width="20.5703125" customWidth="1"/>
  </cols>
  <sheetData>
    <row r="1" spans="1:24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>
      <c r="A3" s="44" t="s">
        <v>13</v>
      </c>
      <c r="B3" s="91">
        <f>SUM(B4:B12)</f>
        <v>1390000</v>
      </c>
      <c r="C3" s="91">
        <f>SUM(C4:C12)</f>
        <v>981110.87999999989</v>
      </c>
      <c r="D3" s="91">
        <f>SUM(D4:D12)</f>
        <v>-408889.12000000005</v>
      </c>
      <c r="E3" s="46">
        <f>SUM(E4:E12)</f>
        <v>722</v>
      </c>
      <c r="F3" s="46">
        <f>SUM(F4:F12)</f>
        <v>48.884444444444441</v>
      </c>
      <c r="G3" s="36"/>
      <c r="H3" s="45">
        <f t="shared" ref="H3:V3" si="0">SUM(H4:H12)</f>
        <v>44329.680000000008</v>
      </c>
      <c r="I3" s="46">
        <f t="shared" si="0"/>
        <v>31</v>
      </c>
      <c r="J3" s="46">
        <f t="shared" si="0"/>
        <v>2.3888888888888888</v>
      </c>
      <c r="K3" s="45">
        <f t="shared" si="0"/>
        <v>224690.76</v>
      </c>
      <c r="L3" s="46">
        <f t="shared" si="0"/>
        <v>178</v>
      </c>
      <c r="M3" s="46">
        <f t="shared" si="0"/>
        <v>10.583333333333332</v>
      </c>
      <c r="N3" s="45">
        <f t="shared" si="0"/>
        <v>281510.64</v>
      </c>
      <c r="O3" s="46">
        <f t="shared" si="0"/>
        <v>218</v>
      </c>
      <c r="P3" s="46">
        <f t="shared" si="0"/>
        <v>14.438888888888888</v>
      </c>
      <c r="Q3" s="45">
        <f t="shared" si="0"/>
        <v>204914.88</v>
      </c>
      <c r="R3" s="46">
        <f t="shared" si="0"/>
        <v>130</v>
      </c>
      <c r="S3" s="46">
        <f t="shared" si="0"/>
        <v>9.8330555555555552</v>
      </c>
      <c r="T3" s="45">
        <f t="shared" si="0"/>
        <v>225664.92</v>
      </c>
      <c r="U3" s="46">
        <f t="shared" si="0"/>
        <v>165</v>
      </c>
      <c r="V3" s="46">
        <f t="shared" si="0"/>
        <v>11.640277777777778</v>
      </c>
    </row>
    <row r="4" spans="1:24" outlineLevel="2">
      <c r="A4" s="132" t="s">
        <v>14</v>
      </c>
      <c r="B4" s="92">
        <v>200000</v>
      </c>
      <c r="C4" s="92">
        <f>+H4+K4+N4+Q4+T4</f>
        <v>117443.51999999999</v>
      </c>
      <c r="D4" s="93">
        <f t="shared" ref="D4:D12" si="1">+C4-B4</f>
        <v>-82556.48000000001</v>
      </c>
      <c r="E4" s="18">
        <f>+I4+L4+O4+R4+U4</f>
        <v>133</v>
      </c>
      <c r="F4" s="18">
        <f>+J4+M4+P4+S4+V4</f>
        <v>7.1527777777777786</v>
      </c>
      <c r="G4" s="37"/>
      <c r="H4" s="181">
        <v>10871.28</v>
      </c>
      <c r="I4" s="182">
        <v>11</v>
      </c>
      <c r="J4" s="183">
        <v>0.65277777777777779</v>
      </c>
      <c r="K4" s="184">
        <v>59994</v>
      </c>
      <c r="L4" s="185">
        <v>73</v>
      </c>
      <c r="M4" s="186">
        <v>3.6041666666666665</v>
      </c>
      <c r="N4" s="184">
        <v>46578.239999999998</v>
      </c>
      <c r="O4" s="185">
        <v>49</v>
      </c>
      <c r="P4" s="186">
        <v>2.8958333333333335</v>
      </c>
      <c r="Q4" s="187"/>
      <c r="R4" s="185"/>
      <c r="S4" s="186"/>
      <c r="T4" s="187"/>
      <c r="U4" s="185"/>
      <c r="V4" s="186"/>
      <c r="W4" s="295"/>
      <c r="X4" s="295"/>
    </row>
    <row r="5" spans="1:24" outlineLevel="2">
      <c r="A5" s="133" t="s">
        <v>15</v>
      </c>
      <c r="B5" s="92">
        <v>200000</v>
      </c>
      <c r="C5" s="92">
        <f t="shared" ref="C5:C12" si="2">+H5+K5+N5+Q5+T5</f>
        <v>57810.239999999998</v>
      </c>
      <c r="D5" s="93">
        <f t="shared" si="1"/>
        <v>-142189.76000000001</v>
      </c>
      <c r="E5" s="18">
        <f t="shared" ref="E5:F12" si="3">+I5+L5+O5+R5+U5</f>
        <v>50</v>
      </c>
      <c r="F5" s="18">
        <f t="shared" si="3"/>
        <v>3.583333333333333</v>
      </c>
      <c r="G5" s="37"/>
      <c r="H5" s="181">
        <v>6285.6</v>
      </c>
      <c r="I5" s="182">
        <v>5</v>
      </c>
      <c r="J5" s="183">
        <v>0.41666666666666669</v>
      </c>
      <c r="K5" s="184"/>
      <c r="L5" s="185"/>
      <c r="M5" s="186"/>
      <c r="N5" s="184"/>
      <c r="O5" s="185"/>
      <c r="P5" s="186"/>
      <c r="Q5" s="187"/>
      <c r="R5" s="185"/>
      <c r="S5" s="186"/>
      <c r="T5" s="187">
        <v>51524.639999999999</v>
      </c>
      <c r="U5" s="185">
        <v>45</v>
      </c>
      <c r="V5" s="186">
        <v>3.1666666666666665</v>
      </c>
      <c r="W5" s="295"/>
      <c r="X5" s="295"/>
    </row>
    <row r="6" spans="1:24" outlineLevel="2">
      <c r="A6" s="133" t="s">
        <v>16</v>
      </c>
      <c r="B6" s="92">
        <v>200000</v>
      </c>
      <c r="C6" s="92">
        <f t="shared" si="2"/>
        <v>196120.44</v>
      </c>
      <c r="D6" s="93">
        <f t="shared" si="1"/>
        <v>-3879.5599999999977</v>
      </c>
      <c r="E6" s="18">
        <f t="shared" si="3"/>
        <v>187</v>
      </c>
      <c r="F6" s="18">
        <f t="shared" si="3"/>
        <v>12.606666666666666</v>
      </c>
      <c r="G6" s="37"/>
      <c r="H6" s="181">
        <v>6285.6</v>
      </c>
      <c r="I6" s="182">
        <v>5</v>
      </c>
      <c r="J6" s="183">
        <v>0.41666666666666669</v>
      </c>
      <c r="K6" s="184"/>
      <c r="L6" s="185"/>
      <c r="M6" s="186"/>
      <c r="N6" s="184">
        <v>70836.12</v>
      </c>
      <c r="O6" s="185">
        <v>71</v>
      </c>
      <c r="P6" s="186">
        <v>4.55</v>
      </c>
      <c r="Q6" s="187">
        <v>72826.559999999998</v>
      </c>
      <c r="R6" s="185">
        <v>64</v>
      </c>
      <c r="S6" s="186">
        <v>4.59</v>
      </c>
      <c r="T6" s="187">
        <v>46172.160000000003</v>
      </c>
      <c r="U6" s="185">
        <v>47</v>
      </c>
      <c r="V6" s="186">
        <v>3.05</v>
      </c>
      <c r="W6" s="295"/>
    </row>
    <row r="7" spans="1:24" s="78" customFormat="1" outlineLevel="2">
      <c r="A7" s="308" t="s">
        <v>126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4" s="78" customFormat="1" outlineLevel="2">
      <c r="A8" s="132" t="s">
        <v>18</v>
      </c>
      <c r="B8" s="92">
        <f>450000*0.2</f>
        <v>90000</v>
      </c>
      <c r="C8" s="92">
        <f t="shared" si="2"/>
        <v>8969.4000000000015</v>
      </c>
      <c r="D8" s="216">
        <f t="shared" si="1"/>
        <v>-81030.600000000006</v>
      </c>
      <c r="E8" s="18">
        <f t="shared" ref="E8" si="4">+I8+L8+O8+R8+U8</f>
        <v>15</v>
      </c>
      <c r="F8" s="18">
        <f t="shared" ref="F8" si="5">+J8+M8+P8+S8+V8</f>
        <v>0.45138888888888884</v>
      </c>
      <c r="G8" s="70"/>
      <c r="H8" s="188"/>
      <c r="I8" s="189"/>
      <c r="J8" s="190"/>
      <c r="K8" s="305">
        <v>2593.08</v>
      </c>
      <c r="L8" s="306">
        <v>4</v>
      </c>
      <c r="M8" s="307">
        <v>0.13194444444444445</v>
      </c>
      <c r="N8" s="305">
        <v>2397.6</v>
      </c>
      <c r="O8" s="306">
        <v>3</v>
      </c>
      <c r="P8" s="307">
        <v>0.125</v>
      </c>
      <c r="Q8" s="309">
        <v>2397.6</v>
      </c>
      <c r="R8" s="306">
        <v>3</v>
      </c>
      <c r="S8" s="307">
        <v>0.125</v>
      </c>
      <c r="T8" s="309">
        <v>1581.12</v>
      </c>
      <c r="U8" s="306">
        <v>5</v>
      </c>
      <c r="V8" s="307">
        <v>6.9444444444444448E-2</v>
      </c>
      <c r="X8" s="314"/>
    </row>
    <row r="9" spans="1:24" outlineLevel="2">
      <c r="A9" s="132" t="s">
        <v>49</v>
      </c>
      <c r="B9" s="92">
        <f>450000*0.5</f>
        <v>225000</v>
      </c>
      <c r="C9" s="92">
        <f t="shared" si="2"/>
        <v>115080.48000000001</v>
      </c>
      <c r="D9" s="93">
        <f t="shared" si="1"/>
        <v>-109919.51999999999</v>
      </c>
      <c r="E9" s="18">
        <f t="shared" si="3"/>
        <v>75</v>
      </c>
      <c r="F9" s="18">
        <f t="shared" si="3"/>
        <v>4.8680555555555554</v>
      </c>
      <c r="G9" s="37"/>
      <c r="H9" s="195"/>
      <c r="I9" s="182"/>
      <c r="J9" s="183"/>
      <c r="K9" s="184">
        <v>54717.120000000003</v>
      </c>
      <c r="L9" s="185">
        <v>37</v>
      </c>
      <c r="M9" s="186">
        <v>2.3125</v>
      </c>
      <c r="N9" s="184">
        <v>60363.360000000001</v>
      </c>
      <c r="O9" s="185">
        <v>38</v>
      </c>
      <c r="P9" s="186">
        <v>2.5555555555555554</v>
      </c>
      <c r="Q9" s="187"/>
      <c r="R9" s="185"/>
      <c r="S9" s="186"/>
      <c r="T9" s="187"/>
      <c r="U9" s="185"/>
      <c r="V9" s="186"/>
      <c r="X9" s="300"/>
    </row>
    <row r="10" spans="1:24" outlineLevel="2">
      <c r="A10" s="165" t="s">
        <v>114</v>
      </c>
      <c r="B10" s="215">
        <f>450000</f>
        <v>450000</v>
      </c>
      <c r="C10" s="215">
        <f t="shared" si="2"/>
        <v>467526.6</v>
      </c>
      <c r="D10" s="93">
        <f t="shared" si="1"/>
        <v>17526.599999999977</v>
      </c>
      <c r="E10" s="18">
        <f t="shared" si="3"/>
        <v>254</v>
      </c>
      <c r="F10" s="18">
        <f t="shared" si="3"/>
        <v>19.597222222222221</v>
      </c>
      <c r="G10" s="37"/>
      <c r="H10" s="195">
        <v>20887.2</v>
      </c>
      <c r="I10" s="182">
        <v>10</v>
      </c>
      <c r="J10" s="183">
        <v>0.90277777777777779</v>
      </c>
      <c r="K10" s="184">
        <v>107386.56</v>
      </c>
      <c r="L10" s="185">
        <v>64</v>
      </c>
      <c r="M10" s="186">
        <v>4.5347222222222223</v>
      </c>
      <c r="N10" s="184">
        <v>101335.32</v>
      </c>
      <c r="O10" s="185">
        <v>57</v>
      </c>
      <c r="P10" s="186">
        <v>4.3125</v>
      </c>
      <c r="Q10" s="187">
        <v>120005.28</v>
      </c>
      <c r="R10" s="185">
        <v>59</v>
      </c>
      <c r="S10" s="186">
        <v>4.7847222222222223</v>
      </c>
      <c r="T10" s="187">
        <v>117912.24</v>
      </c>
      <c r="U10" s="185">
        <v>64</v>
      </c>
      <c r="V10" s="186">
        <v>5.0625</v>
      </c>
      <c r="X10" s="295"/>
    </row>
    <row r="11" spans="1:24" s="78" customFormat="1" outlineLevel="2">
      <c r="A11" s="165" t="s">
        <v>122</v>
      </c>
      <c r="B11" s="215">
        <v>25000</v>
      </c>
      <c r="C11" s="302">
        <f>+H11+K11+N11+Q11+T11</f>
        <v>18160.2</v>
      </c>
      <c r="D11" s="95">
        <f t="shared" si="1"/>
        <v>-6839.7999999999993</v>
      </c>
      <c r="E11" s="69">
        <f t="shared" si="3"/>
        <v>8</v>
      </c>
      <c r="F11" s="69">
        <f t="shared" si="3"/>
        <v>0.625</v>
      </c>
      <c r="G11" s="70"/>
      <c r="H11" s="188"/>
      <c r="I11" s="189"/>
      <c r="J11" s="190"/>
      <c r="K11" s="191"/>
      <c r="L11" s="192"/>
      <c r="M11" s="193"/>
      <c r="N11" s="191"/>
      <c r="O11" s="192"/>
      <c r="P11" s="193"/>
      <c r="Q11" s="309">
        <v>9685.44</v>
      </c>
      <c r="R11" s="306">
        <v>4</v>
      </c>
      <c r="S11" s="307">
        <v>0.33333333333333331</v>
      </c>
      <c r="T11" s="309">
        <v>8474.76</v>
      </c>
      <c r="U11" s="306">
        <v>4</v>
      </c>
      <c r="V11" s="307">
        <v>0.29166666666666669</v>
      </c>
      <c r="X11" s="311"/>
    </row>
    <row r="12" spans="1:24" s="78" customFormat="1" outlineLevel="2">
      <c r="A12" s="165" t="s">
        <v>115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  <c r="X12" s="314"/>
    </row>
    <row r="13" spans="1:24">
      <c r="A13" s="58" t="s">
        <v>22</v>
      </c>
      <c r="B13" s="96">
        <f>SUM(B14:B21)</f>
        <v>400000</v>
      </c>
      <c r="C13" s="96">
        <f t="shared" ref="C13:D13" si="6">SUM(C14:C21)</f>
        <v>234926.58</v>
      </c>
      <c r="D13" s="96">
        <f t="shared" si="6"/>
        <v>-165073.42000000001</v>
      </c>
      <c r="E13" s="54">
        <f>SUM(E14:E21)</f>
        <v>262</v>
      </c>
      <c r="F13" s="54">
        <f>SUM(F14:F21)</f>
        <v>17.163194444444443</v>
      </c>
      <c r="G13" s="37"/>
      <c r="H13" s="53">
        <f t="shared" ref="H13" si="7">SUM(H14:H21)</f>
        <v>6749.26</v>
      </c>
      <c r="I13" s="54">
        <f>SUM(I14:I21)</f>
        <v>6</v>
      </c>
      <c r="J13" s="54">
        <f>SUM(J14:J21)</f>
        <v>0.49305555555555558</v>
      </c>
      <c r="K13" s="53">
        <f t="shared" ref="K13" si="8">SUM(K14:K21)</f>
        <v>38023.019999999997</v>
      </c>
      <c r="L13" s="54">
        <f>SUM(L14:L21)</f>
        <v>33</v>
      </c>
      <c r="M13" s="54">
        <f>SUM(M14:M21)</f>
        <v>2.7777777777777777</v>
      </c>
      <c r="N13" s="53">
        <f t="shared" ref="N13" si="9">SUM(N14:N21)</f>
        <v>32223.38</v>
      </c>
      <c r="O13" s="54">
        <f>SUM(O14:O21)</f>
        <v>34</v>
      </c>
      <c r="P13" s="54">
        <f>SUM(P14:P21)</f>
        <v>2.3541666666666665</v>
      </c>
      <c r="Q13" s="53">
        <f t="shared" ref="Q13" si="10">SUM(Q14:Q21)</f>
        <v>77565.039999999994</v>
      </c>
      <c r="R13" s="54">
        <f>SUM(R14:R21)</f>
        <v>88</v>
      </c>
      <c r="S13" s="54">
        <f>SUM(S14:S21)</f>
        <v>5.6666666666666661</v>
      </c>
      <c r="T13" s="53">
        <f t="shared" ref="T13" si="11">SUM(T14:T21)</f>
        <v>80365.88</v>
      </c>
      <c r="U13" s="54">
        <f>SUM(U14:U21)</f>
        <v>101</v>
      </c>
      <c r="V13" s="54">
        <f>SUM(V14:V21)</f>
        <v>5.8715277777777777</v>
      </c>
    </row>
    <row r="14" spans="1:24" outlineLevel="2">
      <c r="A14" s="133" t="s">
        <v>23</v>
      </c>
      <c r="B14" s="97">
        <v>200000</v>
      </c>
      <c r="C14" s="92">
        <f t="shared" ref="C14:C51" si="12">+H14+K14+N14+Q14+T14</f>
        <v>79703.399999999994</v>
      </c>
      <c r="D14" s="93">
        <f t="shared" ref="D14:D21" si="13">+C14-B14</f>
        <v>-120296.6</v>
      </c>
      <c r="E14" s="18">
        <f t="shared" ref="E14:F21" si="14">+I14+L14+O14+R14+U14</f>
        <v>99</v>
      </c>
      <c r="F14" s="18">
        <f t="shared" si="14"/>
        <v>5.8229166666666661</v>
      </c>
      <c r="G14" s="37"/>
      <c r="H14" s="181"/>
      <c r="I14" s="182"/>
      <c r="J14" s="183"/>
      <c r="K14" s="184"/>
      <c r="L14" s="185"/>
      <c r="M14" s="186"/>
      <c r="N14" s="184"/>
      <c r="O14" s="185"/>
      <c r="P14" s="186"/>
      <c r="Q14" s="187">
        <v>38308.199999999997</v>
      </c>
      <c r="R14" s="185">
        <v>51</v>
      </c>
      <c r="S14" s="186">
        <v>2.7986111111111112</v>
      </c>
      <c r="T14" s="187">
        <v>41395.199999999997</v>
      </c>
      <c r="U14" s="185">
        <v>48</v>
      </c>
      <c r="V14" s="186">
        <v>3.0243055555555554</v>
      </c>
      <c r="X14" s="295"/>
    </row>
    <row r="15" spans="1:24" s="226" customFormat="1" outlineLevel="2">
      <c r="A15" s="165" t="s">
        <v>24</v>
      </c>
      <c r="B15" s="97">
        <v>200000</v>
      </c>
      <c r="C15" s="215">
        <f t="shared" si="12"/>
        <v>155223.18</v>
      </c>
      <c r="D15" s="216">
        <f t="shared" si="13"/>
        <v>-44776.820000000007</v>
      </c>
      <c r="E15" s="217">
        <f t="shared" si="14"/>
        <v>163</v>
      </c>
      <c r="F15" s="217">
        <f t="shared" si="14"/>
        <v>11.340277777777779</v>
      </c>
      <c r="G15" s="218"/>
      <c r="H15" s="219">
        <v>6749.26</v>
      </c>
      <c r="I15" s="220">
        <v>6</v>
      </c>
      <c r="J15" s="221">
        <v>0.49305555555555558</v>
      </c>
      <c r="K15" s="222">
        <v>38023.019999999997</v>
      </c>
      <c r="L15" s="223">
        <v>33</v>
      </c>
      <c r="M15" s="224">
        <v>2.7777777777777777</v>
      </c>
      <c r="N15" s="222">
        <v>32223.38</v>
      </c>
      <c r="O15" s="223">
        <v>34</v>
      </c>
      <c r="P15" s="224">
        <v>2.3541666666666665</v>
      </c>
      <c r="Q15" s="225">
        <v>39256.839999999997</v>
      </c>
      <c r="R15" s="223">
        <v>37</v>
      </c>
      <c r="S15" s="224">
        <v>2.8680555555555554</v>
      </c>
      <c r="T15" s="225">
        <v>38970.68</v>
      </c>
      <c r="U15" s="223">
        <v>53</v>
      </c>
      <c r="V15" s="224">
        <v>2.8472222222222223</v>
      </c>
      <c r="X15" s="294"/>
    </row>
    <row r="16" spans="1:24" s="226" customFormat="1" outlineLevel="2">
      <c r="A16" s="134" t="s">
        <v>25</v>
      </c>
      <c r="B16" s="94">
        <v>0</v>
      </c>
      <c r="C16" s="94">
        <f t="shared" si="12"/>
        <v>0</v>
      </c>
      <c r="D16" s="95">
        <f t="shared" si="13"/>
        <v>0</v>
      </c>
      <c r="E16" s="69">
        <f t="shared" si="14"/>
        <v>0</v>
      </c>
      <c r="F16" s="69">
        <f t="shared" si="14"/>
        <v>0</v>
      </c>
      <c r="G16" s="218"/>
      <c r="H16" s="219"/>
      <c r="I16" s="220"/>
      <c r="J16" s="221"/>
      <c r="K16" s="222"/>
      <c r="L16" s="223"/>
      <c r="M16" s="224"/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4" s="226" customFormat="1" outlineLevel="2">
      <c r="A17" s="134" t="s">
        <v>26</v>
      </c>
      <c r="B17" s="94">
        <v>0</v>
      </c>
      <c r="C17" s="94">
        <f t="shared" si="12"/>
        <v>0</v>
      </c>
      <c r="D17" s="95">
        <f t="shared" si="13"/>
        <v>0</v>
      </c>
      <c r="E17" s="69">
        <f t="shared" si="14"/>
        <v>0</v>
      </c>
      <c r="F17" s="69">
        <f t="shared" si="14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4" s="226" customFormat="1" outlineLevel="2">
      <c r="A18" s="134" t="s">
        <v>27</v>
      </c>
      <c r="B18" s="94">
        <v>0</v>
      </c>
      <c r="C18" s="94">
        <f t="shared" si="12"/>
        <v>0</v>
      </c>
      <c r="D18" s="95">
        <f t="shared" si="13"/>
        <v>0</v>
      </c>
      <c r="E18" s="69">
        <f t="shared" si="14"/>
        <v>0</v>
      </c>
      <c r="F18" s="69">
        <f t="shared" si="14"/>
        <v>0</v>
      </c>
      <c r="G18" s="218"/>
      <c r="H18" s="219"/>
      <c r="I18" s="220"/>
      <c r="J18" s="221"/>
      <c r="K18" s="222"/>
      <c r="L18" s="223"/>
      <c r="M18" s="224"/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4" s="78" customFormat="1" outlineLevel="2">
      <c r="A19" s="134" t="s">
        <v>28</v>
      </c>
      <c r="B19" s="94">
        <v>0</v>
      </c>
      <c r="C19" s="94">
        <f t="shared" si="12"/>
        <v>0</v>
      </c>
      <c r="D19" s="95">
        <f t="shared" si="13"/>
        <v>0</v>
      </c>
      <c r="E19" s="69">
        <f t="shared" si="14"/>
        <v>0</v>
      </c>
      <c r="F19" s="69">
        <f t="shared" si="14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226" customFormat="1" outlineLevel="2">
      <c r="A20" s="134" t="s">
        <v>20</v>
      </c>
      <c r="B20" s="94">
        <v>0</v>
      </c>
      <c r="C20" s="94">
        <f t="shared" si="12"/>
        <v>0</v>
      </c>
      <c r="D20" s="95">
        <f t="shared" si="13"/>
        <v>0</v>
      </c>
      <c r="E20" s="69">
        <f t="shared" si="14"/>
        <v>0</v>
      </c>
      <c r="F20" s="69">
        <f t="shared" si="14"/>
        <v>0</v>
      </c>
      <c r="G20" s="218"/>
      <c r="H20" s="219"/>
      <c r="I20" s="220"/>
      <c r="J20" s="221"/>
      <c r="K20" s="222"/>
      <c r="L20" s="223"/>
      <c r="M20" s="224"/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4" s="78" customFormat="1" outlineLevel="2">
      <c r="A21" s="134" t="s">
        <v>21</v>
      </c>
      <c r="B21" s="94">
        <v>0</v>
      </c>
      <c r="C21" s="94">
        <f t="shared" si="12"/>
        <v>0</v>
      </c>
      <c r="D21" s="95">
        <f t="shared" si="13"/>
        <v>0</v>
      </c>
      <c r="E21" s="69">
        <f t="shared" si="14"/>
        <v>0</v>
      </c>
      <c r="F21" s="69">
        <f t="shared" si="14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>
      <c r="A22" s="57" t="s">
        <v>29</v>
      </c>
      <c r="B22" s="98">
        <f>SUM(B23:B30)</f>
        <v>600000</v>
      </c>
      <c r="C22" s="98">
        <f>SUM(C23:C30)</f>
        <v>369955.88</v>
      </c>
      <c r="D22" s="98">
        <f>SUM(D23:D30)</f>
        <v>-230044.12000000002</v>
      </c>
      <c r="E22" s="56">
        <f>SUM(E23:E30)</f>
        <v>414</v>
      </c>
      <c r="F22" s="56">
        <f>SUM(F23:F30)</f>
        <v>27.032499999999999</v>
      </c>
      <c r="G22" s="37"/>
      <c r="H22" s="55">
        <f t="shared" ref="H22:V22" si="15">SUM(H23:H30)</f>
        <v>18725.84</v>
      </c>
      <c r="I22" s="56">
        <f t="shared" si="15"/>
        <v>23</v>
      </c>
      <c r="J22" s="56">
        <f t="shared" si="15"/>
        <v>1.3680555555555556</v>
      </c>
      <c r="K22" s="55">
        <f t="shared" si="15"/>
        <v>73953.739999999991</v>
      </c>
      <c r="L22" s="56">
        <f t="shared" si="15"/>
        <v>79</v>
      </c>
      <c r="M22" s="56">
        <f t="shared" si="15"/>
        <v>5.4027777777777777</v>
      </c>
      <c r="N22" s="55">
        <f t="shared" si="15"/>
        <v>99617</v>
      </c>
      <c r="O22" s="56">
        <f t="shared" si="15"/>
        <v>115</v>
      </c>
      <c r="P22" s="56">
        <f t="shared" si="15"/>
        <v>7.2777777777777777</v>
      </c>
      <c r="Q22" s="55">
        <f t="shared" si="15"/>
        <v>86119.459999999992</v>
      </c>
      <c r="R22" s="56">
        <f t="shared" si="15"/>
        <v>93</v>
      </c>
      <c r="S22" s="56">
        <f t="shared" si="15"/>
        <v>6.296388888888889</v>
      </c>
      <c r="T22" s="55">
        <f t="shared" si="15"/>
        <v>91539.839999999997</v>
      </c>
      <c r="U22" s="56">
        <f t="shared" si="15"/>
        <v>104</v>
      </c>
      <c r="V22" s="56">
        <f t="shared" si="15"/>
        <v>6.6875</v>
      </c>
    </row>
    <row r="23" spans="1:24" s="226" customFormat="1" outlineLevel="2">
      <c r="A23" s="165" t="s">
        <v>30</v>
      </c>
      <c r="B23" s="215">
        <f>200000</f>
        <v>200000</v>
      </c>
      <c r="C23" s="215">
        <f t="shared" si="12"/>
        <v>124516.84</v>
      </c>
      <c r="D23" s="216">
        <f t="shared" ref="D23:D51" si="16">+C23-B23</f>
        <v>-75483.16</v>
      </c>
      <c r="E23" s="217">
        <f t="shared" ref="E23:F30" si="17">+I23+L23+O23+R23+U23</f>
        <v>144</v>
      </c>
      <c r="F23" s="217">
        <f t="shared" si="17"/>
        <v>9.1019444444444435</v>
      </c>
      <c r="G23" s="218"/>
      <c r="H23" s="219">
        <v>7223.58</v>
      </c>
      <c r="I23" s="220">
        <v>11</v>
      </c>
      <c r="J23" s="221">
        <v>0.52777777777777779</v>
      </c>
      <c r="K23" s="222"/>
      <c r="L23" s="223"/>
      <c r="M23" s="224"/>
      <c r="N23" s="222">
        <v>39254.879999999997</v>
      </c>
      <c r="O23" s="223">
        <v>46</v>
      </c>
      <c r="P23" s="224">
        <v>2.8680555555555554</v>
      </c>
      <c r="Q23" s="225">
        <v>40586.699999999997</v>
      </c>
      <c r="R23" s="223">
        <v>44</v>
      </c>
      <c r="S23" s="224">
        <v>2.97</v>
      </c>
      <c r="T23" s="225">
        <v>37451.68</v>
      </c>
      <c r="U23" s="223">
        <v>43</v>
      </c>
      <c r="V23" s="224">
        <v>2.7361111111111112</v>
      </c>
      <c r="W23" s="294"/>
      <c r="X23" s="294"/>
    </row>
    <row r="24" spans="1:24" s="226" customFormat="1" outlineLevel="2">
      <c r="A24" s="165" t="s">
        <v>117</v>
      </c>
      <c r="B24" s="215">
        <f t="shared" ref="B24:B25" si="18">200000</f>
        <v>200000</v>
      </c>
      <c r="C24" s="215">
        <f t="shared" si="12"/>
        <v>120911.41999999998</v>
      </c>
      <c r="D24" s="216">
        <f t="shared" si="16"/>
        <v>-79088.580000000016</v>
      </c>
      <c r="E24" s="217">
        <f t="shared" si="17"/>
        <v>129</v>
      </c>
      <c r="F24" s="217">
        <f t="shared" si="17"/>
        <v>8.8333333333333321</v>
      </c>
      <c r="G24" s="218"/>
      <c r="H24" s="219">
        <v>5513.48</v>
      </c>
      <c r="I24" s="220">
        <v>5</v>
      </c>
      <c r="J24" s="221">
        <v>0.40277777777777779</v>
      </c>
      <c r="K24" s="222">
        <v>39543</v>
      </c>
      <c r="L24" s="223">
        <v>44</v>
      </c>
      <c r="M24" s="224">
        <v>2.8888888888888888</v>
      </c>
      <c r="N24" s="222">
        <v>33365.08</v>
      </c>
      <c r="O24" s="223">
        <v>35</v>
      </c>
      <c r="P24" s="224">
        <v>2.4375</v>
      </c>
      <c r="Q24" s="225">
        <v>17680.18</v>
      </c>
      <c r="R24" s="223">
        <v>18</v>
      </c>
      <c r="S24" s="224">
        <v>1.2916666666666667</v>
      </c>
      <c r="T24" s="225">
        <v>24809.68</v>
      </c>
      <c r="U24" s="223">
        <v>27</v>
      </c>
      <c r="V24" s="224">
        <v>1.8125</v>
      </c>
      <c r="X24" s="294"/>
    </row>
    <row r="25" spans="1:24" s="226" customFormat="1" outlineLevel="2">
      <c r="A25" s="165" t="s">
        <v>118</v>
      </c>
      <c r="B25" s="215">
        <f t="shared" si="18"/>
        <v>200000</v>
      </c>
      <c r="C25" s="215">
        <f t="shared" si="12"/>
        <v>124527.62</v>
      </c>
      <c r="D25" s="216">
        <f t="shared" si="16"/>
        <v>-75472.38</v>
      </c>
      <c r="E25" s="217">
        <f t="shared" si="17"/>
        <v>141</v>
      </c>
      <c r="F25" s="217">
        <f t="shared" si="17"/>
        <v>9.0972222222222214</v>
      </c>
      <c r="G25" s="218"/>
      <c r="H25" s="219">
        <v>5988.78</v>
      </c>
      <c r="I25" s="220">
        <v>7</v>
      </c>
      <c r="J25" s="221">
        <v>0.4375</v>
      </c>
      <c r="K25" s="222">
        <v>34410.74</v>
      </c>
      <c r="L25" s="223">
        <v>35</v>
      </c>
      <c r="M25" s="224">
        <v>2.5138888888888888</v>
      </c>
      <c r="N25" s="222">
        <v>26997.040000000001</v>
      </c>
      <c r="O25" s="223">
        <v>34</v>
      </c>
      <c r="P25" s="224">
        <v>1.9722222222222223</v>
      </c>
      <c r="Q25" s="225">
        <v>27852.58</v>
      </c>
      <c r="R25" s="223">
        <v>31</v>
      </c>
      <c r="S25" s="224">
        <v>2.0347222222222223</v>
      </c>
      <c r="T25" s="225">
        <v>29278.48</v>
      </c>
      <c r="U25" s="223">
        <v>34</v>
      </c>
      <c r="V25" s="224">
        <v>2.1388888888888888</v>
      </c>
      <c r="X25" s="294"/>
    </row>
    <row r="26" spans="1:24" s="226" customFormat="1" outlineLevel="2">
      <c r="A26" s="134" t="s">
        <v>33</v>
      </c>
      <c r="B26" s="94">
        <v>0</v>
      </c>
      <c r="C26" s="94">
        <f t="shared" si="12"/>
        <v>0</v>
      </c>
      <c r="D26" s="95">
        <f t="shared" si="16"/>
        <v>0</v>
      </c>
      <c r="E26" s="69">
        <f t="shared" si="17"/>
        <v>0</v>
      </c>
      <c r="F26" s="69">
        <f t="shared" si="17"/>
        <v>0</v>
      </c>
      <c r="G26" s="218"/>
      <c r="H26" s="219"/>
      <c r="I26" s="220"/>
      <c r="J26" s="221"/>
      <c r="K26" s="222"/>
      <c r="L26" s="223"/>
      <c r="M26" s="224"/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4" s="226" customFormat="1" outlineLevel="2">
      <c r="A27" s="134" t="s">
        <v>127</v>
      </c>
      <c r="B27" s="94">
        <v>0</v>
      </c>
      <c r="C27" s="94">
        <f t="shared" si="12"/>
        <v>0</v>
      </c>
      <c r="D27" s="95">
        <f t="shared" si="16"/>
        <v>0</v>
      </c>
      <c r="E27" s="217">
        <f t="shared" si="17"/>
        <v>0</v>
      </c>
      <c r="F27" s="217">
        <f t="shared" si="17"/>
        <v>0</v>
      </c>
      <c r="G27" s="218"/>
      <c r="H27" s="219"/>
      <c r="I27" s="220"/>
      <c r="J27" s="221"/>
      <c r="K27" s="222"/>
      <c r="L27" s="223"/>
      <c r="M27" s="224"/>
      <c r="N27" s="222"/>
      <c r="O27" s="223"/>
      <c r="P27" s="224"/>
      <c r="Q27" s="225"/>
      <c r="R27" s="223"/>
      <c r="S27" s="224"/>
      <c r="T27" s="225"/>
      <c r="U27" s="223"/>
      <c r="V27" s="224"/>
    </row>
    <row r="28" spans="1:24" s="78" customFormat="1" outlineLevel="2">
      <c r="A28" s="134" t="s">
        <v>28</v>
      </c>
      <c r="B28" s="94">
        <v>0</v>
      </c>
      <c r="C28" s="94">
        <f t="shared" si="12"/>
        <v>0</v>
      </c>
      <c r="D28" s="95">
        <f t="shared" si="16"/>
        <v>0</v>
      </c>
      <c r="E28" s="69">
        <f t="shared" si="17"/>
        <v>0</v>
      </c>
      <c r="F28" s="69">
        <f t="shared" si="17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226" customFormat="1" outlineLevel="2">
      <c r="A29" s="134" t="s">
        <v>128</v>
      </c>
      <c r="B29" s="94">
        <v>0</v>
      </c>
      <c r="C29" s="94">
        <f t="shared" si="12"/>
        <v>0</v>
      </c>
      <c r="D29" s="95">
        <f t="shared" si="16"/>
        <v>0</v>
      </c>
      <c r="E29" s="217">
        <f t="shared" si="17"/>
        <v>0</v>
      </c>
      <c r="F29" s="217">
        <f t="shared" si="17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4" s="78" customFormat="1" outlineLevel="2">
      <c r="A30" s="134" t="s">
        <v>21</v>
      </c>
      <c r="B30" s="94">
        <v>0</v>
      </c>
      <c r="C30" s="94">
        <f t="shared" si="12"/>
        <v>0</v>
      </c>
      <c r="D30" s="95">
        <f t="shared" si="16"/>
        <v>0</v>
      </c>
      <c r="E30" s="69">
        <f t="shared" si="17"/>
        <v>0</v>
      </c>
      <c r="F30" s="69">
        <f t="shared" si="17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>
      <c r="A31" s="50" t="s">
        <v>34</v>
      </c>
      <c r="B31" s="99">
        <f>SUM(B32:B39)</f>
        <v>170000</v>
      </c>
      <c r="C31" s="99">
        <f t="shared" ref="C31:D31" si="19">SUM(C32:C39)</f>
        <v>79517.200000000012</v>
      </c>
      <c r="D31" s="99">
        <f t="shared" si="19"/>
        <v>-90482.799999999988</v>
      </c>
      <c r="E31" s="52">
        <f>SUM(E32:E39)</f>
        <v>100</v>
      </c>
      <c r="F31" s="52">
        <f>SUM(F32:F39)</f>
        <v>5.8090277777777777</v>
      </c>
      <c r="G31" s="37"/>
      <c r="H31" s="51">
        <f t="shared" ref="H31" si="20">SUM(H32:H39)</f>
        <v>5133.24</v>
      </c>
      <c r="I31" s="52">
        <f>SUM(I32:I39)</f>
        <v>8</v>
      </c>
      <c r="J31" s="52">
        <f>SUM(J32:J39)</f>
        <v>0.375</v>
      </c>
      <c r="K31" s="51">
        <f t="shared" ref="K31" si="21">SUM(K32:K39)</f>
        <v>22148.98</v>
      </c>
      <c r="L31" s="52">
        <f>SUM(L32:L39)</f>
        <v>26</v>
      </c>
      <c r="M31" s="52">
        <f>SUM(M32:M39)</f>
        <v>1.6180555555555556</v>
      </c>
      <c r="N31" s="51">
        <f t="shared" ref="N31" si="22">SUM(N32:N39)</f>
        <v>25951.38</v>
      </c>
      <c r="O31" s="52">
        <f>SUM(O32:O39)</f>
        <v>33</v>
      </c>
      <c r="P31" s="52">
        <f>SUM(P32:P39)</f>
        <v>1.8958333333333333</v>
      </c>
      <c r="Q31" s="51">
        <f t="shared" ref="Q31" si="23">SUM(Q32:Q39)</f>
        <v>0</v>
      </c>
      <c r="R31" s="52">
        <f>SUM(R32:R39)</f>
        <v>0</v>
      </c>
      <c r="S31" s="52">
        <f>SUM(S32:S39)</f>
        <v>0</v>
      </c>
      <c r="T31" s="51">
        <f t="shared" ref="T31" si="24">SUM(T32:T39)</f>
        <v>26283.599999999999</v>
      </c>
      <c r="U31" s="52">
        <f>SUM(U32:U39)</f>
        <v>33</v>
      </c>
      <c r="V31" s="52">
        <f>SUM(V32:V39)</f>
        <v>1.9201388888888888</v>
      </c>
    </row>
    <row r="32" spans="1:24" s="226" customFormat="1" outlineLevel="2">
      <c r="A32" s="165" t="s">
        <v>35</v>
      </c>
      <c r="B32" s="215">
        <f>200000*0.85</f>
        <v>170000</v>
      </c>
      <c r="C32" s="215">
        <f t="shared" si="12"/>
        <v>79517.200000000012</v>
      </c>
      <c r="D32" s="216">
        <f t="shared" si="16"/>
        <v>-90482.799999999988</v>
      </c>
      <c r="E32" s="217">
        <f t="shared" ref="E32:F39" si="25">+I32+L32+O32+R32+U32</f>
        <v>100</v>
      </c>
      <c r="F32" s="217">
        <f t="shared" si="25"/>
        <v>5.8090277777777777</v>
      </c>
      <c r="G32" s="218"/>
      <c r="H32" s="219">
        <v>5133.24</v>
      </c>
      <c r="I32" s="220">
        <v>8</v>
      </c>
      <c r="J32" s="221">
        <v>0.375</v>
      </c>
      <c r="K32" s="222">
        <v>22148.98</v>
      </c>
      <c r="L32" s="223">
        <v>26</v>
      </c>
      <c r="M32" s="224">
        <v>1.6180555555555556</v>
      </c>
      <c r="N32" s="222">
        <v>25951.38</v>
      </c>
      <c r="O32" s="223">
        <v>33</v>
      </c>
      <c r="P32" s="224">
        <v>1.8958333333333333</v>
      </c>
      <c r="Q32" s="225"/>
      <c r="R32" s="223"/>
      <c r="S32" s="224"/>
      <c r="T32" s="225">
        <v>26283.599999999999</v>
      </c>
      <c r="U32" s="223">
        <v>33</v>
      </c>
      <c r="V32" s="224">
        <v>1.9201388888888888</v>
      </c>
      <c r="W32" s="294"/>
      <c r="X32" s="294"/>
    </row>
    <row r="33" spans="1:24" s="78" customFormat="1" outlineLevel="2">
      <c r="A33" s="134" t="s">
        <v>36</v>
      </c>
      <c r="B33" s="94">
        <v>0</v>
      </c>
      <c r="C33" s="94">
        <f t="shared" si="12"/>
        <v>0</v>
      </c>
      <c r="D33" s="95">
        <f t="shared" si="16"/>
        <v>0</v>
      </c>
      <c r="E33" s="69">
        <f t="shared" si="25"/>
        <v>0</v>
      </c>
      <c r="F33" s="69">
        <f t="shared" si="25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4" s="78" customFormat="1" outlineLevel="2">
      <c r="A34" s="134" t="s">
        <v>25</v>
      </c>
      <c r="B34" s="94">
        <v>0</v>
      </c>
      <c r="C34" s="94">
        <f t="shared" si="12"/>
        <v>0</v>
      </c>
      <c r="D34" s="95">
        <f t="shared" si="16"/>
        <v>0</v>
      </c>
      <c r="E34" s="69">
        <f t="shared" si="25"/>
        <v>0</v>
      </c>
      <c r="F34" s="69">
        <f t="shared" si="25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4" s="78" customFormat="1" outlineLevel="2">
      <c r="A35" s="134" t="s">
        <v>26</v>
      </c>
      <c r="B35" s="94">
        <v>0</v>
      </c>
      <c r="C35" s="94">
        <f t="shared" si="12"/>
        <v>0</v>
      </c>
      <c r="D35" s="95">
        <f t="shared" si="16"/>
        <v>0</v>
      </c>
      <c r="E35" s="69">
        <f t="shared" si="25"/>
        <v>0</v>
      </c>
      <c r="F35" s="69">
        <f t="shared" si="25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4" s="78" customFormat="1" outlineLevel="2">
      <c r="A36" s="134" t="s">
        <v>37</v>
      </c>
      <c r="B36" s="94">
        <v>0</v>
      </c>
      <c r="C36" s="94">
        <f t="shared" si="12"/>
        <v>0</v>
      </c>
      <c r="D36" s="95">
        <f t="shared" si="16"/>
        <v>0</v>
      </c>
      <c r="E36" s="69">
        <f t="shared" si="25"/>
        <v>0</v>
      </c>
      <c r="F36" s="69">
        <f t="shared" si="25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4" s="78" customFormat="1" outlineLevel="2">
      <c r="A37" s="134" t="s">
        <v>28</v>
      </c>
      <c r="B37" s="94">
        <v>0</v>
      </c>
      <c r="C37" s="94">
        <f t="shared" si="12"/>
        <v>0</v>
      </c>
      <c r="D37" s="95">
        <f t="shared" si="16"/>
        <v>0</v>
      </c>
      <c r="E37" s="69">
        <f t="shared" si="25"/>
        <v>0</v>
      </c>
      <c r="F37" s="69">
        <f t="shared" si="25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78" customFormat="1" outlineLevel="2">
      <c r="A38" s="134" t="s">
        <v>20</v>
      </c>
      <c r="B38" s="94">
        <v>0</v>
      </c>
      <c r="C38" s="94">
        <f t="shared" si="12"/>
        <v>0</v>
      </c>
      <c r="D38" s="95">
        <f t="shared" si="16"/>
        <v>0</v>
      </c>
      <c r="E38" s="69">
        <f t="shared" si="25"/>
        <v>0</v>
      </c>
      <c r="F38" s="69">
        <f t="shared" si="25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4" s="78" customFormat="1" outlineLevel="2">
      <c r="A39" s="134" t="s">
        <v>21</v>
      </c>
      <c r="B39" s="94">
        <v>0</v>
      </c>
      <c r="C39" s="94">
        <f t="shared" si="12"/>
        <v>0</v>
      </c>
      <c r="D39" s="95">
        <f t="shared" si="16"/>
        <v>0</v>
      </c>
      <c r="E39" s="69">
        <f t="shared" si="25"/>
        <v>0</v>
      </c>
      <c r="F39" s="69">
        <f t="shared" si="25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>
      <c r="A40" s="67" t="s">
        <v>38</v>
      </c>
      <c r="B40" s="100">
        <f>SUM(B41:B42)</f>
        <v>170000</v>
      </c>
      <c r="C40" s="100">
        <f>SUM(C41:C42)</f>
        <v>0</v>
      </c>
      <c r="D40" s="100">
        <f>SUM(D41:D42)</f>
        <v>-170000</v>
      </c>
      <c r="E40" s="60">
        <f>SUM(E41:E42)</f>
        <v>0</v>
      </c>
      <c r="F40" s="60">
        <f>SUM(F41:F42)</f>
        <v>0</v>
      </c>
      <c r="G40" s="37"/>
      <c r="H40" s="59">
        <f t="shared" ref="H40:V40" si="26">SUM(H41:H42)</f>
        <v>0</v>
      </c>
      <c r="I40" s="60">
        <f t="shared" si="26"/>
        <v>0</v>
      </c>
      <c r="J40" s="60">
        <f t="shared" si="26"/>
        <v>0</v>
      </c>
      <c r="K40" s="59">
        <f t="shared" si="26"/>
        <v>0</v>
      </c>
      <c r="L40" s="60">
        <f t="shared" si="26"/>
        <v>0</v>
      </c>
      <c r="M40" s="60">
        <f t="shared" si="26"/>
        <v>0</v>
      </c>
      <c r="N40" s="59">
        <f t="shared" si="26"/>
        <v>0</v>
      </c>
      <c r="O40" s="60">
        <f t="shared" si="26"/>
        <v>0</v>
      </c>
      <c r="P40" s="60">
        <f t="shared" si="26"/>
        <v>0</v>
      </c>
      <c r="Q40" s="59">
        <f t="shared" si="26"/>
        <v>0</v>
      </c>
      <c r="R40" s="60">
        <f t="shared" si="26"/>
        <v>0</v>
      </c>
      <c r="S40" s="60">
        <f t="shared" si="26"/>
        <v>0</v>
      </c>
      <c r="T40" s="59">
        <f t="shared" si="26"/>
        <v>0</v>
      </c>
      <c r="U40" s="60">
        <f t="shared" si="26"/>
        <v>0</v>
      </c>
      <c r="V40" s="60">
        <f t="shared" si="26"/>
        <v>0</v>
      </c>
    </row>
    <row r="41" spans="1:24" outlineLevel="2">
      <c r="A41" s="134" t="s">
        <v>39</v>
      </c>
      <c r="B41" s="94">
        <f>200000*0.85</f>
        <v>170000</v>
      </c>
      <c r="C41" s="94">
        <f t="shared" si="12"/>
        <v>0</v>
      </c>
      <c r="D41" s="95">
        <f t="shared" si="16"/>
        <v>-170000</v>
      </c>
      <c r="E41" s="69">
        <f t="shared" ref="E41:F42" si="27">+I41+L41+O41+R41+U41</f>
        <v>0</v>
      </c>
      <c r="F41" s="69">
        <f t="shared" si="27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4" s="78" customFormat="1" outlineLevel="2">
      <c r="A42" s="134" t="s">
        <v>36</v>
      </c>
      <c r="B42" s="94">
        <v>0</v>
      </c>
      <c r="C42" s="94">
        <f t="shared" si="12"/>
        <v>0</v>
      </c>
      <c r="D42" s="95">
        <f t="shared" si="16"/>
        <v>0</v>
      </c>
      <c r="E42" s="69">
        <f t="shared" si="27"/>
        <v>0</v>
      </c>
      <c r="F42" s="69">
        <f t="shared" si="27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>
      <c r="A43" s="47" t="s">
        <v>40</v>
      </c>
      <c r="B43" s="101">
        <f>SUM(B44:B45)</f>
        <v>85000</v>
      </c>
      <c r="C43" s="101">
        <f>SUM(C44:C45)</f>
        <v>68870.48</v>
      </c>
      <c r="D43" s="101">
        <f>SUM(D44:D45)</f>
        <v>-16129.520000000004</v>
      </c>
      <c r="E43" s="49">
        <f>SUM(E44:E45)</f>
        <v>72</v>
      </c>
      <c r="F43" s="49">
        <f>SUM(F44:F45)</f>
        <v>5.03125</v>
      </c>
      <c r="G43" s="37"/>
      <c r="H43" s="48">
        <f t="shared" ref="H43:V43" si="28">SUM(H44:H45)</f>
        <v>3707.34</v>
      </c>
      <c r="I43" s="49">
        <f t="shared" si="28"/>
        <v>3</v>
      </c>
      <c r="J43" s="49">
        <f t="shared" si="28"/>
        <v>0.27083333333333331</v>
      </c>
      <c r="K43" s="48">
        <f t="shared" si="28"/>
        <v>17728.2</v>
      </c>
      <c r="L43" s="49">
        <f t="shared" si="28"/>
        <v>18</v>
      </c>
      <c r="M43" s="49">
        <f t="shared" si="28"/>
        <v>1.2951388888888888</v>
      </c>
      <c r="N43" s="48">
        <f t="shared" si="28"/>
        <v>14259</v>
      </c>
      <c r="O43" s="49">
        <f t="shared" si="28"/>
        <v>17</v>
      </c>
      <c r="P43" s="49">
        <f t="shared" si="28"/>
        <v>1.0416666666666667</v>
      </c>
      <c r="Q43" s="48">
        <f t="shared" si="28"/>
        <v>17110.8</v>
      </c>
      <c r="R43" s="49">
        <f t="shared" si="28"/>
        <v>17</v>
      </c>
      <c r="S43" s="49">
        <f t="shared" si="28"/>
        <v>1.25</v>
      </c>
      <c r="T43" s="48">
        <f t="shared" si="28"/>
        <v>16065.14</v>
      </c>
      <c r="U43" s="49">
        <f t="shared" si="28"/>
        <v>17</v>
      </c>
      <c r="V43" s="49">
        <f t="shared" si="28"/>
        <v>1.1736111111111112</v>
      </c>
    </row>
    <row r="44" spans="1:24" outlineLevel="2">
      <c r="A44" s="1" t="s">
        <v>41</v>
      </c>
      <c r="B44" s="97">
        <f>200000/2*0.85</f>
        <v>85000</v>
      </c>
      <c r="C44" s="92">
        <f t="shared" si="12"/>
        <v>68870.48</v>
      </c>
      <c r="D44" s="93">
        <f t="shared" ref="D44:D45" si="29">+C44-B44</f>
        <v>-16129.520000000004</v>
      </c>
      <c r="E44" s="18">
        <f t="shared" ref="E44:F45" si="30">+I44+L44+O44+R44+U44</f>
        <v>72</v>
      </c>
      <c r="F44" s="18">
        <f t="shared" si="30"/>
        <v>5.03125</v>
      </c>
      <c r="G44" s="37"/>
      <c r="H44" s="181">
        <v>3707.34</v>
      </c>
      <c r="I44" s="182">
        <v>3</v>
      </c>
      <c r="J44" s="183">
        <v>0.27083333333333331</v>
      </c>
      <c r="K44" s="184">
        <v>17728.2</v>
      </c>
      <c r="L44" s="185">
        <v>18</v>
      </c>
      <c r="M44" s="186">
        <v>1.2951388888888888</v>
      </c>
      <c r="N44" s="184">
        <v>14259</v>
      </c>
      <c r="O44" s="185">
        <v>17</v>
      </c>
      <c r="P44" s="186">
        <v>1.0416666666666667</v>
      </c>
      <c r="Q44" s="187">
        <v>17110.8</v>
      </c>
      <c r="R44" s="185">
        <v>17</v>
      </c>
      <c r="S44" s="186">
        <v>1.25</v>
      </c>
      <c r="T44" s="187">
        <v>16065.14</v>
      </c>
      <c r="U44" s="185">
        <v>17</v>
      </c>
      <c r="V44" s="186">
        <v>1.1736111111111112</v>
      </c>
      <c r="W44" s="295"/>
      <c r="X44" s="295"/>
    </row>
    <row r="45" spans="1:24" s="78" customFormat="1" outlineLevel="2">
      <c r="A45" s="68" t="s">
        <v>36</v>
      </c>
      <c r="B45" s="94">
        <v>0</v>
      </c>
      <c r="C45" s="94">
        <f t="shared" si="12"/>
        <v>0</v>
      </c>
      <c r="D45" s="95">
        <f t="shared" si="29"/>
        <v>0</v>
      </c>
      <c r="E45" s="69">
        <f t="shared" si="30"/>
        <v>0</v>
      </c>
      <c r="F45" s="69">
        <f t="shared" si="30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31">SUM(H47:H48)</f>
        <v>0</v>
      </c>
      <c r="I46" s="200">
        <f t="shared" si="31"/>
        <v>0</v>
      </c>
      <c r="J46" s="200">
        <f t="shared" si="31"/>
        <v>0</v>
      </c>
      <c r="K46" s="211">
        <f t="shared" si="31"/>
        <v>0</v>
      </c>
      <c r="L46" s="200">
        <f t="shared" si="31"/>
        <v>0</v>
      </c>
      <c r="M46" s="200">
        <f t="shared" si="31"/>
        <v>0</v>
      </c>
      <c r="N46" s="211">
        <f t="shared" si="31"/>
        <v>0</v>
      </c>
      <c r="O46" s="200">
        <f t="shared" si="31"/>
        <v>0</v>
      </c>
      <c r="P46" s="200">
        <f t="shared" si="31"/>
        <v>0</v>
      </c>
      <c r="Q46" s="211">
        <f t="shared" si="31"/>
        <v>0</v>
      </c>
      <c r="R46" s="200">
        <f t="shared" si="31"/>
        <v>0</v>
      </c>
      <c r="S46" s="200">
        <f t="shared" si="31"/>
        <v>0</v>
      </c>
      <c r="T46" s="211">
        <f t="shared" si="31"/>
        <v>0</v>
      </c>
      <c r="U46" s="200">
        <f t="shared" si="31"/>
        <v>0</v>
      </c>
      <c r="V46" s="200">
        <f t="shared" si="31"/>
        <v>0</v>
      </c>
    </row>
    <row r="47" spans="1:24" s="78" customFormat="1" outlineLevel="2">
      <c r="A47" s="68" t="s">
        <v>43</v>
      </c>
      <c r="B47" s="94">
        <v>0</v>
      </c>
      <c r="C47" s="94">
        <f t="shared" si="12"/>
        <v>0</v>
      </c>
      <c r="D47" s="95">
        <f t="shared" ref="D47:D48" si="32">+C47-B47</f>
        <v>0</v>
      </c>
      <c r="E47" s="69">
        <f t="shared" ref="E47:F48" si="33">+I47+L47+O47+R47+U47</f>
        <v>0</v>
      </c>
      <c r="F47" s="69">
        <f t="shared" si="33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>
      <c r="A48" s="68" t="s">
        <v>36</v>
      </c>
      <c r="B48" s="94">
        <v>0</v>
      </c>
      <c r="C48" s="94">
        <f t="shared" si="12"/>
        <v>0</v>
      </c>
      <c r="D48" s="95">
        <f t="shared" si="32"/>
        <v>0</v>
      </c>
      <c r="E48" s="69">
        <f t="shared" si="33"/>
        <v>0</v>
      </c>
      <c r="F48" s="69">
        <f t="shared" si="33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4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4">SUM(H50:H51)</f>
        <v>0</v>
      </c>
      <c r="I49" s="200">
        <f t="shared" si="34"/>
        <v>0</v>
      </c>
      <c r="J49" s="200">
        <f t="shared" si="34"/>
        <v>0</v>
      </c>
      <c r="K49" s="211">
        <f t="shared" si="34"/>
        <v>0</v>
      </c>
      <c r="L49" s="200">
        <f t="shared" si="34"/>
        <v>0</v>
      </c>
      <c r="M49" s="200">
        <f t="shared" si="34"/>
        <v>0</v>
      </c>
      <c r="N49" s="211">
        <f t="shared" si="34"/>
        <v>0</v>
      </c>
      <c r="O49" s="200">
        <f t="shared" si="34"/>
        <v>0</v>
      </c>
      <c r="P49" s="200">
        <f t="shared" si="34"/>
        <v>0</v>
      </c>
      <c r="Q49" s="211">
        <f t="shared" si="34"/>
        <v>0</v>
      </c>
      <c r="R49" s="200">
        <f t="shared" si="34"/>
        <v>0</v>
      </c>
      <c r="S49" s="200">
        <f t="shared" si="34"/>
        <v>0</v>
      </c>
      <c r="T49" s="211">
        <f t="shared" si="34"/>
        <v>0</v>
      </c>
      <c r="U49" s="200">
        <f t="shared" si="34"/>
        <v>0</v>
      </c>
      <c r="V49" s="200">
        <f t="shared" si="34"/>
        <v>0</v>
      </c>
    </row>
    <row r="50" spans="1:24" s="226" customFormat="1" outlineLevel="2">
      <c r="A50" s="315" t="s">
        <v>129</v>
      </c>
      <c r="B50" s="215">
        <v>0</v>
      </c>
      <c r="C50" s="215">
        <f t="shared" si="12"/>
        <v>0</v>
      </c>
      <c r="D50" s="216">
        <f t="shared" si="16"/>
        <v>0</v>
      </c>
      <c r="E50" s="217">
        <f t="shared" ref="E50:F51" si="35">+I50+L50+O50+R50+U50</f>
        <v>0</v>
      </c>
      <c r="F50" s="217">
        <f t="shared" si="35"/>
        <v>0</v>
      </c>
      <c r="G50" s="218"/>
      <c r="H50" s="219"/>
      <c r="I50" s="220"/>
      <c r="J50" s="221"/>
      <c r="K50" s="222"/>
      <c r="L50" s="223"/>
      <c r="M50" s="224"/>
      <c r="N50" s="222"/>
      <c r="O50" s="223"/>
      <c r="P50" s="224"/>
      <c r="Q50" s="225"/>
      <c r="R50" s="223"/>
      <c r="S50" s="224"/>
      <c r="T50" s="225"/>
      <c r="U50" s="223"/>
      <c r="V50" s="224"/>
    </row>
    <row r="51" spans="1:24" s="78" customFormat="1" outlineLevel="2">
      <c r="A51" s="68" t="s">
        <v>36</v>
      </c>
      <c r="B51" s="94">
        <v>0</v>
      </c>
      <c r="C51" s="94">
        <f t="shared" si="12"/>
        <v>0</v>
      </c>
      <c r="D51" s="95">
        <f t="shared" si="16"/>
        <v>0</v>
      </c>
      <c r="E51" s="69">
        <f t="shared" si="35"/>
        <v>0</v>
      </c>
      <c r="F51" s="69">
        <f t="shared" si="35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4" ht="18">
      <c r="A52" s="138" t="s">
        <v>45</v>
      </c>
      <c r="B52" s="102">
        <f>+B49+B40+B31+B22+B13+B3+B46+B43</f>
        <v>2815000</v>
      </c>
      <c r="C52" s="102">
        <f>+C49+C40+C31+C22+C13+C3+C46+C43</f>
        <v>1734381.02</v>
      </c>
      <c r="D52" s="102">
        <f>+D49+D40+D31+D22+D13+D3+D46+D43</f>
        <v>-1080618.9800000002</v>
      </c>
      <c r="E52" s="90">
        <f>+E49+E40+E31+E22+E13+E3+E46+E43</f>
        <v>1570</v>
      </c>
      <c r="F52" s="90">
        <f>+F49+F40+F31+F22+F13+F3+F46+F43</f>
        <v>103.92041666666665</v>
      </c>
      <c r="G52" s="38"/>
      <c r="H52" s="196">
        <f t="shared" ref="H52:V52" si="36">+H49+H40+H31+H22+H13+H3+H46+H43</f>
        <v>78645.360000000015</v>
      </c>
      <c r="I52" s="197">
        <f t="shared" si="36"/>
        <v>71</v>
      </c>
      <c r="J52" s="197">
        <f t="shared" si="36"/>
        <v>4.895833333333333</v>
      </c>
      <c r="K52" s="196">
        <f t="shared" si="36"/>
        <v>376544.7</v>
      </c>
      <c r="L52" s="197">
        <f t="shared" si="36"/>
        <v>334</v>
      </c>
      <c r="M52" s="197">
        <f t="shared" si="36"/>
        <v>21.677083333333332</v>
      </c>
      <c r="N52" s="196">
        <f t="shared" si="36"/>
        <v>453561.4</v>
      </c>
      <c r="O52" s="197">
        <f t="shared" si="36"/>
        <v>417</v>
      </c>
      <c r="P52" s="197">
        <f t="shared" si="36"/>
        <v>27.008333333333333</v>
      </c>
      <c r="Q52" s="196">
        <f t="shared" si="36"/>
        <v>385710.18</v>
      </c>
      <c r="R52" s="197">
        <f t="shared" si="36"/>
        <v>328</v>
      </c>
      <c r="S52" s="197">
        <f t="shared" si="36"/>
        <v>23.046111111111109</v>
      </c>
      <c r="T52" s="196">
        <f t="shared" si="36"/>
        <v>439919.38</v>
      </c>
      <c r="U52" s="197">
        <f t="shared" si="36"/>
        <v>420</v>
      </c>
      <c r="V52" s="197">
        <f t="shared" si="36"/>
        <v>27.293055555555558</v>
      </c>
      <c r="X52" s="295"/>
    </row>
    <row r="54" spans="1:24" ht="18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4">
      <c r="A55" s="87" t="s">
        <v>47</v>
      </c>
      <c r="B55" s="105">
        <f>+B56+B66+B75+B84+B93+B102+B96+B99</f>
        <v>1172500</v>
      </c>
      <c r="C55" s="105">
        <f>+C56+C66+C75+C84+C93+C102+C96+C99</f>
        <v>1163790</v>
      </c>
      <c r="D55" s="106">
        <f>+C55-B55</f>
        <v>-8710</v>
      </c>
    </row>
    <row r="56" spans="1:24" outlineLevel="1">
      <c r="A56" s="44" t="s">
        <v>48</v>
      </c>
      <c r="B56" s="107">
        <f>SUM(B57:B65)*1.34</f>
        <v>633820</v>
      </c>
      <c r="C56" s="107">
        <f>SUM(C57:C65)*1.34</f>
        <v>633820</v>
      </c>
      <c r="D56" s="108">
        <f>+C56-B56</f>
        <v>0</v>
      </c>
    </row>
    <row r="57" spans="1:24" outlineLevel="2">
      <c r="A57" s="132" t="str">
        <f>+A4</f>
        <v>psych. s. 1 - NÁGLOVÁ</v>
      </c>
      <c r="B57" s="93">
        <v>60000</v>
      </c>
      <c r="C57" s="93">
        <f>+B57</f>
        <v>60000</v>
      </c>
      <c r="D57" s="109">
        <f t="shared" ref="D57:D74" si="37">+C57-B57</f>
        <v>0</v>
      </c>
      <c r="F57" s="16"/>
      <c r="G57" s="40"/>
    </row>
    <row r="58" spans="1:24" outlineLevel="2">
      <c r="A58" s="132" t="str">
        <f t="shared" ref="A58:A65" si="38">+A5</f>
        <v>psych. s. 2 - HAJASOVÁ</v>
      </c>
      <c r="B58" s="93">
        <v>47000</v>
      </c>
      <c r="C58" s="93">
        <f>+B58</f>
        <v>47000</v>
      </c>
      <c r="D58" s="109">
        <f t="shared" si="37"/>
        <v>0</v>
      </c>
      <c r="F58" s="16"/>
      <c r="G58" s="40"/>
    </row>
    <row r="59" spans="1:24" outlineLevel="2">
      <c r="A59" s="132" t="str">
        <f t="shared" si="38"/>
        <v>psych. s. 3 -  KAŠPÁRKOVÁ/Pekárová</v>
      </c>
      <c r="B59" s="93">
        <v>65000</v>
      </c>
      <c r="C59" s="93">
        <f>+B59</f>
        <v>65000</v>
      </c>
      <c r="D59" s="109">
        <f t="shared" si="37"/>
        <v>0</v>
      </c>
      <c r="F59" s="16"/>
      <c r="G59" s="40"/>
    </row>
    <row r="60" spans="1:24" s="78" customFormat="1" outlineLevel="2">
      <c r="A60" s="134" t="str">
        <f t="shared" si="38"/>
        <v>psychiatr 1</v>
      </c>
      <c r="B60" s="155">
        <v>0</v>
      </c>
      <c r="C60" s="155">
        <v>0</v>
      </c>
      <c r="D60" s="156">
        <f t="shared" si="37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4" s="78" customFormat="1" outlineLevel="2">
      <c r="A61" s="132" t="str">
        <f t="shared" si="38"/>
        <v>psychiatr - GÁBEL 0,2</v>
      </c>
      <c r="B61" s="93">
        <v>16000</v>
      </c>
      <c r="C61" s="93">
        <f>+B61</f>
        <v>16000</v>
      </c>
      <c r="D61" s="109">
        <f t="shared" si="37"/>
        <v>0</v>
      </c>
      <c r="E61" s="79"/>
      <c r="F61" s="79"/>
      <c r="G61" s="80"/>
      <c r="H61" s="81"/>
      <c r="I61" s="82"/>
      <c r="J61" s="82"/>
      <c r="K61" s="81"/>
      <c r="L61" s="84"/>
      <c r="M61" s="85"/>
      <c r="N61" s="81"/>
      <c r="O61" s="84"/>
      <c r="P61" s="86"/>
      <c r="Q61" s="81"/>
      <c r="R61" s="84"/>
      <c r="S61" s="86"/>
      <c r="T61" s="81"/>
      <c r="U61" s="84"/>
      <c r="V61" s="86"/>
    </row>
    <row r="62" spans="1:24" outlineLevel="2">
      <c r="A62" s="132" t="str">
        <f t="shared" si="38"/>
        <v>psychiatr - PFEIFFER 0,5</v>
      </c>
      <c r="B62" s="93">
        <v>85000</v>
      </c>
      <c r="C62" s="93">
        <f>+B62</f>
        <v>85000</v>
      </c>
      <c r="D62" s="109">
        <f t="shared" si="37"/>
        <v>0</v>
      </c>
      <c r="F62" s="16"/>
      <c r="G62" s="40"/>
      <c r="J62" s="82"/>
    </row>
    <row r="63" spans="1:24" outlineLevel="2">
      <c r="A63" s="132" t="str">
        <f t="shared" si="38"/>
        <v>psychiatr - Dr. Suchánková 1,0</v>
      </c>
      <c r="B63" s="166">
        <v>160000</v>
      </c>
      <c r="C63" s="93">
        <f>+B63</f>
        <v>160000</v>
      </c>
      <c r="D63" s="109">
        <f t="shared" si="37"/>
        <v>0</v>
      </c>
      <c r="F63" s="16"/>
      <c r="G63" s="40"/>
      <c r="J63" s="82"/>
    </row>
    <row r="64" spans="1:24" s="175" customFormat="1" outlineLevel="2">
      <c r="A64" s="132" t="str">
        <f t="shared" si="38"/>
        <v>psycholog 1 - Dr. Balko 0,2</v>
      </c>
      <c r="B64" s="166">
        <v>25000</v>
      </c>
      <c r="C64" s="166">
        <f>+B64</f>
        <v>25000</v>
      </c>
      <c r="D64" s="167">
        <f t="shared" si="37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75" customFormat="1" outlineLevel="2">
      <c r="A65" s="165" t="str">
        <f t="shared" si="38"/>
        <v>psycholog 2 - Lichtenbergová</v>
      </c>
      <c r="B65" s="166">
        <v>15000</v>
      </c>
      <c r="C65" s="166">
        <f>+B65</f>
        <v>15000</v>
      </c>
      <c r="D65" s="167">
        <f t="shared" si="37"/>
        <v>0</v>
      </c>
      <c r="E65" s="168"/>
      <c r="F65" s="168"/>
      <c r="G65" s="169"/>
      <c r="H65" s="170"/>
      <c r="I65" s="171"/>
      <c r="J65" s="171"/>
      <c r="K65" s="170"/>
      <c r="L65" s="172"/>
      <c r="M65" s="173"/>
      <c r="N65" s="170"/>
      <c r="O65" s="172"/>
      <c r="P65" s="174"/>
      <c r="Q65" s="170"/>
      <c r="R65" s="172"/>
      <c r="S65" s="174"/>
      <c r="T65" s="170"/>
      <c r="U65" s="172"/>
      <c r="V65" s="174"/>
    </row>
    <row r="66" spans="1:22" outlineLevel="1">
      <c r="A66" s="58" t="s">
        <v>52</v>
      </c>
      <c r="B66" s="111">
        <f>SUM(B67:B74)*1.34</f>
        <v>154100</v>
      </c>
      <c r="C66" s="111">
        <f>SUM(C67:C74)*1.34</f>
        <v>158120</v>
      </c>
      <c r="D66" s="112">
        <f>+C66-B66</f>
        <v>4020</v>
      </c>
      <c r="F66" s="16"/>
      <c r="G66" s="40"/>
      <c r="J66" s="82"/>
    </row>
    <row r="67" spans="1:22" outlineLevel="2">
      <c r="A67" s="133" t="s">
        <v>23</v>
      </c>
      <c r="B67" s="93">
        <v>55000</v>
      </c>
      <c r="C67" s="93">
        <v>56500</v>
      </c>
      <c r="D67" s="109">
        <f t="shared" si="37"/>
        <v>1500</v>
      </c>
      <c r="F67" s="16"/>
      <c r="G67" s="40"/>
      <c r="J67" s="82"/>
    </row>
    <row r="68" spans="1:22" s="175" customFormat="1" outlineLevel="2">
      <c r="A68" s="165" t="s">
        <v>54</v>
      </c>
      <c r="B68" s="166">
        <v>60000</v>
      </c>
      <c r="C68" s="166">
        <v>61500</v>
      </c>
      <c r="D68" s="167">
        <f t="shared" si="37"/>
        <v>1500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>
      <c r="A69" s="134" t="s">
        <v>25</v>
      </c>
      <c r="B69" s="155">
        <v>0</v>
      </c>
      <c r="C69" s="155">
        <v>0</v>
      </c>
      <c r="D69" s="156">
        <f t="shared" si="37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>
      <c r="A70" s="134" t="s">
        <v>26</v>
      </c>
      <c r="B70" s="155">
        <v>0</v>
      </c>
      <c r="C70" s="155">
        <v>0</v>
      </c>
      <c r="D70" s="156">
        <f t="shared" si="37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>
      <c r="A71" s="134" t="s">
        <v>27</v>
      </c>
      <c r="B71" s="155">
        <v>0</v>
      </c>
      <c r="C71" s="155">
        <v>0</v>
      </c>
      <c r="D71" s="156">
        <f t="shared" si="37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>
      <c r="A72" s="134" t="s">
        <v>28</v>
      </c>
      <c r="B72" s="155">
        <v>0</v>
      </c>
      <c r="C72" s="155">
        <v>0</v>
      </c>
      <c r="D72" s="156">
        <f t="shared" si="37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>
      <c r="A73" s="134" t="s">
        <v>20</v>
      </c>
      <c r="B73" s="155">
        <v>0</v>
      </c>
      <c r="C73" s="155">
        <v>0</v>
      </c>
      <c r="D73" s="156">
        <f t="shared" si="37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>
      <c r="A74" s="134" t="s">
        <v>21</v>
      </c>
      <c r="B74" s="95">
        <v>0</v>
      </c>
      <c r="C74" s="95">
        <v>0</v>
      </c>
      <c r="D74" s="110">
        <f t="shared" si="37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>
      <c r="A75" s="57" t="s">
        <v>58</v>
      </c>
      <c r="B75" s="113">
        <f>SUM(B76:B83)*1.34</f>
        <v>238520</v>
      </c>
      <c r="C75" s="113">
        <f>SUM(C76:C83)*1.34</f>
        <v>242540</v>
      </c>
      <c r="D75" s="114">
        <f>+C75-B75</f>
        <v>4020</v>
      </c>
      <c r="F75" s="16"/>
      <c r="G75" s="40"/>
      <c r="J75" s="82"/>
    </row>
    <row r="76" spans="1:22" outlineLevel="2">
      <c r="A76" s="165" t="s">
        <v>30</v>
      </c>
      <c r="B76" s="93">
        <v>65000</v>
      </c>
      <c r="C76" s="93">
        <f>+B76</f>
        <v>65000</v>
      </c>
      <c r="D76" s="109">
        <f t="shared" ref="D76:D92" si="39">+C76-B76</f>
        <v>0</v>
      </c>
      <c r="F76" s="16"/>
      <c r="G76" s="40"/>
      <c r="J76" s="83"/>
    </row>
    <row r="77" spans="1:22" s="175" customFormat="1" outlineLevel="2">
      <c r="A77" s="165" t="s">
        <v>117</v>
      </c>
      <c r="B77" s="166">
        <v>58000</v>
      </c>
      <c r="C77" s="166">
        <v>59500</v>
      </c>
      <c r="D77" s="167">
        <f t="shared" si="39"/>
        <v>1500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>
      <c r="A78" s="165" t="s">
        <v>118</v>
      </c>
      <c r="B78" s="166">
        <v>55000</v>
      </c>
      <c r="C78" s="166">
        <v>56500</v>
      </c>
      <c r="D78" s="167">
        <f t="shared" si="39"/>
        <v>1500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>
      <c r="A79" s="134" t="s">
        <v>33</v>
      </c>
      <c r="B79" s="155">
        <v>0</v>
      </c>
      <c r="C79" s="155">
        <v>0</v>
      </c>
      <c r="D79" s="156">
        <f t="shared" si="39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>
      <c r="A80" s="134" t="s">
        <v>27</v>
      </c>
      <c r="B80" s="155">
        <v>0</v>
      </c>
      <c r="C80" s="155">
        <v>0</v>
      </c>
      <c r="D80" s="156">
        <f t="shared" si="39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>
      <c r="A81" s="134" t="s">
        <v>28</v>
      </c>
      <c r="B81" s="95">
        <v>0</v>
      </c>
      <c r="C81" s="95">
        <v>0</v>
      </c>
      <c r="D81" s="110">
        <f t="shared" si="39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>
      <c r="A82" s="134" t="s">
        <v>20</v>
      </c>
      <c r="B82" s="155">
        <v>0</v>
      </c>
      <c r="C82" s="155">
        <v>0</v>
      </c>
      <c r="D82" s="156">
        <f t="shared" si="39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>
      <c r="A83" s="134" t="s">
        <v>21</v>
      </c>
      <c r="B83" s="95">
        <v>0</v>
      </c>
      <c r="C83" s="95">
        <v>0</v>
      </c>
      <c r="D83" s="110">
        <f t="shared" si="39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>
      <c r="A84" s="50" t="s">
        <v>60</v>
      </c>
      <c r="B84" s="115">
        <f>SUM(B85:B92)*1.34</f>
        <v>93800</v>
      </c>
      <c r="C84" s="115">
        <f>SUM(C85:C92)*1.34</f>
        <v>93800</v>
      </c>
      <c r="D84" s="116">
        <f>+C84-B84</f>
        <v>0</v>
      </c>
      <c r="F84" s="16"/>
      <c r="G84" s="40"/>
    </row>
    <row r="85" spans="1:22" s="175" customFormat="1" outlineLevel="2">
      <c r="A85" s="165" t="s">
        <v>130</v>
      </c>
      <c r="B85" s="166">
        <v>70000</v>
      </c>
      <c r="C85" s="166">
        <f>+B85</f>
        <v>70000</v>
      </c>
      <c r="D85" s="167">
        <f t="shared" si="39"/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78" customFormat="1" outlineLevel="2">
      <c r="A86" s="134" t="s">
        <v>36</v>
      </c>
      <c r="B86" s="95">
        <v>0</v>
      </c>
      <c r="C86" s="95">
        <v>0</v>
      </c>
      <c r="D86" s="110">
        <f t="shared" si="39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>
      <c r="A87" s="134" t="s">
        <v>25</v>
      </c>
      <c r="B87" s="95">
        <v>0</v>
      </c>
      <c r="C87" s="95">
        <v>0</v>
      </c>
      <c r="D87" s="110">
        <f t="shared" si="39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>
      <c r="A88" s="134" t="s">
        <v>26</v>
      </c>
      <c r="B88" s="95">
        <v>0</v>
      </c>
      <c r="C88" s="95">
        <v>0</v>
      </c>
      <c r="D88" s="110">
        <f t="shared" si="39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>
      <c r="A89" s="134" t="s">
        <v>37</v>
      </c>
      <c r="B89" s="95">
        <v>0</v>
      </c>
      <c r="C89" s="95">
        <v>0</v>
      </c>
      <c r="D89" s="110">
        <f t="shared" si="39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>
      <c r="A90" s="134" t="s">
        <v>28</v>
      </c>
      <c r="B90" s="95">
        <v>0</v>
      </c>
      <c r="C90" s="95">
        <v>0</v>
      </c>
      <c r="D90" s="110">
        <f t="shared" si="39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78" customFormat="1" outlineLevel="2">
      <c r="A91" s="134" t="s">
        <v>20</v>
      </c>
      <c r="B91" s="95">
        <v>0</v>
      </c>
      <c r="C91" s="95">
        <v>0</v>
      </c>
      <c r="D91" s="110">
        <f t="shared" si="39"/>
        <v>0</v>
      </c>
      <c r="E91" s="79"/>
      <c r="F91" s="79"/>
      <c r="G91" s="80"/>
      <c r="H91" s="81"/>
      <c r="I91" s="82"/>
      <c r="J91" s="83"/>
      <c r="K91" s="81"/>
      <c r="L91" s="84"/>
      <c r="M91" s="85"/>
      <c r="N91" s="81"/>
      <c r="O91" s="84"/>
      <c r="P91" s="86"/>
      <c r="Q91" s="81"/>
      <c r="R91" s="84"/>
      <c r="S91" s="86"/>
      <c r="T91" s="81"/>
      <c r="U91" s="84"/>
      <c r="V91" s="86"/>
    </row>
    <row r="92" spans="1:22" s="78" customFormat="1" outlineLevel="2">
      <c r="A92" s="134" t="s">
        <v>21</v>
      </c>
      <c r="B92" s="95">
        <v>0</v>
      </c>
      <c r="C92" s="95">
        <v>0</v>
      </c>
      <c r="D92" s="110">
        <f t="shared" si="39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ref="D93:D131" si="40">+C93-B93</f>
        <v>0</v>
      </c>
      <c r="F93" s="16"/>
      <c r="G93" s="40"/>
    </row>
    <row r="94" spans="1:22" outlineLevel="2">
      <c r="A94" s="134" t="s">
        <v>39</v>
      </c>
      <c r="B94" s="155">
        <v>0</v>
      </c>
      <c r="C94" s="155">
        <v>0</v>
      </c>
      <c r="D94" s="156">
        <f t="shared" si="40"/>
        <v>0</v>
      </c>
      <c r="F94" s="16"/>
      <c r="G94" s="40"/>
    </row>
    <row r="95" spans="1:22" s="78" customFormat="1" outlineLevel="2">
      <c r="A95" s="134" t="s">
        <v>36</v>
      </c>
      <c r="B95" s="95">
        <v>0</v>
      </c>
      <c r="C95" s="95">
        <v>0</v>
      </c>
      <c r="D95" s="110">
        <f t="shared" si="40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>
      <c r="A96" s="136" t="s">
        <v>63</v>
      </c>
      <c r="B96" s="120">
        <f>SUM(B97:B98)*1.34</f>
        <v>33500</v>
      </c>
      <c r="C96" s="120">
        <f>SUM(C97:C98)*1.34</f>
        <v>35510</v>
      </c>
      <c r="D96" s="121">
        <f t="shared" si="40"/>
        <v>2010</v>
      </c>
      <c r="F96" s="16"/>
      <c r="G96" s="40"/>
    </row>
    <row r="97" spans="1:22" outlineLevel="2">
      <c r="A97" s="1" t="s">
        <v>41</v>
      </c>
      <c r="B97" s="93">
        <v>25000</v>
      </c>
      <c r="C97" s="93">
        <v>26500</v>
      </c>
      <c r="D97" s="119">
        <f t="shared" si="40"/>
        <v>1500</v>
      </c>
      <c r="F97" s="16"/>
      <c r="G97" s="40"/>
    </row>
    <row r="98" spans="1:22" s="78" customFormat="1" outlineLevel="2">
      <c r="A98" s="68" t="s">
        <v>36</v>
      </c>
      <c r="B98" s="95">
        <v>0</v>
      </c>
      <c r="C98" s="95">
        <v>0</v>
      </c>
      <c r="D98" s="110">
        <f t="shared" si="40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40"/>
        <v>0</v>
      </c>
      <c r="F99" s="16"/>
      <c r="G99" s="40"/>
    </row>
    <row r="100" spans="1:22" s="78" customFormat="1" outlineLevel="2">
      <c r="A100" s="68" t="s">
        <v>43</v>
      </c>
      <c r="B100" s="95">
        <v>0</v>
      </c>
      <c r="C100" s="95">
        <v>0</v>
      </c>
      <c r="D100" s="110">
        <f t="shared" si="40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>
      <c r="A101" s="68" t="s">
        <v>36</v>
      </c>
      <c r="B101" s="95">
        <v>0</v>
      </c>
      <c r="C101" s="95">
        <v>0</v>
      </c>
      <c r="D101" s="110">
        <f t="shared" si="40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40"/>
        <v>-18760</v>
      </c>
      <c r="F102" s="16"/>
      <c r="G102" s="40"/>
    </row>
    <row r="103" spans="1:22" s="78" customFormat="1" outlineLevel="2">
      <c r="A103" s="315" t="str">
        <f>+A50</f>
        <v>psych. s 1  - Skokanová</v>
      </c>
      <c r="B103" s="216">
        <v>14000</v>
      </c>
      <c r="C103" s="216">
        <v>0</v>
      </c>
      <c r="D103" s="119">
        <f t="shared" si="40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>
      <c r="A104" s="68" t="s">
        <v>36</v>
      </c>
      <c r="B104" s="95">
        <v>0</v>
      </c>
      <c r="C104" s="95">
        <v>0</v>
      </c>
      <c r="D104" s="110">
        <f t="shared" si="40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>
      <c r="A105" s="89" t="s">
        <v>66</v>
      </c>
      <c r="B105" s="122">
        <f>SUM(B106:B113)</f>
        <v>422250</v>
      </c>
      <c r="C105" s="122">
        <f>SUM(C106:C113)</f>
        <v>260157.15299999999</v>
      </c>
      <c r="D105" s="123">
        <f>+C105-B105</f>
        <v>-162092.84700000001</v>
      </c>
    </row>
    <row r="106" spans="1:22" outlineLevel="1">
      <c r="A106" s="44" t="s">
        <v>67</v>
      </c>
      <c r="B106" s="141">
        <f>+B3*0.15</f>
        <v>208500</v>
      </c>
      <c r="C106" s="141">
        <f>+C3*0.15</f>
        <v>147166.63199999998</v>
      </c>
      <c r="D106" s="142">
        <f t="shared" si="40"/>
        <v>-61333.368000000017</v>
      </c>
    </row>
    <row r="107" spans="1:22" outlineLevel="1">
      <c r="A107" s="58" t="s">
        <v>68</v>
      </c>
      <c r="B107" s="141">
        <f>+B13*0.15</f>
        <v>60000</v>
      </c>
      <c r="C107" s="141">
        <f>+C13*0.15</f>
        <v>35238.986999999994</v>
      </c>
      <c r="D107" s="142">
        <f t="shared" si="40"/>
        <v>-24761.013000000006</v>
      </c>
    </row>
    <row r="108" spans="1:22" outlineLevel="1">
      <c r="A108" s="57" t="s">
        <v>69</v>
      </c>
      <c r="B108" s="141">
        <f>+B22*0.15</f>
        <v>90000</v>
      </c>
      <c r="C108" s="141">
        <f>+C22*0.15</f>
        <v>55493.381999999998</v>
      </c>
      <c r="D108" s="142">
        <f t="shared" si="40"/>
        <v>-34506.618000000002</v>
      </c>
    </row>
    <row r="109" spans="1:22" outlineLevel="1">
      <c r="A109" s="50" t="s">
        <v>70</v>
      </c>
      <c r="B109" s="141">
        <f>+B31*0.15</f>
        <v>25500</v>
      </c>
      <c r="C109" s="141">
        <f>+C31*0.15</f>
        <v>11927.580000000002</v>
      </c>
      <c r="D109" s="142">
        <f t="shared" si="40"/>
        <v>-13572.419999999998</v>
      </c>
    </row>
    <row r="110" spans="1:22" outlineLevel="1">
      <c r="A110" s="67" t="s">
        <v>71</v>
      </c>
      <c r="B110" s="141">
        <f>+B40*0.15</f>
        <v>25500</v>
      </c>
      <c r="C110" s="141">
        <f>+C40*0.15</f>
        <v>0</v>
      </c>
      <c r="D110" s="142">
        <f t="shared" si="40"/>
        <v>-25500</v>
      </c>
    </row>
    <row r="111" spans="1:22" outlineLevel="1">
      <c r="A111" s="47" t="s">
        <v>72</v>
      </c>
      <c r="B111" s="141">
        <f>+B43*0.15</f>
        <v>12750</v>
      </c>
      <c r="C111" s="141">
        <f>+C43*0.15</f>
        <v>10330.571999999998</v>
      </c>
      <c r="D111" s="142">
        <f t="shared" si="40"/>
        <v>-2419.4280000000017</v>
      </c>
    </row>
    <row r="112" spans="1:22" outlineLevel="1">
      <c r="A112" s="198" t="s">
        <v>73</v>
      </c>
      <c r="B112" s="141">
        <f>+B46*0.15</f>
        <v>0</v>
      </c>
      <c r="C112" s="141">
        <f>+C46*0.15</f>
        <v>0</v>
      </c>
      <c r="D112" s="142">
        <f t="shared" si="40"/>
        <v>0</v>
      </c>
    </row>
    <row r="113" spans="1:4" outlineLevel="1">
      <c r="A113" s="198" t="s">
        <v>74</v>
      </c>
      <c r="B113" s="141">
        <f>+B49*0.15</f>
        <v>0</v>
      </c>
      <c r="C113" s="141">
        <f>+C49*0.15</f>
        <v>0</v>
      </c>
      <c r="D113" s="142">
        <f t="shared" si="40"/>
        <v>0</v>
      </c>
    </row>
    <row r="114" spans="1:4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>
      <c r="A115" s="44" t="s">
        <v>76</v>
      </c>
      <c r="B115" s="111">
        <v>30000</v>
      </c>
      <c r="C115" s="111">
        <f>+B115</f>
        <v>30000</v>
      </c>
      <c r="D115" s="112">
        <f t="shared" si="40"/>
        <v>0</v>
      </c>
    </row>
    <row r="116" spans="1:4" outlineLevel="1">
      <c r="A116" s="58" t="s">
        <v>77</v>
      </c>
      <c r="B116" s="111">
        <v>20000</v>
      </c>
      <c r="C116" s="111">
        <f t="shared" ref="C116:C122" si="41">+B116</f>
        <v>20000</v>
      </c>
      <c r="D116" s="112">
        <f t="shared" si="40"/>
        <v>0</v>
      </c>
    </row>
    <row r="117" spans="1:4" outlineLevel="1">
      <c r="A117" s="57" t="s">
        <v>78</v>
      </c>
      <c r="B117" s="111">
        <v>20000</v>
      </c>
      <c r="C117" s="111">
        <f t="shared" si="41"/>
        <v>20000</v>
      </c>
      <c r="D117" s="111">
        <f t="shared" si="40"/>
        <v>0</v>
      </c>
    </row>
    <row r="118" spans="1:4" outlineLevel="1">
      <c r="A118" s="50" t="s">
        <v>79</v>
      </c>
      <c r="B118" s="111">
        <v>0</v>
      </c>
      <c r="C118" s="111">
        <f t="shared" si="41"/>
        <v>0</v>
      </c>
      <c r="D118" s="111">
        <f t="shared" si="40"/>
        <v>0</v>
      </c>
    </row>
    <row r="119" spans="1:4" outlineLevel="1">
      <c r="A119" s="67" t="s">
        <v>80</v>
      </c>
      <c r="B119" s="111">
        <v>0</v>
      </c>
      <c r="C119" s="111">
        <f t="shared" si="41"/>
        <v>0</v>
      </c>
      <c r="D119" s="111">
        <f t="shared" si="40"/>
        <v>0</v>
      </c>
    </row>
    <row r="120" spans="1:4" outlineLevel="1">
      <c r="A120" s="47" t="s">
        <v>81</v>
      </c>
      <c r="B120" s="111">
        <v>0</v>
      </c>
      <c r="C120" s="111">
        <f t="shared" si="41"/>
        <v>0</v>
      </c>
      <c r="D120" s="111">
        <f t="shared" si="40"/>
        <v>0</v>
      </c>
    </row>
    <row r="121" spans="1:4" outlineLevel="1">
      <c r="A121" s="198" t="s">
        <v>82</v>
      </c>
      <c r="B121" s="111">
        <v>0</v>
      </c>
      <c r="C121" s="111">
        <f t="shared" si="41"/>
        <v>0</v>
      </c>
      <c r="D121" s="111">
        <f t="shared" si="40"/>
        <v>0</v>
      </c>
    </row>
    <row r="122" spans="1:4" outlineLevel="1">
      <c r="A122" s="198" t="s">
        <v>83</v>
      </c>
      <c r="B122" s="111">
        <v>0</v>
      </c>
      <c r="C122" s="111">
        <f t="shared" si="41"/>
        <v>0</v>
      </c>
      <c r="D122" s="111">
        <f t="shared" si="40"/>
        <v>0</v>
      </c>
    </row>
    <row r="123" spans="1:4">
      <c r="A123" s="150" t="s">
        <v>84</v>
      </c>
      <c r="B123" s="151">
        <f>SUM(B124:B131)</f>
        <v>281500</v>
      </c>
      <c r="C123" s="151">
        <f t="shared" ref="C123" si="42">SUM(C124:C131)</f>
        <v>173438.10199999998</v>
      </c>
      <c r="D123" s="151">
        <f>+C123-B123</f>
        <v>-108061.89800000002</v>
      </c>
    </row>
    <row r="124" spans="1:4" outlineLevel="1">
      <c r="A124" s="44" t="s">
        <v>85</v>
      </c>
      <c r="B124" s="152">
        <f>+B3/10</f>
        <v>139000</v>
      </c>
      <c r="C124" s="152">
        <f>+C3/10</f>
        <v>98111.087999999989</v>
      </c>
      <c r="D124" s="153">
        <f t="shared" si="40"/>
        <v>-40888.912000000011</v>
      </c>
    </row>
    <row r="125" spans="1:4" outlineLevel="1">
      <c r="A125" s="58" t="s">
        <v>86</v>
      </c>
      <c r="B125" s="152">
        <f>+B13/10</f>
        <v>40000</v>
      </c>
      <c r="C125" s="152">
        <f>+C13/10</f>
        <v>23492.657999999999</v>
      </c>
      <c r="D125" s="153">
        <f t="shared" si="40"/>
        <v>-16507.342000000001</v>
      </c>
    </row>
    <row r="126" spans="1:4" outlineLevel="1">
      <c r="A126" s="57" t="s">
        <v>87</v>
      </c>
      <c r="B126" s="152">
        <f>+B22/10</f>
        <v>60000</v>
      </c>
      <c r="C126" s="152">
        <f>+C22/10</f>
        <v>36995.588000000003</v>
      </c>
      <c r="D126" s="152">
        <f t="shared" si="40"/>
        <v>-23004.411999999997</v>
      </c>
    </row>
    <row r="127" spans="1:4" outlineLevel="1">
      <c r="A127" s="50" t="s">
        <v>88</v>
      </c>
      <c r="B127" s="152">
        <f>+B31/10</f>
        <v>17000</v>
      </c>
      <c r="C127" s="152">
        <f>+C31/10</f>
        <v>7951.7200000000012</v>
      </c>
      <c r="D127" s="152">
        <f t="shared" si="40"/>
        <v>-9048.2799999999988</v>
      </c>
    </row>
    <row r="128" spans="1:4" outlineLevel="1">
      <c r="A128" s="67" t="s">
        <v>89</v>
      </c>
      <c r="B128" s="152">
        <f>+B40/10</f>
        <v>17000</v>
      </c>
      <c r="C128" s="152">
        <f>+C40/10</f>
        <v>0</v>
      </c>
      <c r="D128" s="152">
        <f t="shared" si="40"/>
        <v>-17000</v>
      </c>
    </row>
    <row r="129" spans="1:7" outlineLevel="1">
      <c r="A129" s="47" t="s">
        <v>90</v>
      </c>
      <c r="B129" s="152">
        <f>+B43/10</f>
        <v>8500</v>
      </c>
      <c r="C129" s="152">
        <f>+C43/10</f>
        <v>6887.0479999999998</v>
      </c>
      <c r="D129" s="152">
        <f t="shared" si="40"/>
        <v>-1612.9520000000002</v>
      </c>
    </row>
    <row r="130" spans="1:7" outlineLevel="1">
      <c r="A130" s="198" t="s">
        <v>91</v>
      </c>
      <c r="B130" s="152">
        <f>+B46/10</f>
        <v>0</v>
      </c>
      <c r="C130" s="152">
        <f>+C46/10</f>
        <v>0</v>
      </c>
      <c r="D130" s="152">
        <f t="shared" si="40"/>
        <v>0</v>
      </c>
    </row>
    <row r="131" spans="1:7" outlineLevel="1">
      <c r="A131" s="198" t="s">
        <v>92</v>
      </c>
      <c r="B131" s="152">
        <f>+B49/10</f>
        <v>0</v>
      </c>
      <c r="C131" s="152">
        <f>+C49/10</f>
        <v>0</v>
      </c>
      <c r="D131" s="152">
        <f t="shared" si="40"/>
        <v>0</v>
      </c>
    </row>
    <row r="132" spans="1:7" ht="18">
      <c r="A132" s="139" t="s">
        <v>93</v>
      </c>
      <c r="B132" s="126">
        <f t="shared" ref="B132:D133" si="43">+B114+B105+B55+B123</f>
        <v>1946250</v>
      </c>
      <c r="C132" s="126">
        <f t="shared" si="43"/>
        <v>1667385.2549999999</v>
      </c>
      <c r="D132" s="126">
        <f t="shared" si="43"/>
        <v>-278864.745</v>
      </c>
      <c r="E132" s="15"/>
      <c r="F132" s="10"/>
      <c r="G132" s="41"/>
    </row>
    <row r="133" spans="1:7" outlineLevel="1">
      <c r="A133" s="44" t="s">
        <v>94</v>
      </c>
      <c r="B133" s="140">
        <f t="shared" si="43"/>
        <v>1011320</v>
      </c>
      <c r="C133" s="140">
        <f t="shared" si="43"/>
        <v>909097.72</v>
      </c>
      <c r="D133" s="140">
        <f t="shared" si="43"/>
        <v>-102222.28000000003</v>
      </c>
      <c r="E133" s="15"/>
      <c r="F133" s="10"/>
      <c r="G133" s="41"/>
    </row>
    <row r="134" spans="1:7" outlineLevel="1">
      <c r="A134" s="58" t="s">
        <v>95</v>
      </c>
      <c r="B134" s="140">
        <f>+B116+B107+B66+B125</f>
        <v>274100</v>
      </c>
      <c r="C134" s="140">
        <f>+C116+C107+C66+C125</f>
        <v>236851.64499999999</v>
      </c>
      <c r="D134" s="140">
        <f>+D116+D107+D66+D125</f>
        <v>-37248.35500000001</v>
      </c>
      <c r="E134" s="15"/>
      <c r="F134" s="10"/>
      <c r="G134" s="41"/>
    </row>
    <row r="135" spans="1:7" outlineLevel="1">
      <c r="A135" s="57" t="s">
        <v>96</v>
      </c>
      <c r="B135" s="140">
        <f>+B117+B108+B75+B126</f>
        <v>408520</v>
      </c>
      <c r="C135" s="140">
        <f>+C117+C108+C75+C126</f>
        <v>355028.97</v>
      </c>
      <c r="D135" s="140">
        <f>+D117+D108+D75+D126</f>
        <v>-53491.03</v>
      </c>
      <c r="E135" s="15"/>
      <c r="F135" s="10"/>
      <c r="G135" s="41"/>
    </row>
    <row r="136" spans="1:7" outlineLevel="1">
      <c r="A136" s="50" t="s">
        <v>97</v>
      </c>
      <c r="B136" s="140">
        <f>+B118+B109+B84+B127</f>
        <v>136300</v>
      </c>
      <c r="C136" s="140">
        <f>+C118+C109+C84+C127</f>
        <v>113679.3</v>
      </c>
      <c r="D136" s="140">
        <f>+D118+D109+D84+D127</f>
        <v>-22620.699999999997</v>
      </c>
      <c r="E136" s="15"/>
      <c r="F136" s="10"/>
      <c r="G136" s="41"/>
    </row>
    <row r="137" spans="1:7" outlineLevel="1">
      <c r="A137" s="67" t="s">
        <v>98</v>
      </c>
      <c r="B137" s="140">
        <f>+B119+B110+B93+B128</f>
        <v>42500</v>
      </c>
      <c r="C137" s="140">
        <f>+C119+C110+C93+C128</f>
        <v>0</v>
      </c>
      <c r="D137" s="140">
        <f>+D119+D110+D93+D128</f>
        <v>-42500</v>
      </c>
      <c r="E137" s="15"/>
      <c r="F137" s="10"/>
      <c r="G137" s="41"/>
    </row>
    <row r="138" spans="1:7" outlineLevel="1">
      <c r="A138" s="47" t="s">
        <v>99</v>
      </c>
      <c r="B138" s="140">
        <f>+B129+B120+B111+B96</f>
        <v>54750</v>
      </c>
      <c r="C138" s="140">
        <f>+C129+C120+C111+C96</f>
        <v>52727.619999999995</v>
      </c>
      <c r="D138" s="140">
        <f>+D121+D112+D101+D130</f>
        <v>0</v>
      </c>
      <c r="E138" s="15"/>
      <c r="F138" s="10"/>
      <c r="G138" s="41"/>
    </row>
    <row r="139" spans="1:7" outlineLevel="1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>
      <c r="A141" s="7"/>
      <c r="B141" s="127"/>
      <c r="C141" s="127"/>
      <c r="D141" s="128"/>
      <c r="E141" s="15"/>
      <c r="F141" s="10"/>
      <c r="G141" s="41"/>
    </row>
    <row r="142" spans="1:7" ht="15.75">
      <c r="A142" s="177" t="s">
        <v>102</v>
      </c>
      <c r="B142" s="129">
        <f>+B52-B132</f>
        <v>868750</v>
      </c>
      <c r="C142" s="129">
        <f>+C52-C132</f>
        <v>66995.76500000013</v>
      </c>
      <c r="D142" s="129">
        <f>+D52-D132</f>
        <v>-801754.23500000022</v>
      </c>
      <c r="E142" s="19"/>
      <c r="F142" s="20"/>
      <c r="G142" s="42"/>
    </row>
    <row r="143" spans="1:7">
      <c r="A143" s="44" t="s">
        <v>103</v>
      </c>
      <c r="B143" s="178">
        <f>+B3-B133</f>
        <v>378680</v>
      </c>
      <c r="C143" s="178">
        <f>+C3-C133</f>
        <v>72013.159999999916</v>
      </c>
      <c r="D143" s="178">
        <f>+D3-D133</f>
        <v>-306666.84000000003</v>
      </c>
      <c r="E143" s="19"/>
      <c r="F143" s="20"/>
      <c r="G143" s="42"/>
    </row>
    <row r="144" spans="1:7">
      <c r="A144" s="58" t="s">
        <v>104</v>
      </c>
      <c r="B144" s="178">
        <f>+B13-B134</f>
        <v>125900</v>
      </c>
      <c r="C144" s="178">
        <f>+C13-C134</f>
        <v>-1925.0650000000023</v>
      </c>
      <c r="D144" s="178">
        <f>+D13-D134</f>
        <v>-127825.065</v>
      </c>
      <c r="E144" s="19"/>
      <c r="F144" s="20"/>
      <c r="G144" s="42"/>
    </row>
    <row r="145" spans="1:7">
      <c r="A145" s="57" t="s">
        <v>105</v>
      </c>
      <c r="B145" s="178">
        <f>+B22-B135</f>
        <v>191480</v>
      </c>
      <c r="C145" s="178">
        <f>+C22-C135</f>
        <v>14926.910000000033</v>
      </c>
      <c r="D145" s="178">
        <f>+D22-D135</f>
        <v>-176553.09000000003</v>
      </c>
      <c r="E145" s="19"/>
      <c r="F145" s="20"/>
      <c r="G145" s="42"/>
    </row>
    <row r="146" spans="1:7">
      <c r="A146" s="50" t="s">
        <v>106</v>
      </c>
      <c r="B146" s="178">
        <f>+B31-B136</f>
        <v>33700</v>
      </c>
      <c r="C146" s="178">
        <f>+C31-C136</f>
        <v>-34162.099999999991</v>
      </c>
      <c r="D146" s="178">
        <f>+D31-D136</f>
        <v>-67862.099999999991</v>
      </c>
      <c r="E146" s="19"/>
      <c r="F146" s="20"/>
      <c r="G146" s="42"/>
    </row>
    <row r="147" spans="1:7">
      <c r="A147" s="61" t="s">
        <v>107</v>
      </c>
      <c r="B147" s="178">
        <f>+B40-B137</f>
        <v>127500</v>
      </c>
      <c r="C147" s="178">
        <f>+C40-C137</f>
        <v>0</v>
      </c>
      <c r="D147" s="178">
        <f>+D40-D137</f>
        <v>-127500</v>
      </c>
      <c r="E147" s="19"/>
      <c r="F147" s="20"/>
      <c r="G147" s="42"/>
    </row>
    <row r="148" spans="1:7">
      <c r="A148" s="62" t="s">
        <v>108</v>
      </c>
      <c r="B148" s="178">
        <f>+B43-B138</f>
        <v>30250</v>
      </c>
      <c r="C148" s="178">
        <f>+C43-C138</f>
        <v>16142.86</v>
      </c>
      <c r="D148" s="178">
        <f>+D48-D139</f>
        <v>0</v>
      </c>
      <c r="E148" s="19"/>
      <c r="F148" s="20"/>
      <c r="G148" s="42"/>
    </row>
    <row r="149" spans="1:7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>
      <c r="D151" s="131"/>
      <c r="E151" s="21"/>
      <c r="F151" s="22"/>
      <c r="G151" s="43"/>
    </row>
    <row r="152" spans="1:7">
      <c r="A152" s="179" t="s">
        <v>111</v>
      </c>
      <c r="B152" s="180">
        <f>+B52/B132-1</f>
        <v>0.44637122671804752</v>
      </c>
      <c r="C152" s="180">
        <f>+C52/C132-1</f>
        <v>4.0180135214162194E-2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7" priority="10" operator="lessThan">
      <formula>0</formula>
    </cfRule>
    <cfRule type="cellIs" dxfId="16" priority="11" operator="greaterThan">
      <formula>0</formula>
    </cfRule>
  </conditionalFormatting>
  <conditionalFormatting sqref="D4:D1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{0884AF53-419B-4856-9095-D3923275F519}</x14:id>
        </ext>
      </extLst>
    </cfRule>
  </conditionalFormatting>
  <conditionalFormatting sqref="D14:D2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{D385DA1B-DD1F-4C08-9803-69CA521FC7DA}</x14:id>
        </ext>
      </extLst>
    </cfRule>
  </conditionalFormatting>
  <conditionalFormatting sqref="D23:D3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{98FC5E6D-97E5-42DD-B89B-86C66BC17B0C}</x14:id>
        </ext>
      </extLst>
    </cfRule>
  </conditionalFormatting>
  <conditionalFormatting sqref="D32:D3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{0798B1FF-3A25-4BFC-BF3E-7F04EE4BAECE}</x14:id>
        </ext>
      </extLst>
    </cfRule>
  </conditionalFormatting>
  <conditionalFormatting sqref="D36:D3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{49BCE485-11BC-499A-994D-CA96E44667F7}</x14:id>
        </ext>
      </extLst>
    </cfRule>
  </conditionalFormatting>
  <conditionalFormatting sqref="D41:D4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{54ACEE23-14AC-40F6-AC09-DB392A00FE88}</x14:id>
        </ext>
      </extLst>
    </cfRule>
  </conditionalFormatting>
  <conditionalFormatting sqref="D44:D4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{2F734B46-3FF7-429B-A815-FB1DF4826D9F}</x14:id>
        </ext>
      </extLst>
    </cfRule>
  </conditionalFormatting>
  <conditionalFormatting sqref="D47:D4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{570636AD-37A7-4A7C-B4ED-7BBC345C2814}</x14:id>
        </ext>
      </extLst>
    </cfRule>
  </conditionalFormatting>
  <conditionalFormatting sqref="D50:D5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{1B075986-3F7F-41C8-BF0D-E7031D959D90}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84AF53-419B-4856-9095-D3923275F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D385DA1B-DD1F-4C08-9803-69CA521FC7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98FC5E6D-97E5-42DD-B89B-86C66BC17B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0798B1FF-3A25-4BFC-BF3E-7F04EE4BA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49BCE485-11BC-499A-994D-CA96E44667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54ACEE23-14AC-40F6-AC09-DB392A00FE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2F734B46-3FF7-429B-A815-FB1DF4826D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570636AD-37A7-4A7C-B4ED-7BBC345C28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1B075986-3F7F-41C8-BF0D-E7031D959D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152"/>
  <sheetViews>
    <sheetView zoomScale="90" zoomScaleNormal="90" workbookViewId="0">
      <pane ySplit="2" topLeftCell="A83" activePane="bottomLeft" state="frozen"/>
      <selection pane="bottomLeft"/>
    </sheetView>
  </sheetViews>
  <sheetFormatPr defaultRowHeight="14.25" outlineLevelRow="2"/>
  <cols>
    <col min="1" max="1" width="35.5703125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  <col min="24" max="24" width="17.7109375" customWidth="1"/>
  </cols>
  <sheetData>
    <row r="1" spans="1:24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>
      <c r="A3" s="44" t="s">
        <v>13</v>
      </c>
      <c r="B3" s="91">
        <f>SUM(B4:B12)</f>
        <v>1405000</v>
      </c>
      <c r="C3" s="91">
        <f>SUM(C4:C12)</f>
        <v>1217825.28</v>
      </c>
      <c r="D3" s="91">
        <f>SUM(D4:D12)</f>
        <v>-187174.72000000003</v>
      </c>
      <c r="E3" s="46">
        <f>SUM(E4:E12)</f>
        <v>883</v>
      </c>
      <c r="F3" s="46">
        <f>SUM(F4:F12)</f>
        <v>61.2638888888889</v>
      </c>
      <c r="G3" s="36"/>
      <c r="H3" s="45">
        <f t="shared" ref="H3:V3" si="0">SUM(H4:H12)</f>
        <v>273352.32000000001</v>
      </c>
      <c r="I3" s="46">
        <f t="shared" si="0"/>
        <v>210</v>
      </c>
      <c r="J3" s="46">
        <f t="shared" si="0"/>
        <v>13.96875</v>
      </c>
      <c r="K3" s="45">
        <f t="shared" si="0"/>
        <v>265260.95999999996</v>
      </c>
      <c r="L3" s="46">
        <f t="shared" si="0"/>
        <v>198</v>
      </c>
      <c r="M3" s="46">
        <f t="shared" si="0"/>
        <v>13.388888888888889</v>
      </c>
      <c r="N3" s="45">
        <f t="shared" si="0"/>
        <v>264335.39999999997</v>
      </c>
      <c r="O3" s="46">
        <f t="shared" si="0"/>
        <v>193</v>
      </c>
      <c r="P3" s="46">
        <f t="shared" si="0"/>
        <v>13.222222222222223</v>
      </c>
      <c r="Q3" s="45">
        <f t="shared" si="0"/>
        <v>276998.40000000002</v>
      </c>
      <c r="R3" s="46">
        <f t="shared" si="0"/>
        <v>183</v>
      </c>
      <c r="S3" s="46">
        <f t="shared" si="0"/>
        <v>13.822916666666666</v>
      </c>
      <c r="T3" s="45">
        <f t="shared" si="0"/>
        <v>137878.19999999998</v>
      </c>
      <c r="U3" s="46">
        <f t="shared" si="0"/>
        <v>99</v>
      </c>
      <c r="V3" s="46">
        <f t="shared" si="0"/>
        <v>6.8611111111111116</v>
      </c>
    </row>
    <row r="4" spans="1:24" outlineLevel="2">
      <c r="A4" s="132" t="s">
        <v>14</v>
      </c>
      <c r="B4" s="92">
        <v>200000</v>
      </c>
      <c r="C4" s="92">
        <f>+H4+K4+N4+Q4+T4</f>
        <v>205164.36</v>
      </c>
      <c r="D4" s="93">
        <f t="shared" ref="D4:D12" si="1">+C4-B4</f>
        <v>5164.359999999986</v>
      </c>
      <c r="E4" s="18">
        <f>+I4+L4+O4+R4+U4</f>
        <v>210</v>
      </c>
      <c r="F4" s="18">
        <f>+J4+M4+P4+S4+V4</f>
        <v>12.59375</v>
      </c>
      <c r="G4" s="37"/>
      <c r="H4" s="181">
        <v>48758.76</v>
      </c>
      <c r="I4" s="182">
        <v>49</v>
      </c>
      <c r="J4" s="183">
        <v>2.9722222222222223</v>
      </c>
      <c r="K4" s="184">
        <v>52234.2</v>
      </c>
      <c r="L4" s="185">
        <v>56</v>
      </c>
      <c r="M4" s="186">
        <v>3.1458333333333335</v>
      </c>
      <c r="N4" s="184">
        <v>40036.68</v>
      </c>
      <c r="O4" s="185">
        <v>42</v>
      </c>
      <c r="P4" s="186">
        <v>2.5069444444444446</v>
      </c>
      <c r="Q4" s="187">
        <v>41934.239999999998</v>
      </c>
      <c r="R4" s="185">
        <v>42</v>
      </c>
      <c r="S4" s="186">
        <v>2.6215277777777777</v>
      </c>
      <c r="T4" s="187">
        <v>22200.48</v>
      </c>
      <c r="U4" s="185">
        <v>21</v>
      </c>
      <c r="V4" s="186">
        <v>1.3472222222222223</v>
      </c>
      <c r="X4" s="295"/>
    </row>
    <row r="5" spans="1:24" outlineLevel="2">
      <c r="A5" s="133" t="s">
        <v>15</v>
      </c>
      <c r="B5" s="92">
        <v>200000</v>
      </c>
      <c r="C5" s="92">
        <f t="shared" ref="C5:C12" si="2">+H5+K5+N5+Q5+T5</f>
        <v>141477.84</v>
      </c>
      <c r="D5" s="93">
        <f t="shared" si="1"/>
        <v>-58522.16</v>
      </c>
      <c r="E5" s="18">
        <f t="shared" ref="E5:F12" si="3">+I5+L5+O5+R5+U5</f>
        <v>127</v>
      </c>
      <c r="F5" s="18">
        <f t="shared" si="3"/>
        <v>8.9375</v>
      </c>
      <c r="G5" s="37"/>
      <c r="H5" s="181">
        <v>35439.120000000003</v>
      </c>
      <c r="I5" s="182">
        <v>31</v>
      </c>
      <c r="J5" s="183">
        <v>2.2361111111111112</v>
      </c>
      <c r="K5" s="184">
        <v>35082.720000000001</v>
      </c>
      <c r="L5" s="185">
        <v>35</v>
      </c>
      <c r="M5" s="186">
        <v>2.2013888888888888</v>
      </c>
      <c r="N5" s="184">
        <v>30620.16</v>
      </c>
      <c r="O5" s="185">
        <v>25</v>
      </c>
      <c r="P5" s="186">
        <v>1.9166666666666667</v>
      </c>
      <c r="Q5" s="187">
        <v>25025.759999999998</v>
      </c>
      <c r="R5" s="185">
        <v>20</v>
      </c>
      <c r="S5" s="186">
        <v>1.625</v>
      </c>
      <c r="T5" s="187">
        <v>15310.08</v>
      </c>
      <c r="U5" s="185">
        <v>16</v>
      </c>
      <c r="V5" s="186">
        <v>0.95833333333333337</v>
      </c>
      <c r="X5" s="295"/>
    </row>
    <row r="6" spans="1:24" outlineLevel="2">
      <c r="A6" s="133" t="s">
        <v>16</v>
      </c>
      <c r="B6" s="92">
        <v>200000</v>
      </c>
      <c r="C6" s="92">
        <f t="shared" si="2"/>
        <v>155206.79999999999</v>
      </c>
      <c r="D6" s="93">
        <f t="shared" si="1"/>
        <v>-44793.200000000012</v>
      </c>
      <c r="E6" s="18">
        <f t="shared" si="3"/>
        <v>144</v>
      </c>
      <c r="F6" s="18">
        <f t="shared" si="3"/>
        <v>9.7118055555555554</v>
      </c>
      <c r="G6" s="37"/>
      <c r="H6" s="181">
        <v>38962.080000000002</v>
      </c>
      <c r="I6" s="182">
        <v>38</v>
      </c>
      <c r="J6" s="183">
        <v>2.4131944444444446</v>
      </c>
      <c r="K6" s="184">
        <v>22340.880000000001</v>
      </c>
      <c r="L6" s="185">
        <v>18</v>
      </c>
      <c r="M6" s="186">
        <v>1.4583333333333333</v>
      </c>
      <c r="N6" s="184">
        <v>34076.160000000003</v>
      </c>
      <c r="O6" s="185">
        <v>33</v>
      </c>
      <c r="P6" s="186">
        <v>2.1458333333333335</v>
      </c>
      <c r="Q6" s="187">
        <v>42775.56</v>
      </c>
      <c r="R6" s="185">
        <v>37</v>
      </c>
      <c r="S6" s="186">
        <v>2.6319444444444446</v>
      </c>
      <c r="T6" s="187">
        <v>17052.12</v>
      </c>
      <c r="U6" s="185">
        <v>18</v>
      </c>
      <c r="V6" s="186">
        <v>1.0625</v>
      </c>
      <c r="X6" s="295"/>
    </row>
    <row r="7" spans="1:24" s="78" customFormat="1" outlineLevel="2">
      <c r="A7" s="134" t="s">
        <v>131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4" outlineLevel="2">
      <c r="A8" s="132" t="s">
        <v>18</v>
      </c>
      <c r="B8" s="92">
        <f>450000*0.2</f>
        <v>90000</v>
      </c>
      <c r="C8" s="92">
        <f t="shared" si="2"/>
        <v>8365.68</v>
      </c>
      <c r="D8" s="216">
        <f t="shared" si="1"/>
        <v>-81634.320000000007</v>
      </c>
      <c r="E8" s="18">
        <f t="shared" si="3"/>
        <v>15</v>
      </c>
      <c r="F8" s="18">
        <f t="shared" si="3"/>
        <v>0.41666666666666663</v>
      </c>
      <c r="G8" s="37"/>
      <c r="H8" s="195">
        <v>2397.6</v>
      </c>
      <c r="I8" s="182">
        <v>3</v>
      </c>
      <c r="J8" s="183">
        <v>0.125</v>
      </c>
      <c r="K8" s="184">
        <v>977.4</v>
      </c>
      <c r="L8" s="185">
        <v>5</v>
      </c>
      <c r="M8" s="186">
        <v>3.4722222222222224E-2</v>
      </c>
      <c r="N8" s="184">
        <v>2593.08</v>
      </c>
      <c r="O8" s="185">
        <v>4</v>
      </c>
      <c r="P8" s="186">
        <v>0.13194444444444445</v>
      </c>
      <c r="Q8" s="187">
        <v>2397.6</v>
      </c>
      <c r="R8" s="185">
        <v>3</v>
      </c>
      <c r="S8" s="186">
        <v>0.125</v>
      </c>
      <c r="T8" s="187"/>
      <c r="U8" s="185"/>
      <c r="V8" s="186"/>
      <c r="X8" s="295"/>
    </row>
    <row r="9" spans="1:24" outlineLevel="2">
      <c r="A9" s="132" t="s">
        <v>49</v>
      </c>
      <c r="B9" s="92">
        <f>450000*0.5</f>
        <v>225000</v>
      </c>
      <c r="C9" s="92">
        <f t="shared" si="2"/>
        <v>226947.96</v>
      </c>
      <c r="D9" s="93">
        <f t="shared" si="1"/>
        <v>1947.9599999999919</v>
      </c>
      <c r="E9" s="18">
        <f t="shared" si="3"/>
        <v>142</v>
      </c>
      <c r="F9" s="18">
        <f t="shared" si="3"/>
        <v>9.5069444444444446</v>
      </c>
      <c r="G9" s="37"/>
      <c r="H9" s="195">
        <v>44370.720000000001</v>
      </c>
      <c r="I9" s="182">
        <v>32</v>
      </c>
      <c r="J9" s="183">
        <v>1.8541666666666667</v>
      </c>
      <c r="K9" s="184">
        <v>47271.6</v>
      </c>
      <c r="L9" s="185">
        <v>28</v>
      </c>
      <c r="M9" s="186">
        <v>2</v>
      </c>
      <c r="N9" s="184">
        <v>43367.4</v>
      </c>
      <c r="O9" s="185">
        <v>33</v>
      </c>
      <c r="P9" s="186">
        <v>1.8263888888888888</v>
      </c>
      <c r="Q9" s="187">
        <v>48987.72</v>
      </c>
      <c r="R9" s="185">
        <v>26</v>
      </c>
      <c r="S9" s="186">
        <v>2</v>
      </c>
      <c r="T9" s="187">
        <v>42950.52</v>
      </c>
      <c r="U9" s="185">
        <v>23</v>
      </c>
      <c r="V9" s="186">
        <v>1.8263888888888888</v>
      </c>
      <c r="X9" s="295"/>
    </row>
    <row r="10" spans="1:24" outlineLevel="2">
      <c r="A10" s="165" t="s">
        <v>114</v>
      </c>
      <c r="B10" s="215">
        <f>450000</f>
        <v>450000</v>
      </c>
      <c r="C10" s="215">
        <f t="shared" si="2"/>
        <v>458870.4</v>
      </c>
      <c r="D10" s="93">
        <f t="shared" si="1"/>
        <v>8870.4000000000233</v>
      </c>
      <c r="E10" s="18">
        <f t="shared" si="3"/>
        <v>239</v>
      </c>
      <c r="F10" s="18">
        <f t="shared" si="3"/>
        <v>19.347222222222225</v>
      </c>
      <c r="G10" s="37"/>
      <c r="H10" s="195">
        <v>103424.04</v>
      </c>
      <c r="I10" s="182">
        <v>57</v>
      </c>
      <c r="J10" s="183">
        <v>4.3680555555555554</v>
      </c>
      <c r="K10" s="184">
        <v>107354.16</v>
      </c>
      <c r="L10" s="185">
        <v>56</v>
      </c>
      <c r="M10" s="186">
        <v>4.5486111111111107</v>
      </c>
      <c r="N10" s="184">
        <v>99113.76</v>
      </c>
      <c r="O10" s="185">
        <v>52</v>
      </c>
      <c r="P10" s="186">
        <v>4.1944444444444446</v>
      </c>
      <c r="Q10" s="187">
        <v>108613.44</v>
      </c>
      <c r="R10" s="185">
        <v>53</v>
      </c>
      <c r="S10" s="186">
        <v>4.5694444444444446</v>
      </c>
      <c r="T10" s="187">
        <v>40365</v>
      </c>
      <c r="U10" s="185">
        <v>21</v>
      </c>
      <c r="V10" s="186">
        <v>1.6666666666666667</v>
      </c>
      <c r="X10" s="295"/>
    </row>
    <row r="11" spans="1:24" s="226" customFormat="1" outlineLevel="2">
      <c r="A11" s="165" t="s">
        <v>132</v>
      </c>
      <c r="B11" s="215">
        <v>40000</v>
      </c>
      <c r="C11" s="215">
        <f>+H11+K11+N11+Q11+T11</f>
        <v>21792.239999999998</v>
      </c>
      <c r="D11" s="216">
        <f t="shared" si="1"/>
        <v>-18207.760000000002</v>
      </c>
      <c r="E11" s="217">
        <f t="shared" si="3"/>
        <v>6</v>
      </c>
      <c r="F11" s="217">
        <f t="shared" si="3"/>
        <v>0.75</v>
      </c>
      <c r="G11" s="218"/>
      <c r="H11" s="219"/>
      <c r="I11" s="220"/>
      <c r="J11" s="221"/>
      <c r="K11" s="222"/>
      <c r="L11" s="223"/>
      <c r="M11" s="224"/>
      <c r="N11" s="222">
        <v>14528.16</v>
      </c>
      <c r="O11" s="223">
        <v>4</v>
      </c>
      <c r="P11" s="224">
        <v>0.5</v>
      </c>
      <c r="Q11" s="225">
        <v>7264.08</v>
      </c>
      <c r="R11" s="223">
        <v>2</v>
      </c>
      <c r="S11" s="224">
        <v>0.25</v>
      </c>
      <c r="T11" s="225"/>
      <c r="U11" s="223"/>
      <c r="V11" s="224"/>
      <c r="X11" s="310"/>
    </row>
    <row r="12" spans="1:24" s="78" customFormat="1" outlineLevel="2">
      <c r="A12" s="134" t="s">
        <v>133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4">
      <c r="A13" s="58" t="s">
        <v>22</v>
      </c>
      <c r="B13" s="96">
        <f>SUM(B14:B21)</f>
        <v>400000</v>
      </c>
      <c r="C13" s="96">
        <f t="shared" ref="C13:D13" si="4">SUM(C14:C21)</f>
        <v>288544.33999999997</v>
      </c>
      <c r="D13" s="96">
        <f t="shared" si="4"/>
        <v>-111455.66000000002</v>
      </c>
      <c r="E13" s="54">
        <f>SUM(E14:E21)</f>
        <v>336</v>
      </c>
      <c r="F13" s="54">
        <f>SUM(F14:F21)</f>
        <v>21.079861111111111</v>
      </c>
      <c r="G13" s="37"/>
      <c r="H13" s="53">
        <f t="shared" ref="H13" si="5">SUM(H14:H21)</f>
        <v>46338.32</v>
      </c>
      <c r="I13" s="54">
        <f>SUM(I14:I21)</f>
        <v>54</v>
      </c>
      <c r="J13" s="54">
        <f>SUM(J14:J21)</f>
        <v>3.3854166666666665</v>
      </c>
      <c r="K13" s="53">
        <f t="shared" ref="K13" si="6">SUM(K14:K21)</f>
        <v>64542.8</v>
      </c>
      <c r="L13" s="54">
        <f>SUM(L14:L21)</f>
        <v>78</v>
      </c>
      <c r="M13" s="54">
        <f>SUM(M14:M21)</f>
        <v>4.7152777777777786</v>
      </c>
      <c r="N13" s="53">
        <f t="shared" ref="N13" si="7">SUM(N14:N21)</f>
        <v>71292.06</v>
      </c>
      <c r="O13" s="54">
        <f>SUM(O14:O21)</f>
        <v>76</v>
      </c>
      <c r="P13" s="54">
        <f>SUM(P14:P21)</f>
        <v>5.208333333333333</v>
      </c>
      <c r="Q13" s="53">
        <f t="shared" ref="Q13" si="8">SUM(Q14:Q21)</f>
        <v>75666.78</v>
      </c>
      <c r="R13" s="54">
        <f>SUM(R14:R21)</f>
        <v>85</v>
      </c>
      <c r="S13" s="54">
        <f>SUM(S14:S21)</f>
        <v>5.5277777777777777</v>
      </c>
      <c r="T13" s="53">
        <f t="shared" ref="T13" si="9">SUM(T14:T21)</f>
        <v>30704.38</v>
      </c>
      <c r="U13" s="54">
        <f>SUM(U14:U21)</f>
        <v>43</v>
      </c>
      <c r="V13" s="54">
        <f>SUM(V14:V21)</f>
        <v>2.2430555555555554</v>
      </c>
    </row>
    <row r="14" spans="1:24" outlineLevel="2">
      <c r="A14" s="133" t="s">
        <v>23</v>
      </c>
      <c r="B14" s="97">
        <v>200000</v>
      </c>
      <c r="C14" s="92">
        <f t="shared" ref="C14:C51" si="10">+H14+K14+N14+Q14+T14</f>
        <v>165539.63999999998</v>
      </c>
      <c r="D14" s="93">
        <f t="shared" ref="D14:D21" si="11">+C14-B14</f>
        <v>-34460.360000000015</v>
      </c>
      <c r="E14" s="18">
        <f t="shared" ref="E14:F21" si="12">+I14+L14+O14+R14+U14</f>
        <v>198</v>
      </c>
      <c r="F14" s="18">
        <f t="shared" si="12"/>
        <v>12.09375</v>
      </c>
      <c r="G14" s="37"/>
      <c r="H14" s="181">
        <v>46338.32</v>
      </c>
      <c r="I14" s="182">
        <v>54</v>
      </c>
      <c r="J14" s="183">
        <v>3.3854166666666665</v>
      </c>
      <c r="K14" s="184">
        <v>31083.64</v>
      </c>
      <c r="L14" s="185">
        <v>36</v>
      </c>
      <c r="M14" s="186">
        <v>2.2708333333333335</v>
      </c>
      <c r="N14" s="184">
        <v>36310.959999999999</v>
      </c>
      <c r="O14" s="185">
        <v>46</v>
      </c>
      <c r="P14" s="186">
        <v>2.6527777777777777</v>
      </c>
      <c r="Q14" s="187">
        <v>37357.599999999999</v>
      </c>
      <c r="R14" s="185">
        <v>41</v>
      </c>
      <c r="S14" s="186">
        <v>2.7291666666666665</v>
      </c>
      <c r="T14" s="187">
        <v>14449.12</v>
      </c>
      <c r="U14" s="185">
        <v>21</v>
      </c>
      <c r="V14" s="186">
        <v>1.0555555555555556</v>
      </c>
      <c r="X14" s="295"/>
    </row>
    <row r="15" spans="1:24" s="226" customFormat="1" outlineLevel="2">
      <c r="A15" s="165" t="s">
        <v>24</v>
      </c>
      <c r="B15" s="97">
        <v>200000</v>
      </c>
      <c r="C15" s="215">
        <f t="shared" si="10"/>
        <v>123004.7</v>
      </c>
      <c r="D15" s="216">
        <f t="shared" si="11"/>
        <v>-76995.3</v>
      </c>
      <c r="E15" s="217">
        <f t="shared" si="12"/>
        <v>138</v>
      </c>
      <c r="F15" s="217">
        <f t="shared" si="12"/>
        <v>8.9861111111111107</v>
      </c>
      <c r="G15" s="218"/>
      <c r="H15" s="219"/>
      <c r="I15" s="220"/>
      <c r="J15" s="221"/>
      <c r="K15" s="222">
        <v>33459.160000000003</v>
      </c>
      <c r="L15" s="223">
        <v>42</v>
      </c>
      <c r="M15" s="224">
        <v>2.4444444444444446</v>
      </c>
      <c r="N15" s="222">
        <v>34981.1</v>
      </c>
      <c r="O15" s="223">
        <v>30</v>
      </c>
      <c r="P15" s="224">
        <v>2.5555555555555554</v>
      </c>
      <c r="Q15" s="225">
        <v>38309.18</v>
      </c>
      <c r="R15" s="223">
        <v>44</v>
      </c>
      <c r="S15" s="224">
        <v>2.7986111111111112</v>
      </c>
      <c r="T15" s="225">
        <v>16255.26</v>
      </c>
      <c r="U15" s="223">
        <v>22</v>
      </c>
      <c r="V15" s="224">
        <v>1.1875</v>
      </c>
      <c r="X15" s="310"/>
    </row>
    <row r="16" spans="1:24" s="226" customFormat="1" outlineLevel="2">
      <c r="A16" s="134" t="s">
        <v>134</v>
      </c>
      <c r="B16" s="94">
        <v>0</v>
      </c>
      <c r="C16" s="94">
        <f>+H16+K16+N16+Q16+T16</f>
        <v>0</v>
      </c>
      <c r="D16" s="95">
        <f>+C16-B16</f>
        <v>0</v>
      </c>
      <c r="E16" s="69">
        <f>+I16+L16+O16+R16+U16</f>
        <v>0</v>
      </c>
      <c r="F16" s="69">
        <f>+J16+M16+P16+S16+V16</f>
        <v>0</v>
      </c>
      <c r="G16" s="218"/>
      <c r="H16" s="219"/>
      <c r="I16" s="220"/>
      <c r="J16" s="221"/>
      <c r="K16" s="222"/>
      <c r="L16" s="223"/>
      <c r="M16" s="224"/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4" s="226" customFormat="1" outlineLevel="2">
      <c r="A17" s="134" t="s">
        <v>26</v>
      </c>
      <c r="B17" s="94">
        <v>0</v>
      </c>
      <c r="C17" s="94">
        <f t="shared" si="10"/>
        <v>0</v>
      </c>
      <c r="D17" s="95">
        <v>0</v>
      </c>
      <c r="E17" s="69">
        <f t="shared" si="12"/>
        <v>0</v>
      </c>
      <c r="F17" s="69">
        <f t="shared" si="12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4" s="226" customFormat="1" outlineLevel="2">
      <c r="A18" s="134" t="s">
        <v>135</v>
      </c>
      <c r="B18" s="94">
        <v>0</v>
      </c>
      <c r="C18" s="94">
        <f t="shared" si="10"/>
        <v>0</v>
      </c>
      <c r="D18" s="95">
        <v>0</v>
      </c>
      <c r="E18" s="69">
        <f t="shared" si="12"/>
        <v>0</v>
      </c>
      <c r="F18" s="69">
        <f t="shared" si="12"/>
        <v>0</v>
      </c>
      <c r="G18" s="218"/>
      <c r="H18" s="219"/>
      <c r="I18" s="220"/>
      <c r="J18" s="221"/>
      <c r="K18" s="222"/>
      <c r="L18" s="223"/>
      <c r="M18" s="224"/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4" s="78" customFormat="1" outlineLevel="2">
      <c r="A19" s="134" t="s">
        <v>28</v>
      </c>
      <c r="B19" s="94">
        <v>0</v>
      </c>
      <c r="C19" s="94">
        <f t="shared" si="10"/>
        <v>0</v>
      </c>
      <c r="D19" s="95">
        <f t="shared" si="11"/>
        <v>0</v>
      </c>
      <c r="E19" s="69">
        <f t="shared" si="12"/>
        <v>0</v>
      </c>
      <c r="F19" s="69">
        <f t="shared" si="12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226" customFormat="1" outlineLevel="2">
      <c r="A20" s="165" t="s">
        <v>136</v>
      </c>
      <c r="B20" s="215">
        <v>0</v>
      </c>
      <c r="C20" s="215">
        <f>+H20+K20+N20+Q20+T20</f>
        <v>0</v>
      </c>
      <c r="D20" s="216">
        <f>+C20-B20</f>
        <v>0</v>
      </c>
      <c r="E20" s="217">
        <f>+I20+L20+O20+R20+U20</f>
        <v>0</v>
      </c>
      <c r="F20" s="217">
        <f>+J20+M20+P20+S20+V20</f>
        <v>0</v>
      </c>
      <c r="G20" s="218"/>
      <c r="H20" s="219"/>
      <c r="I20" s="220"/>
      <c r="J20" s="221"/>
      <c r="K20" s="222"/>
      <c r="L20" s="223"/>
      <c r="M20" s="224"/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4" s="78" customFormat="1" outlineLevel="2">
      <c r="A21" s="134" t="s">
        <v>21</v>
      </c>
      <c r="B21" s="94">
        <v>0</v>
      </c>
      <c r="C21" s="94">
        <f t="shared" si="10"/>
        <v>0</v>
      </c>
      <c r="D21" s="95">
        <f t="shared" si="11"/>
        <v>0</v>
      </c>
      <c r="E21" s="69">
        <f t="shared" si="12"/>
        <v>0</v>
      </c>
      <c r="F21" s="69">
        <f t="shared" si="12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>
      <c r="A22" s="57" t="s">
        <v>29</v>
      </c>
      <c r="B22" s="98">
        <f>SUM(B23:B30)</f>
        <v>600000</v>
      </c>
      <c r="C22" s="98">
        <f>SUM(C23:C30)</f>
        <v>403466</v>
      </c>
      <c r="D22" s="98">
        <f>SUM(D23:D30)</f>
        <v>-196534</v>
      </c>
      <c r="E22" s="56">
        <f>SUM(E23:E30)</f>
        <v>445</v>
      </c>
      <c r="F22" s="56">
        <f>SUM(F23:F30)</f>
        <v>29.475694444444443</v>
      </c>
      <c r="G22" s="37"/>
      <c r="H22" s="55">
        <f t="shared" ref="H22:V22" si="13">SUM(H23:H30)</f>
        <v>93442.02</v>
      </c>
      <c r="I22" s="56">
        <f t="shared" si="13"/>
        <v>105</v>
      </c>
      <c r="J22" s="56">
        <f t="shared" si="13"/>
        <v>6.8263888888888893</v>
      </c>
      <c r="K22" s="55">
        <f t="shared" si="13"/>
        <v>94393.600000000006</v>
      </c>
      <c r="L22" s="56">
        <f t="shared" si="13"/>
        <v>101</v>
      </c>
      <c r="M22" s="56">
        <f t="shared" si="13"/>
        <v>6.895833333333333</v>
      </c>
      <c r="N22" s="55">
        <f t="shared" si="13"/>
        <v>88779.18</v>
      </c>
      <c r="O22" s="56">
        <f t="shared" si="13"/>
        <v>101</v>
      </c>
      <c r="P22" s="56">
        <f t="shared" si="13"/>
        <v>6.4861111111111107</v>
      </c>
      <c r="Q22" s="55">
        <f t="shared" si="13"/>
        <v>90397.16</v>
      </c>
      <c r="R22" s="56">
        <f t="shared" si="13"/>
        <v>95</v>
      </c>
      <c r="S22" s="56">
        <f t="shared" si="13"/>
        <v>6.6041666666666661</v>
      </c>
      <c r="T22" s="55">
        <f t="shared" si="13"/>
        <v>36454.04</v>
      </c>
      <c r="U22" s="56">
        <f t="shared" si="13"/>
        <v>43</v>
      </c>
      <c r="V22" s="56">
        <f t="shared" si="13"/>
        <v>2.6631944444444442</v>
      </c>
    </row>
    <row r="23" spans="1:24" s="226" customFormat="1" outlineLevel="2">
      <c r="A23" s="165" t="s">
        <v>30</v>
      </c>
      <c r="B23" s="215">
        <f>200000</f>
        <v>200000</v>
      </c>
      <c r="C23" s="215">
        <f t="shared" si="10"/>
        <v>147243.04</v>
      </c>
      <c r="D23" s="216">
        <f t="shared" ref="D23:D51" si="14">+C23-B23</f>
        <v>-52756.959999999992</v>
      </c>
      <c r="E23" s="217">
        <f t="shared" ref="E23:F30" si="15">+I23+L23+O23+R23+U23</f>
        <v>148</v>
      </c>
      <c r="F23" s="217">
        <f t="shared" si="15"/>
        <v>10.756944444444445</v>
      </c>
      <c r="G23" s="218"/>
      <c r="H23" s="219">
        <v>31179.68</v>
      </c>
      <c r="I23" s="220">
        <v>33</v>
      </c>
      <c r="J23" s="221">
        <v>2.2777777777777777</v>
      </c>
      <c r="K23" s="222">
        <v>36502.06</v>
      </c>
      <c r="L23" s="223">
        <v>37</v>
      </c>
      <c r="M23" s="224">
        <v>2.6666666666666665</v>
      </c>
      <c r="N23" s="222">
        <v>35359.379999999997</v>
      </c>
      <c r="O23" s="223">
        <v>36</v>
      </c>
      <c r="P23" s="224">
        <v>2.5833333333333335</v>
      </c>
      <c r="Q23" s="225">
        <v>31654</v>
      </c>
      <c r="R23" s="223">
        <v>28</v>
      </c>
      <c r="S23" s="224">
        <v>2.3125</v>
      </c>
      <c r="T23" s="225">
        <v>12547.92</v>
      </c>
      <c r="U23" s="223">
        <v>14</v>
      </c>
      <c r="V23" s="224">
        <v>0.91666666666666663</v>
      </c>
      <c r="X23" s="294"/>
    </row>
    <row r="24" spans="1:24" s="226" customFormat="1" outlineLevel="2">
      <c r="A24" s="165" t="s">
        <v>117</v>
      </c>
      <c r="B24" s="215">
        <f t="shared" ref="B24:B25" si="16">200000</f>
        <v>200000</v>
      </c>
      <c r="C24" s="215">
        <f t="shared" si="10"/>
        <v>130083.24</v>
      </c>
      <c r="D24" s="216">
        <f t="shared" si="14"/>
        <v>-69916.759999999995</v>
      </c>
      <c r="E24" s="217">
        <f t="shared" si="15"/>
        <v>156</v>
      </c>
      <c r="F24" s="217">
        <f t="shared" si="15"/>
        <v>9.5034722222222214</v>
      </c>
      <c r="G24" s="218"/>
      <c r="H24" s="219">
        <v>33746.300000000003</v>
      </c>
      <c r="I24" s="220">
        <v>37</v>
      </c>
      <c r="J24" s="221">
        <v>2.4652777777777777</v>
      </c>
      <c r="K24" s="222">
        <v>33175.94</v>
      </c>
      <c r="L24" s="223">
        <v>33</v>
      </c>
      <c r="M24" s="224">
        <v>2.4236111111111112</v>
      </c>
      <c r="N24" s="222">
        <v>18629.8</v>
      </c>
      <c r="O24" s="223">
        <v>31</v>
      </c>
      <c r="P24" s="224">
        <v>1.3611111111111112</v>
      </c>
      <c r="Q24" s="225">
        <v>31461.919999999998</v>
      </c>
      <c r="R24" s="223">
        <v>40</v>
      </c>
      <c r="S24" s="224">
        <v>2.2986111111111112</v>
      </c>
      <c r="T24" s="225">
        <v>13069.28</v>
      </c>
      <c r="U24" s="223">
        <v>15</v>
      </c>
      <c r="V24" s="224">
        <v>0.95486111111111116</v>
      </c>
      <c r="X24" s="294"/>
    </row>
    <row r="25" spans="1:24" s="226" customFormat="1" outlineLevel="2">
      <c r="A25" s="165" t="s">
        <v>118</v>
      </c>
      <c r="B25" s="215">
        <f t="shared" si="16"/>
        <v>200000</v>
      </c>
      <c r="C25" s="215">
        <f t="shared" si="10"/>
        <v>126139.72</v>
      </c>
      <c r="D25" s="216">
        <f t="shared" si="14"/>
        <v>-73860.28</v>
      </c>
      <c r="E25" s="217">
        <f t="shared" si="15"/>
        <v>141</v>
      </c>
      <c r="F25" s="217">
        <f t="shared" si="15"/>
        <v>9.2152777777777768</v>
      </c>
      <c r="G25" s="218"/>
      <c r="H25" s="219">
        <v>28516.04</v>
      </c>
      <c r="I25" s="220">
        <v>35</v>
      </c>
      <c r="J25" s="221">
        <v>2.0833333333333335</v>
      </c>
      <c r="K25" s="222">
        <v>24715.599999999999</v>
      </c>
      <c r="L25" s="223">
        <v>31</v>
      </c>
      <c r="M25" s="224">
        <v>1.8055555555555556</v>
      </c>
      <c r="N25" s="222">
        <v>34790</v>
      </c>
      <c r="O25" s="223">
        <v>34</v>
      </c>
      <c r="P25" s="224">
        <v>2.5416666666666665</v>
      </c>
      <c r="Q25" s="225">
        <v>27281.24</v>
      </c>
      <c r="R25" s="223">
        <v>27</v>
      </c>
      <c r="S25" s="224">
        <v>1.9930555555555556</v>
      </c>
      <c r="T25" s="225">
        <v>10836.84</v>
      </c>
      <c r="U25" s="223">
        <v>14</v>
      </c>
      <c r="V25" s="224">
        <v>0.79166666666666663</v>
      </c>
      <c r="X25" s="294"/>
    </row>
    <row r="26" spans="1:24" s="226" customFormat="1" outlineLevel="2">
      <c r="A26" s="165" t="s">
        <v>33</v>
      </c>
      <c r="B26" s="215">
        <v>0</v>
      </c>
      <c r="C26" s="215">
        <f t="shared" si="10"/>
        <v>0</v>
      </c>
      <c r="D26" s="216">
        <v>0</v>
      </c>
      <c r="E26" s="217">
        <f t="shared" si="15"/>
        <v>0</v>
      </c>
      <c r="F26" s="217">
        <f t="shared" si="15"/>
        <v>0</v>
      </c>
      <c r="G26" s="218"/>
      <c r="H26" s="219"/>
      <c r="I26" s="220"/>
      <c r="J26" s="221"/>
      <c r="K26" s="222"/>
      <c r="L26" s="223"/>
      <c r="M26" s="224"/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4" s="226" customFormat="1" outlineLevel="2">
      <c r="A27" s="134" t="s">
        <v>135</v>
      </c>
      <c r="B27" s="94">
        <v>0</v>
      </c>
      <c r="C27" s="94">
        <f t="shared" si="10"/>
        <v>0</v>
      </c>
      <c r="D27" s="95">
        <v>0</v>
      </c>
      <c r="E27" s="69">
        <f t="shared" si="15"/>
        <v>0</v>
      </c>
      <c r="F27" s="69">
        <f t="shared" si="15"/>
        <v>0</v>
      </c>
      <c r="G27" s="218"/>
      <c r="H27" s="219"/>
      <c r="I27" s="220"/>
      <c r="J27" s="221"/>
      <c r="K27" s="222"/>
      <c r="L27" s="223"/>
      <c r="M27" s="224"/>
      <c r="N27" s="222"/>
      <c r="O27" s="223"/>
      <c r="P27" s="224"/>
      <c r="Q27" s="225"/>
      <c r="R27" s="223"/>
      <c r="S27" s="224"/>
      <c r="T27" s="225"/>
      <c r="U27" s="223"/>
      <c r="V27" s="224"/>
    </row>
    <row r="28" spans="1:24" s="78" customFormat="1" outlineLevel="2">
      <c r="A28" s="308" t="s">
        <v>28</v>
      </c>
      <c r="B28" s="94">
        <v>0</v>
      </c>
      <c r="C28" s="94">
        <f t="shared" si="10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226" customFormat="1" outlineLevel="2">
      <c r="A29" s="301" t="s">
        <v>137</v>
      </c>
      <c r="B29" s="215">
        <v>0</v>
      </c>
      <c r="C29" s="215">
        <f t="shared" si="10"/>
        <v>0</v>
      </c>
      <c r="D29" s="216">
        <f t="shared" si="14"/>
        <v>0</v>
      </c>
      <c r="E29" s="217">
        <f t="shared" si="15"/>
        <v>0</v>
      </c>
      <c r="F29" s="217">
        <f t="shared" si="15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4" s="78" customFormat="1" outlineLevel="2">
      <c r="A30" s="134" t="s">
        <v>21</v>
      </c>
      <c r="B30" s="94">
        <v>0</v>
      </c>
      <c r="C30" s="94">
        <f t="shared" si="10"/>
        <v>0</v>
      </c>
      <c r="D30" s="95">
        <f t="shared" si="14"/>
        <v>0</v>
      </c>
      <c r="E30" s="69">
        <f t="shared" si="15"/>
        <v>0</v>
      </c>
      <c r="F30" s="69">
        <f t="shared" si="15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>
      <c r="A31" s="50" t="s">
        <v>34</v>
      </c>
      <c r="B31" s="99">
        <f>SUM(B32:B39)</f>
        <v>200000</v>
      </c>
      <c r="C31" s="99">
        <f t="shared" ref="C31:D31" si="17">SUM(C32:C39)</f>
        <v>94874.78</v>
      </c>
      <c r="D31" s="99">
        <f t="shared" si="17"/>
        <v>-105125.22</v>
      </c>
      <c r="E31" s="52">
        <f>SUM(E32:E39)</f>
        <v>131</v>
      </c>
      <c r="F31" s="52">
        <f>SUM(F32:F39)</f>
        <v>6.9305555555555554</v>
      </c>
      <c r="G31" s="37"/>
      <c r="H31" s="51">
        <f t="shared" ref="H31" si="18">SUM(H32:H39)</f>
        <v>22481.200000000001</v>
      </c>
      <c r="I31" s="52">
        <f>SUM(I32:I39)</f>
        <v>32</v>
      </c>
      <c r="J31" s="52">
        <f>SUM(J32:J39)</f>
        <v>1.6423611111111112</v>
      </c>
      <c r="K31" s="51">
        <f t="shared" ref="K31" si="19">SUM(K32:K39)</f>
        <v>11787.44</v>
      </c>
      <c r="L31" s="52">
        <f>SUM(L32:L39)</f>
        <v>14</v>
      </c>
      <c r="M31" s="52">
        <f>SUM(M32:M39)</f>
        <v>0.86111111111111116</v>
      </c>
      <c r="N31" s="51">
        <f t="shared" ref="N31" si="20">SUM(N32:N39)</f>
        <v>23865.94</v>
      </c>
      <c r="O31" s="52">
        <f>SUM(O32:O39)</f>
        <v>35</v>
      </c>
      <c r="P31" s="52">
        <f>SUM(P32:P39)</f>
        <v>1.7430555555555556</v>
      </c>
      <c r="Q31" s="51">
        <f t="shared" ref="Q31" si="21">SUM(Q32:Q39)</f>
        <v>27234.2</v>
      </c>
      <c r="R31" s="52">
        <f>SUM(R32:R39)</f>
        <v>35</v>
      </c>
      <c r="S31" s="52">
        <f>SUM(S32:S39)</f>
        <v>1.9895833333333333</v>
      </c>
      <c r="T31" s="51">
        <f t="shared" ref="T31" si="22">SUM(T32:T39)</f>
        <v>9506</v>
      </c>
      <c r="U31" s="52">
        <f>SUM(U32:U39)</f>
        <v>15</v>
      </c>
      <c r="V31" s="52">
        <f>SUM(V32:V39)</f>
        <v>0.69444444444444442</v>
      </c>
    </row>
    <row r="32" spans="1:24" s="226" customFormat="1" outlineLevel="2">
      <c r="A32" s="165" t="s">
        <v>130</v>
      </c>
      <c r="B32" s="215">
        <f>200000</f>
        <v>200000</v>
      </c>
      <c r="C32" s="215">
        <f t="shared" si="10"/>
        <v>94874.78</v>
      </c>
      <c r="D32" s="216">
        <f t="shared" si="14"/>
        <v>-105125.22</v>
      </c>
      <c r="E32" s="217">
        <f t="shared" ref="E32:F39" si="23">+I32+L32+O32+R32+U32</f>
        <v>131</v>
      </c>
      <c r="F32" s="217">
        <f t="shared" si="23"/>
        <v>6.9305555555555554</v>
      </c>
      <c r="G32" s="218"/>
      <c r="H32" s="219">
        <v>22481.200000000001</v>
      </c>
      <c r="I32" s="220">
        <v>32</v>
      </c>
      <c r="J32" s="221">
        <v>1.6423611111111112</v>
      </c>
      <c r="K32" s="222">
        <v>11787.44</v>
      </c>
      <c r="L32" s="223">
        <v>14</v>
      </c>
      <c r="M32" s="224">
        <v>0.86111111111111116</v>
      </c>
      <c r="N32" s="222">
        <v>23865.94</v>
      </c>
      <c r="O32" s="223">
        <v>35</v>
      </c>
      <c r="P32" s="224">
        <v>1.7430555555555556</v>
      </c>
      <c r="Q32" s="225">
        <v>27234.2</v>
      </c>
      <c r="R32" s="223">
        <v>35</v>
      </c>
      <c r="S32" s="224">
        <v>1.9895833333333333</v>
      </c>
      <c r="T32" s="225">
        <v>9506</v>
      </c>
      <c r="U32" s="223">
        <v>15</v>
      </c>
      <c r="V32" s="224">
        <v>0.69444444444444442</v>
      </c>
      <c r="X32" s="294"/>
    </row>
    <row r="33" spans="1:24" s="226" customFormat="1" outlineLevel="2">
      <c r="A33" s="134" t="s">
        <v>36</v>
      </c>
      <c r="B33" s="94">
        <v>0</v>
      </c>
      <c r="C33" s="94">
        <f t="shared" si="10"/>
        <v>0</v>
      </c>
      <c r="D33" s="95">
        <f t="shared" si="14"/>
        <v>0</v>
      </c>
      <c r="E33" s="69">
        <f t="shared" si="23"/>
        <v>0</v>
      </c>
      <c r="F33" s="69">
        <f t="shared" si="23"/>
        <v>0</v>
      </c>
      <c r="G33" s="218"/>
      <c r="H33" s="219"/>
      <c r="I33" s="220"/>
      <c r="J33" s="221"/>
      <c r="K33" s="222"/>
      <c r="L33" s="223"/>
      <c r="M33" s="224"/>
      <c r="N33" s="222"/>
      <c r="O33" s="223"/>
      <c r="P33" s="224"/>
      <c r="Q33" s="225"/>
      <c r="R33" s="223"/>
      <c r="S33" s="224"/>
      <c r="T33" s="225"/>
      <c r="U33" s="223"/>
      <c r="V33" s="224"/>
    </row>
    <row r="34" spans="1:24" s="226" customFormat="1" outlineLevel="2">
      <c r="A34" s="134" t="s">
        <v>25</v>
      </c>
      <c r="B34" s="94">
        <v>0</v>
      </c>
      <c r="C34" s="94">
        <f t="shared" si="10"/>
        <v>0</v>
      </c>
      <c r="D34" s="95">
        <f t="shared" si="14"/>
        <v>0</v>
      </c>
      <c r="E34" s="69">
        <f t="shared" si="23"/>
        <v>0</v>
      </c>
      <c r="F34" s="69">
        <f t="shared" si="23"/>
        <v>0</v>
      </c>
      <c r="G34" s="218"/>
      <c r="H34" s="219"/>
      <c r="I34" s="220"/>
      <c r="J34" s="221"/>
      <c r="K34" s="222"/>
      <c r="L34" s="223"/>
      <c r="M34" s="224"/>
      <c r="N34" s="222"/>
      <c r="O34" s="223"/>
      <c r="P34" s="224"/>
      <c r="Q34" s="225"/>
      <c r="R34" s="223"/>
      <c r="S34" s="224"/>
      <c r="T34" s="225"/>
      <c r="U34" s="223"/>
      <c r="V34" s="224"/>
    </row>
    <row r="35" spans="1:24" s="226" customFormat="1" outlineLevel="2">
      <c r="A35" s="134" t="s">
        <v>26</v>
      </c>
      <c r="B35" s="94">
        <v>0</v>
      </c>
      <c r="C35" s="94">
        <f t="shared" si="10"/>
        <v>0</v>
      </c>
      <c r="D35" s="95">
        <f t="shared" si="14"/>
        <v>0</v>
      </c>
      <c r="E35" s="69">
        <f t="shared" si="23"/>
        <v>0</v>
      </c>
      <c r="F35" s="69">
        <f t="shared" si="23"/>
        <v>0</v>
      </c>
      <c r="G35" s="218"/>
      <c r="H35" s="219"/>
      <c r="I35" s="220"/>
      <c r="J35" s="221"/>
      <c r="K35" s="222"/>
      <c r="L35" s="223"/>
      <c r="M35" s="224"/>
      <c r="N35" s="222"/>
      <c r="O35" s="223"/>
      <c r="P35" s="224"/>
      <c r="Q35" s="225"/>
      <c r="R35" s="223"/>
      <c r="S35" s="224"/>
      <c r="T35" s="225"/>
      <c r="U35" s="223"/>
      <c r="V35" s="224"/>
    </row>
    <row r="36" spans="1:24" s="226" customFormat="1" outlineLevel="2">
      <c r="A36" s="134" t="s">
        <v>37</v>
      </c>
      <c r="B36" s="94">
        <v>0</v>
      </c>
      <c r="C36" s="94">
        <f t="shared" si="10"/>
        <v>0</v>
      </c>
      <c r="D36" s="95">
        <f t="shared" si="14"/>
        <v>0</v>
      </c>
      <c r="E36" s="69">
        <f t="shared" si="23"/>
        <v>0</v>
      </c>
      <c r="F36" s="69">
        <f t="shared" si="23"/>
        <v>0</v>
      </c>
      <c r="G36" s="218"/>
      <c r="H36" s="219"/>
      <c r="I36" s="220"/>
      <c r="J36" s="221"/>
      <c r="K36" s="222"/>
      <c r="L36" s="223"/>
      <c r="M36" s="224"/>
      <c r="N36" s="222"/>
      <c r="O36" s="223"/>
      <c r="P36" s="224"/>
      <c r="Q36" s="225"/>
      <c r="R36" s="223"/>
      <c r="S36" s="224"/>
      <c r="T36" s="225"/>
      <c r="U36" s="223"/>
      <c r="V36" s="224"/>
    </row>
    <row r="37" spans="1:24" s="78" customFormat="1" outlineLevel="2">
      <c r="A37" s="134" t="s">
        <v>28</v>
      </c>
      <c r="B37" s="94">
        <v>0</v>
      </c>
      <c r="C37" s="94">
        <f t="shared" si="10"/>
        <v>0</v>
      </c>
      <c r="D37" s="95">
        <f t="shared" si="14"/>
        <v>0</v>
      </c>
      <c r="E37" s="69">
        <f t="shared" si="23"/>
        <v>0</v>
      </c>
      <c r="F37" s="69">
        <f t="shared" si="23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226" customFormat="1" outlineLevel="2">
      <c r="A38" s="134" t="s">
        <v>20</v>
      </c>
      <c r="B38" s="94">
        <v>0</v>
      </c>
      <c r="C38" s="94">
        <f t="shared" si="10"/>
        <v>0</v>
      </c>
      <c r="D38" s="95">
        <f t="shared" si="14"/>
        <v>0</v>
      </c>
      <c r="E38" s="69">
        <f t="shared" si="23"/>
        <v>0</v>
      </c>
      <c r="F38" s="69">
        <f t="shared" si="23"/>
        <v>0</v>
      </c>
      <c r="G38" s="218"/>
      <c r="H38" s="219"/>
      <c r="I38" s="220"/>
      <c r="J38" s="221"/>
      <c r="K38" s="222"/>
      <c r="L38" s="223"/>
      <c r="M38" s="224"/>
      <c r="N38" s="222"/>
      <c r="O38" s="223"/>
      <c r="P38" s="224"/>
      <c r="Q38" s="225"/>
      <c r="R38" s="223"/>
      <c r="S38" s="224"/>
      <c r="T38" s="225"/>
      <c r="U38" s="223"/>
      <c r="V38" s="224"/>
    </row>
    <row r="39" spans="1:24" s="78" customFormat="1" outlineLevel="2">
      <c r="A39" s="134" t="s">
        <v>21</v>
      </c>
      <c r="B39" s="94">
        <v>0</v>
      </c>
      <c r="C39" s="94">
        <f t="shared" si="10"/>
        <v>0</v>
      </c>
      <c r="D39" s="95">
        <f t="shared" si="14"/>
        <v>0</v>
      </c>
      <c r="E39" s="69">
        <f t="shared" si="23"/>
        <v>0</v>
      </c>
      <c r="F39" s="69">
        <f t="shared" si="23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4">SUM(H41:H42)</f>
        <v>0</v>
      </c>
      <c r="I40" s="60">
        <f t="shared" si="24"/>
        <v>0</v>
      </c>
      <c r="J40" s="60">
        <f t="shared" si="24"/>
        <v>0</v>
      </c>
      <c r="K40" s="59">
        <f t="shared" si="24"/>
        <v>0</v>
      </c>
      <c r="L40" s="60">
        <f t="shared" si="24"/>
        <v>0</v>
      </c>
      <c r="M40" s="60">
        <f t="shared" si="24"/>
        <v>0</v>
      </c>
      <c r="N40" s="59">
        <f t="shared" si="24"/>
        <v>0</v>
      </c>
      <c r="O40" s="60">
        <f t="shared" si="24"/>
        <v>0</v>
      </c>
      <c r="P40" s="60">
        <f t="shared" si="24"/>
        <v>0</v>
      </c>
      <c r="Q40" s="59">
        <f t="shared" si="24"/>
        <v>0</v>
      </c>
      <c r="R40" s="60">
        <f t="shared" si="24"/>
        <v>0</v>
      </c>
      <c r="S40" s="60">
        <f t="shared" si="24"/>
        <v>0</v>
      </c>
      <c r="T40" s="59">
        <f t="shared" si="24"/>
        <v>0</v>
      </c>
      <c r="U40" s="60">
        <f t="shared" si="24"/>
        <v>0</v>
      </c>
      <c r="V40" s="60">
        <f t="shared" si="24"/>
        <v>0</v>
      </c>
    </row>
    <row r="41" spans="1:24" s="78" customFormat="1" outlineLevel="2">
      <c r="A41" s="134" t="s">
        <v>138</v>
      </c>
      <c r="B41" s="94">
        <v>0</v>
      </c>
      <c r="C41" s="94">
        <f t="shared" si="10"/>
        <v>0</v>
      </c>
      <c r="D41" s="95">
        <f t="shared" si="14"/>
        <v>0</v>
      </c>
      <c r="E41" s="69">
        <f t="shared" ref="E41:F42" si="25">+I41+L41+O41+R41+U41</f>
        <v>0</v>
      </c>
      <c r="F41" s="69">
        <f t="shared" si="25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4" s="78" customFormat="1" outlineLevel="2">
      <c r="A42" s="134" t="s">
        <v>36</v>
      </c>
      <c r="B42" s="94">
        <v>0</v>
      </c>
      <c r="C42" s="94">
        <f t="shared" si="10"/>
        <v>0</v>
      </c>
      <c r="D42" s="95">
        <f t="shared" si="14"/>
        <v>0</v>
      </c>
      <c r="E42" s="69">
        <f t="shared" si="25"/>
        <v>0</v>
      </c>
      <c r="F42" s="69">
        <f t="shared" si="25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>
      <c r="A43" s="47" t="s">
        <v>40</v>
      </c>
      <c r="B43" s="101">
        <f>SUM(B44:B45)</f>
        <v>85000</v>
      </c>
      <c r="C43" s="101">
        <f>SUM(C44:C45)</f>
        <v>69678</v>
      </c>
      <c r="D43" s="101">
        <f>SUM(D44:D45)</f>
        <v>-15322</v>
      </c>
      <c r="E43" s="49">
        <f>SUM(E44:E45)</f>
        <v>88</v>
      </c>
      <c r="F43" s="49">
        <f>SUM(F44:F45)</f>
        <v>5.0902777777777777</v>
      </c>
      <c r="G43" s="37"/>
      <c r="H43" s="48">
        <f t="shared" ref="H43:V43" si="26">SUM(H44:H45)</f>
        <v>14449.12</v>
      </c>
      <c r="I43" s="49">
        <f t="shared" si="26"/>
        <v>17</v>
      </c>
      <c r="J43" s="49">
        <f t="shared" si="26"/>
        <v>1.0555555555555556</v>
      </c>
      <c r="K43" s="48">
        <f t="shared" si="26"/>
        <v>14924.42</v>
      </c>
      <c r="L43" s="49">
        <f t="shared" si="26"/>
        <v>21</v>
      </c>
      <c r="M43" s="49">
        <f t="shared" si="26"/>
        <v>1.0902777777777777</v>
      </c>
      <c r="N43" s="48">
        <f t="shared" si="26"/>
        <v>17015.740000000002</v>
      </c>
      <c r="O43" s="49">
        <f t="shared" si="26"/>
        <v>22</v>
      </c>
      <c r="P43" s="49">
        <f t="shared" si="26"/>
        <v>1.2430555555555556</v>
      </c>
      <c r="Q43" s="48">
        <f t="shared" si="26"/>
        <v>16729.580000000002</v>
      </c>
      <c r="R43" s="49">
        <f t="shared" si="26"/>
        <v>23</v>
      </c>
      <c r="S43" s="49">
        <f t="shared" si="26"/>
        <v>1.2222222222222223</v>
      </c>
      <c r="T43" s="48">
        <f t="shared" si="26"/>
        <v>6559.14</v>
      </c>
      <c r="U43" s="49">
        <f t="shared" si="26"/>
        <v>5</v>
      </c>
      <c r="V43" s="49">
        <f t="shared" si="26"/>
        <v>0.47916666666666669</v>
      </c>
    </row>
    <row r="44" spans="1:24" outlineLevel="2">
      <c r="A44" s="1" t="s">
        <v>139</v>
      </c>
      <c r="B44" s="97">
        <v>85000</v>
      </c>
      <c r="C44" s="92">
        <f t="shared" si="10"/>
        <v>69678</v>
      </c>
      <c r="D44" s="93">
        <f t="shared" ref="D44:D45" si="27">+C44-B44</f>
        <v>-15322</v>
      </c>
      <c r="E44" s="18">
        <f t="shared" ref="E44:F45" si="28">+I44+L44+O44+R44+U44</f>
        <v>88</v>
      </c>
      <c r="F44" s="18">
        <f t="shared" si="28"/>
        <v>5.0902777777777777</v>
      </c>
      <c r="G44" s="37"/>
      <c r="H44" s="181">
        <v>14449.12</v>
      </c>
      <c r="I44" s="182">
        <v>17</v>
      </c>
      <c r="J44" s="183">
        <v>1.0555555555555556</v>
      </c>
      <c r="K44" s="184">
        <v>14924.42</v>
      </c>
      <c r="L44" s="185">
        <v>21</v>
      </c>
      <c r="M44" s="186">
        <v>1.0902777777777777</v>
      </c>
      <c r="N44" s="184">
        <v>17015.740000000002</v>
      </c>
      <c r="O44" s="185">
        <v>22</v>
      </c>
      <c r="P44" s="186">
        <v>1.2430555555555556</v>
      </c>
      <c r="Q44" s="187">
        <v>16729.580000000002</v>
      </c>
      <c r="R44" s="185">
        <v>23</v>
      </c>
      <c r="S44" s="186">
        <v>1.2222222222222223</v>
      </c>
      <c r="T44" s="187">
        <v>6559.14</v>
      </c>
      <c r="U44" s="185">
        <v>5</v>
      </c>
      <c r="V44" s="186">
        <v>0.47916666666666669</v>
      </c>
      <c r="X44" s="295"/>
    </row>
    <row r="45" spans="1:24" s="78" customFormat="1" outlineLevel="2">
      <c r="A45" s="68" t="s">
        <v>36</v>
      </c>
      <c r="B45" s="94">
        <v>0</v>
      </c>
      <c r="C45" s="94">
        <f t="shared" si="10"/>
        <v>0</v>
      </c>
      <c r="D45" s="95">
        <f t="shared" si="27"/>
        <v>0</v>
      </c>
      <c r="E45" s="69">
        <f t="shared" si="28"/>
        <v>0</v>
      </c>
      <c r="F45" s="69">
        <f t="shared" si="28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9">SUM(H47:H48)</f>
        <v>0</v>
      </c>
      <c r="I46" s="200">
        <f t="shared" si="29"/>
        <v>0</v>
      </c>
      <c r="J46" s="200">
        <f t="shared" si="29"/>
        <v>0</v>
      </c>
      <c r="K46" s="211">
        <f t="shared" si="29"/>
        <v>0</v>
      </c>
      <c r="L46" s="200">
        <f t="shared" si="29"/>
        <v>0</v>
      </c>
      <c r="M46" s="200">
        <f t="shared" si="29"/>
        <v>0</v>
      </c>
      <c r="N46" s="211">
        <f t="shared" si="29"/>
        <v>0</v>
      </c>
      <c r="O46" s="200">
        <f t="shared" si="29"/>
        <v>0</v>
      </c>
      <c r="P46" s="200">
        <f t="shared" si="29"/>
        <v>0</v>
      </c>
      <c r="Q46" s="211">
        <f t="shared" si="29"/>
        <v>0</v>
      </c>
      <c r="R46" s="200">
        <f t="shared" si="29"/>
        <v>0</v>
      </c>
      <c r="S46" s="200">
        <f t="shared" si="29"/>
        <v>0</v>
      </c>
      <c r="T46" s="211">
        <f t="shared" si="29"/>
        <v>0</v>
      </c>
      <c r="U46" s="200">
        <f t="shared" si="29"/>
        <v>0</v>
      </c>
      <c r="V46" s="200">
        <f t="shared" si="29"/>
        <v>0</v>
      </c>
    </row>
    <row r="47" spans="1:24" s="78" customFormat="1" outlineLevel="2">
      <c r="A47" s="68" t="s">
        <v>43</v>
      </c>
      <c r="B47" s="94">
        <v>0</v>
      </c>
      <c r="C47" s="94">
        <f t="shared" si="10"/>
        <v>0</v>
      </c>
      <c r="D47" s="95">
        <f t="shared" ref="D47:D48" si="30">+C47-B47</f>
        <v>0</v>
      </c>
      <c r="E47" s="69">
        <f t="shared" ref="E47:F48" si="31">+I47+L47+O47+R47+U47</f>
        <v>0</v>
      </c>
      <c r="F47" s="69">
        <f t="shared" si="31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>
      <c r="A48" s="68" t="s">
        <v>36</v>
      </c>
      <c r="B48" s="94">
        <v>0</v>
      </c>
      <c r="C48" s="94">
        <f t="shared" si="10"/>
        <v>0</v>
      </c>
      <c r="D48" s="95">
        <f t="shared" si="30"/>
        <v>0</v>
      </c>
      <c r="E48" s="69">
        <f t="shared" si="31"/>
        <v>0</v>
      </c>
      <c r="F48" s="69">
        <f t="shared" si="31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2">SUM(H50:H51)</f>
        <v>0</v>
      </c>
      <c r="I49" s="200">
        <f t="shared" si="32"/>
        <v>0</v>
      </c>
      <c r="J49" s="200">
        <f t="shared" si="32"/>
        <v>0</v>
      </c>
      <c r="K49" s="211">
        <f t="shared" si="32"/>
        <v>0</v>
      </c>
      <c r="L49" s="200">
        <f t="shared" si="32"/>
        <v>0</v>
      </c>
      <c r="M49" s="200">
        <f t="shared" si="32"/>
        <v>0</v>
      </c>
      <c r="N49" s="211">
        <f t="shared" si="32"/>
        <v>0</v>
      </c>
      <c r="O49" s="200">
        <f t="shared" si="32"/>
        <v>0</v>
      </c>
      <c r="P49" s="200">
        <f t="shared" si="32"/>
        <v>0</v>
      </c>
      <c r="Q49" s="211">
        <f t="shared" si="32"/>
        <v>0</v>
      </c>
      <c r="R49" s="200">
        <f t="shared" si="32"/>
        <v>0</v>
      </c>
      <c r="S49" s="200">
        <f t="shared" si="32"/>
        <v>0</v>
      </c>
      <c r="T49" s="211">
        <f t="shared" si="32"/>
        <v>0</v>
      </c>
      <c r="U49" s="200">
        <f t="shared" si="32"/>
        <v>0</v>
      </c>
      <c r="V49" s="200">
        <f t="shared" si="32"/>
        <v>0</v>
      </c>
    </row>
    <row r="50" spans="1:22" s="78" customFormat="1" outlineLevel="2">
      <c r="A50" s="315" t="s">
        <v>129</v>
      </c>
      <c r="B50" s="94">
        <v>0</v>
      </c>
      <c r="C50" s="94">
        <f t="shared" si="10"/>
        <v>0</v>
      </c>
      <c r="D50" s="95">
        <f t="shared" si="14"/>
        <v>0</v>
      </c>
      <c r="E50" s="69">
        <f t="shared" ref="E50:F51" si="33">+I50+L50+O50+R50+U50</f>
        <v>0</v>
      </c>
      <c r="F50" s="69">
        <f t="shared" si="33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>
      <c r="A51" s="68" t="s">
        <v>36</v>
      </c>
      <c r="B51" s="94">
        <v>0</v>
      </c>
      <c r="C51" s="94">
        <f t="shared" si="10"/>
        <v>0</v>
      </c>
      <c r="D51" s="95">
        <f t="shared" si="14"/>
        <v>0</v>
      </c>
      <c r="E51" s="69">
        <f t="shared" si="33"/>
        <v>0</v>
      </c>
      <c r="F51" s="69">
        <f t="shared" si="33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8">
      <c r="A52" s="138" t="s">
        <v>45</v>
      </c>
      <c r="B52" s="102">
        <f>+B49+B40+B31+B22+B13+B3+B46+B43</f>
        <v>2690000</v>
      </c>
      <c r="C52" s="102">
        <f>+C49+C40+C31+C22+C13+C3+C46+C43</f>
        <v>2074388.4</v>
      </c>
      <c r="D52" s="102">
        <f>+D49+D40+D31+D22+D13+D3+D46+D43</f>
        <v>-615611.60000000009</v>
      </c>
      <c r="E52" s="90">
        <f>+E49+E40+E31+E22+E13+E3+E46+E43</f>
        <v>1883</v>
      </c>
      <c r="F52" s="90">
        <f>+F49+F40+F31+F22+F13+F3+F46+F43</f>
        <v>123.84027777777779</v>
      </c>
      <c r="G52" s="38"/>
      <c r="H52" s="196">
        <f t="shared" ref="H52:V52" si="34">+H49+H40+H31+H22+H13+H3+H46+H43</f>
        <v>450062.98</v>
      </c>
      <c r="I52" s="197">
        <f t="shared" si="34"/>
        <v>418</v>
      </c>
      <c r="J52" s="197">
        <f t="shared" si="34"/>
        <v>26.878472222222221</v>
      </c>
      <c r="K52" s="196">
        <f t="shared" si="34"/>
        <v>450909.22</v>
      </c>
      <c r="L52" s="197">
        <f t="shared" si="34"/>
        <v>412</v>
      </c>
      <c r="M52" s="197">
        <f t="shared" si="34"/>
        <v>26.951388888888893</v>
      </c>
      <c r="N52" s="196">
        <f t="shared" si="34"/>
        <v>465288.31999999995</v>
      </c>
      <c r="O52" s="197">
        <f t="shared" si="34"/>
        <v>427</v>
      </c>
      <c r="P52" s="197">
        <f t="shared" si="34"/>
        <v>27.902777777777779</v>
      </c>
      <c r="Q52" s="196">
        <f t="shared" si="34"/>
        <v>487026.12000000005</v>
      </c>
      <c r="R52" s="197">
        <f t="shared" si="34"/>
        <v>421</v>
      </c>
      <c r="S52" s="197">
        <f t="shared" si="34"/>
        <v>29.166666666666664</v>
      </c>
      <c r="T52" s="196">
        <f t="shared" si="34"/>
        <v>221101.76</v>
      </c>
      <c r="U52" s="197">
        <f t="shared" si="34"/>
        <v>205</v>
      </c>
      <c r="V52" s="197">
        <f t="shared" si="34"/>
        <v>12.940972222222221</v>
      </c>
    </row>
    <row r="54" spans="1:22" ht="18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>
      <c r="A55" s="87" t="s">
        <v>47</v>
      </c>
      <c r="B55" s="105">
        <f>+B56+B66+B75+B84+B93+B102+B96+B99</f>
        <v>1255580</v>
      </c>
      <c r="C55" s="105">
        <f>+C56+C66+C75+C84+C93+C102+C96+C99</f>
        <v>1234274</v>
      </c>
      <c r="D55" s="106">
        <f>+C55-B55</f>
        <v>-21306</v>
      </c>
    </row>
    <row r="56" spans="1:22" outlineLevel="1">
      <c r="A56" s="44" t="s">
        <v>48</v>
      </c>
      <c r="B56" s="107">
        <f>SUM(B57:B65)*1.34</f>
        <v>653920</v>
      </c>
      <c r="C56" s="107">
        <f>SUM(C57:C65)*1.34</f>
        <v>643334</v>
      </c>
      <c r="D56" s="108">
        <f>+C56-B56</f>
        <v>-10586</v>
      </c>
    </row>
    <row r="57" spans="1:22" outlineLevel="2">
      <c r="A57" s="132" t="str">
        <f>+A4</f>
        <v>psych. s. 1 - NÁGLOVÁ</v>
      </c>
      <c r="B57" s="93">
        <v>60000</v>
      </c>
      <c r="C57" s="93">
        <v>64550</v>
      </c>
      <c r="D57" s="109">
        <f t="shared" ref="D57:D74" si="35">+C57-B57</f>
        <v>4550</v>
      </c>
      <c r="F57" s="16"/>
      <c r="G57" s="40"/>
    </row>
    <row r="58" spans="1:22" outlineLevel="2">
      <c r="A58" s="132" t="str">
        <f t="shared" ref="A58:A65" si="36">+A5</f>
        <v>psych. s. 2 - HAJASOVÁ</v>
      </c>
      <c r="B58" s="93">
        <v>47000</v>
      </c>
      <c r="C58" s="93">
        <v>49550</v>
      </c>
      <c r="D58" s="109">
        <f t="shared" si="35"/>
        <v>2550</v>
      </c>
      <c r="F58" s="16"/>
      <c r="G58" s="40"/>
    </row>
    <row r="59" spans="1:22" outlineLevel="2">
      <c r="A59" s="132" t="str">
        <f t="shared" si="36"/>
        <v>psych. s. 3 -  KAŠPÁRKOVÁ/Pekárová</v>
      </c>
      <c r="B59" s="93">
        <v>65000</v>
      </c>
      <c r="C59" s="93">
        <v>65000</v>
      </c>
      <c r="D59" s="109">
        <f t="shared" si="35"/>
        <v>0</v>
      </c>
      <c r="F59" s="16"/>
      <c r="G59" s="40"/>
    </row>
    <row r="60" spans="1:22" s="78" customFormat="1" outlineLevel="2">
      <c r="A60" s="134" t="str">
        <f t="shared" si="36"/>
        <v xml:space="preserve">psych. s. 4 -  </v>
      </c>
      <c r="B60" s="155">
        <v>0</v>
      </c>
      <c r="C60" s="155">
        <v>0</v>
      </c>
      <c r="D60" s="156">
        <f t="shared" si="35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2" outlineLevel="2">
      <c r="A61" s="132" t="str">
        <f t="shared" si="36"/>
        <v>psychiatr - GÁBEL 0,2</v>
      </c>
      <c r="B61" s="93">
        <v>16000</v>
      </c>
      <c r="C61" s="93">
        <v>16000</v>
      </c>
      <c r="D61" s="109">
        <f t="shared" si="35"/>
        <v>0</v>
      </c>
      <c r="F61" s="16"/>
      <c r="G61" s="40"/>
      <c r="J61" s="82"/>
    </row>
    <row r="62" spans="1:22" outlineLevel="2">
      <c r="A62" s="132" t="str">
        <f t="shared" si="36"/>
        <v>psychiatr - PFEIFFER 0,5</v>
      </c>
      <c r="B62" s="93">
        <v>85000</v>
      </c>
      <c r="C62" s="93">
        <v>85000</v>
      </c>
      <c r="D62" s="109">
        <f t="shared" si="35"/>
        <v>0</v>
      </c>
      <c r="F62" s="16"/>
      <c r="G62" s="40"/>
      <c r="J62" s="82"/>
    </row>
    <row r="63" spans="1:22" outlineLevel="2">
      <c r="A63" s="132" t="str">
        <f t="shared" si="36"/>
        <v>psychiatr - Dr. Suchánková 1,0</v>
      </c>
      <c r="B63" s="166">
        <v>160000</v>
      </c>
      <c r="C63" s="93">
        <v>160000</v>
      </c>
      <c r="D63" s="109">
        <f t="shared" si="35"/>
        <v>0</v>
      </c>
      <c r="F63" s="16"/>
      <c r="G63" s="40"/>
      <c r="J63" s="82"/>
    </row>
    <row r="64" spans="1:22" s="175" customFormat="1" outlineLevel="2">
      <c r="A64" s="132" t="str">
        <f t="shared" si="36"/>
        <v>psycholog 1 - Dr. Balko 0,5</v>
      </c>
      <c r="B64" s="166">
        <v>40000</v>
      </c>
      <c r="C64" s="166">
        <v>40000</v>
      </c>
      <c r="D64" s="167">
        <f t="shared" si="35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>
      <c r="A65" s="165" t="str">
        <f t="shared" si="36"/>
        <v xml:space="preserve">psycholog 2 </v>
      </c>
      <c r="B65" s="166">
        <v>15000</v>
      </c>
      <c r="C65" s="166"/>
      <c r="D65" s="167">
        <f t="shared" si="35"/>
        <v>-15000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>
      <c r="A66" s="58" t="s">
        <v>52</v>
      </c>
      <c r="B66" s="111">
        <f>SUM(B67:B74)*1.34</f>
        <v>196980</v>
      </c>
      <c r="C66" s="111">
        <f>SUM(C67:C74)*1.34</f>
        <v>198990</v>
      </c>
      <c r="D66" s="112">
        <f>+C66-B66</f>
        <v>2010</v>
      </c>
      <c r="F66" s="16"/>
      <c r="G66" s="40"/>
      <c r="J66" s="82"/>
    </row>
    <row r="67" spans="1:22" outlineLevel="2">
      <c r="A67" s="301" t="str">
        <f t="shared" ref="A67:A74" si="37">+A14</f>
        <v>psych. s 1 - Blažková</v>
      </c>
      <c r="B67" s="93">
        <v>55000</v>
      </c>
      <c r="C67" s="93">
        <v>55000</v>
      </c>
      <c r="D67" s="109">
        <f t="shared" si="35"/>
        <v>0</v>
      </c>
      <c r="F67" s="16"/>
      <c r="G67" s="40"/>
      <c r="J67" s="82"/>
    </row>
    <row r="68" spans="1:22" s="175" customFormat="1" outlineLevel="2">
      <c r="A68" s="165" t="str">
        <f t="shared" si="37"/>
        <v>psych. s 2 - Pátková od 1.3</v>
      </c>
      <c r="B68" s="166">
        <v>60000</v>
      </c>
      <c r="C68" s="166">
        <v>61500</v>
      </c>
      <c r="D68" s="167">
        <f t="shared" si="35"/>
        <v>1500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>
      <c r="A69" s="308" t="str">
        <f t="shared" si="37"/>
        <v>psych. s 3 - Jurášová</v>
      </c>
      <c r="B69" s="95">
        <v>0</v>
      </c>
      <c r="C69" s="155">
        <v>0</v>
      </c>
      <c r="D69" s="156">
        <f t="shared" si="35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>
      <c r="A70" s="134" t="str">
        <f t="shared" si="37"/>
        <v>psych. s 4</v>
      </c>
      <c r="B70" s="155">
        <v>0</v>
      </c>
      <c r="C70" s="155">
        <v>0</v>
      </c>
      <c r="D70" s="156">
        <f t="shared" si="35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>
      <c r="A71" s="134" t="str">
        <f t="shared" si="37"/>
        <v xml:space="preserve">psychiatr 1 - </v>
      </c>
      <c r="B71" s="155">
        <v>0</v>
      </c>
      <c r="C71" s="155">
        <v>0</v>
      </c>
      <c r="D71" s="156">
        <f t="shared" si="35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>
      <c r="A72" s="134" t="str">
        <f t="shared" si="37"/>
        <v>psychiatr 2</v>
      </c>
      <c r="B72" s="155">
        <v>0</v>
      </c>
      <c r="C72" s="155">
        <v>0</v>
      </c>
      <c r="D72" s="156">
        <f t="shared" si="35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>
      <c r="A73" s="301" t="str">
        <f t="shared" si="37"/>
        <v>psycholog 1 - Mgr. Eva Suchopová  0,2</v>
      </c>
      <c r="B73" s="216">
        <v>32000</v>
      </c>
      <c r="C73" s="155">
        <v>32000</v>
      </c>
      <c r="D73" s="156">
        <f t="shared" si="35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>
      <c r="A74" s="134" t="str">
        <f t="shared" si="37"/>
        <v>psycholog 2</v>
      </c>
      <c r="B74" s="95">
        <v>0</v>
      </c>
      <c r="C74" s="95">
        <v>0</v>
      </c>
      <c r="D74" s="110">
        <f t="shared" si="35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>
      <c r="A75" s="57" t="s">
        <v>58</v>
      </c>
      <c r="B75" s="113">
        <f>SUM(B76:B83)*1.34</f>
        <v>258620.00000000003</v>
      </c>
      <c r="C75" s="113">
        <f>SUM(C76:C83)*1.34</f>
        <v>262640</v>
      </c>
      <c r="D75" s="114">
        <f>+C75-B75</f>
        <v>4019.9999999999709</v>
      </c>
      <c r="F75" s="16"/>
      <c r="G75" s="40"/>
      <c r="J75" s="82"/>
    </row>
    <row r="76" spans="1:22" outlineLevel="2">
      <c r="A76" s="165" t="str">
        <f t="shared" ref="A76:A83" si="38">+A23</f>
        <v>psych. s 1 - ZELENKOVÁ</v>
      </c>
      <c r="B76" s="93">
        <v>65000</v>
      </c>
      <c r="C76" s="93">
        <v>66500</v>
      </c>
      <c r="D76" s="109">
        <f t="shared" ref="D76:D83" si="39">+C76-B76</f>
        <v>1500</v>
      </c>
      <c r="F76" s="16"/>
      <c r="G76" s="40"/>
      <c r="J76" s="83"/>
    </row>
    <row r="77" spans="1:22" s="175" customFormat="1" outlineLevel="2">
      <c r="A77" s="165" t="str">
        <f t="shared" si="38"/>
        <v>psych. s 2 - Vondráčková</v>
      </c>
      <c r="B77" s="166">
        <v>58000</v>
      </c>
      <c r="C77" s="166">
        <v>59500</v>
      </c>
      <c r="D77" s="167">
        <f t="shared" si="39"/>
        <v>1500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>
      <c r="A78" s="165" t="str">
        <f t="shared" si="38"/>
        <v>psych. s 3 - Nováková</v>
      </c>
      <c r="B78" s="166">
        <v>55000</v>
      </c>
      <c r="C78" s="166">
        <v>55000</v>
      </c>
      <c r="D78" s="167">
        <f t="shared" si="39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>
      <c r="A79" s="134" t="str">
        <f t="shared" si="38"/>
        <v>všeob. s 4 - Dušková</v>
      </c>
      <c r="B79" s="155">
        <v>0</v>
      </c>
      <c r="C79" s="155">
        <v>0</v>
      </c>
      <c r="D79" s="156">
        <f t="shared" si="39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>
      <c r="A80" s="134" t="str">
        <f t="shared" si="38"/>
        <v xml:space="preserve">psychiatr 1 - </v>
      </c>
      <c r="B80" s="155">
        <v>0</v>
      </c>
      <c r="C80" s="155">
        <v>0</v>
      </c>
      <c r="D80" s="156">
        <f t="shared" si="39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>
      <c r="A81" s="134" t="str">
        <f t="shared" si="38"/>
        <v>psychiatr 2</v>
      </c>
      <c r="B81" s="95">
        <v>0</v>
      </c>
      <c r="C81" s="95">
        <v>0</v>
      </c>
      <c r="D81" s="110">
        <f t="shared" si="39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>
      <c r="A82" s="165" t="str">
        <f t="shared" si="38"/>
        <v>psycholog 1 - Lichtenbergová</v>
      </c>
      <c r="B82" s="166">
        <v>15000</v>
      </c>
      <c r="C82" s="166">
        <v>15000</v>
      </c>
      <c r="D82" s="167">
        <f t="shared" si="39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>
      <c r="A83" s="134" t="str">
        <f t="shared" si="38"/>
        <v>psycholog 2</v>
      </c>
      <c r="B83" s="95">
        <v>0</v>
      </c>
      <c r="C83" s="95">
        <v>0</v>
      </c>
      <c r="D83" s="110">
        <f t="shared" si="39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>
      <c r="A84" s="50" t="s">
        <v>60</v>
      </c>
      <c r="B84" s="115">
        <f>SUM(B85:B92)*1.34</f>
        <v>93800</v>
      </c>
      <c r="C84" s="115">
        <f>SUM(C85:C92)*1.34</f>
        <v>93800</v>
      </c>
      <c r="D84" s="116">
        <f>+C84-B84</f>
        <v>0</v>
      </c>
      <c r="F84" s="16"/>
      <c r="G84" s="40"/>
    </row>
    <row r="85" spans="1:22" s="175" customFormat="1" outlineLevel="2">
      <c r="A85" s="165" t="str">
        <f t="shared" ref="A85:A92" si="40">+A32</f>
        <v>psych. s 1 - Štréblová</v>
      </c>
      <c r="B85" s="166">
        <v>70000</v>
      </c>
      <c r="C85" s="166">
        <f>+B85</f>
        <v>70000</v>
      </c>
      <c r="D85" s="167">
        <f t="shared" ref="D85:D104" si="41">+C85-B85</f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175" customFormat="1" outlineLevel="2">
      <c r="A86" s="134" t="str">
        <f t="shared" si="40"/>
        <v>psych. s 2</v>
      </c>
      <c r="B86" s="95">
        <v>0</v>
      </c>
      <c r="C86" s="95">
        <v>0</v>
      </c>
      <c r="D86" s="110">
        <f t="shared" si="41"/>
        <v>0</v>
      </c>
      <c r="E86" s="168"/>
      <c r="F86" s="168"/>
      <c r="G86" s="169"/>
      <c r="H86" s="170"/>
      <c r="I86" s="171"/>
      <c r="J86" s="228"/>
      <c r="K86" s="170"/>
      <c r="L86" s="172"/>
      <c r="M86" s="173"/>
      <c r="N86" s="170"/>
      <c r="O86" s="172"/>
      <c r="P86" s="174"/>
      <c r="Q86" s="170"/>
      <c r="R86" s="172"/>
      <c r="S86" s="174"/>
      <c r="T86" s="170"/>
      <c r="U86" s="172"/>
      <c r="V86" s="174"/>
    </row>
    <row r="87" spans="1:22" s="175" customFormat="1" outlineLevel="2">
      <c r="A87" s="134" t="str">
        <f t="shared" si="40"/>
        <v>psych. s 3</v>
      </c>
      <c r="B87" s="95">
        <v>0</v>
      </c>
      <c r="C87" s="95">
        <v>0</v>
      </c>
      <c r="D87" s="110">
        <f t="shared" si="41"/>
        <v>0</v>
      </c>
      <c r="E87" s="168"/>
      <c r="F87" s="168"/>
      <c r="G87" s="169"/>
      <c r="H87" s="170"/>
      <c r="I87" s="171"/>
      <c r="J87" s="228"/>
      <c r="K87" s="170"/>
      <c r="L87" s="172"/>
      <c r="M87" s="173"/>
      <c r="N87" s="170"/>
      <c r="O87" s="172"/>
      <c r="P87" s="174"/>
      <c r="Q87" s="170"/>
      <c r="R87" s="172"/>
      <c r="S87" s="174"/>
      <c r="T87" s="170"/>
      <c r="U87" s="172"/>
      <c r="V87" s="174"/>
    </row>
    <row r="88" spans="1:22" s="175" customFormat="1" outlineLevel="2">
      <c r="A88" s="134" t="str">
        <f t="shared" si="40"/>
        <v>psych. s 4</v>
      </c>
      <c r="B88" s="95">
        <v>0</v>
      </c>
      <c r="C88" s="95">
        <v>0</v>
      </c>
      <c r="D88" s="110">
        <f t="shared" si="41"/>
        <v>0</v>
      </c>
      <c r="E88" s="168"/>
      <c r="F88" s="168"/>
      <c r="G88" s="169"/>
      <c r="H88" s="170"/>
      <c r="I88" s="171"/>
      <c r="J88" s="228"/>
      <c r="K88" s="170"/>
      <c r="L88" s="172"/>
      <c r="M88" s="173"/>
      <c r="N88" s="170"/>
      <c r="O88" s="172"/>
      <c r="P88" s="174"/>
      <c r="Q88" s="170"/>
      <c r="R88" s="172"/>
      <c r="S88" s="174"/>
      <c r="T88" s="170"/>
      <c r="U88" s="172"/>
      <c r="V88" s="174"/>
    </row>
    <row r="89" spans="1:22" s="175" customFormat="1" outlineLevel="2">
      <c r="A89" s="134" t="str">
        <f t="shared" si="40"/>
        <v xml:space="preserve">psychiatr 1 - 0,5 </v>
      </c>
      <c r="B89" s="95">
        <v>0</v>
      </c>
      <c r="C89" s="95">
        <v>0</v>
      </c>
      <c r="D89" s="110">
        <f t="shared" si="41"/>
        <v>0</v>
      </c>
      <c r="E89" s="168"/>
      <c r="F89" s="168"/>
      <c r="G89" s="169"/>
      <c r="H89" s="170"/>
      <c r="I89" s="171"/>
      <c r="J89" s="228"/>
      <c r="K89" s="170"/>
      <c r="L89" s="172"/>
      <c r="M89" s="173"/>
      <c r="N89" s="170"/>
      <c r="O89" s="172"/>
      <c r="P89" s="174"/>
      <c r="Q89" s="170"/>
      <c r="R89" s="172"/>
      <c r="S89" s="174"/>
      <c r="T89" s="170"/>
      <c r="U89" s="172"/>
      <c r="V89" s="174"/>
    </row>
    <row r="90" spans="1:22" s="78" customFormat="1" outlineLevel="2">
      <c r="A90" s="134" t="str">
        <f t="shared" si="40"/>
        <v>psychiatr 2</v>
      </c>
      <c r="B90" s="95">
        <v>0</v>
      </c>
      <c r="C90" s="95">
        <v>0</v>
      </c>
      <c r="D90" s="110">
        <f t="shared" si="41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175" customFormat="1" outlineLevel="2">
      <c r="A91" s="134" t="str">
        <f t="shared" si="40"/>
        <v>psycholog 1 - 0,5</v>
      </c>
      <c r="B91" s="95">
        <v>0</v>
      </c>
      <c r="C91" s="95">
        <v>0</v>
      </c>
      <c r="D91" s="110">
        <f t="shared" si="41"/>
        <v>0</v>
      </c>
      <c r="E91" s="168"/>
      <c r="F91" s="168"/>
      <c r="G91" s="169"/>
      <c r="H91" s="170"/>
      <c r="I91" s="171"/>
      <c r="J91" s="228"/>
      <c r="K91" s="170"/>
      <c r="L91" s="172"/>
      <c r="M91" s="173"/>
      <c r="N91" s="170"/>
      <c r="O91" s="172"/>
      <c r="P91" s="174"/>
      <c r="Q91" s="170"/>
      <c r="R91" s="172"/>
      <c r="S91" s="174"/>
      <c r="T91" s="170"/>
      <c r="U91" s="172"/>
      <c r="V91" s="174"/>
    </row>
    <row r="92" spans="1:22" s="78" customFormat="1" outlineLevel="2">
      <c r="A92" s="134" t="str">
        <f t="shared" si="40"/>
        <v>psycholog 2</v>
      </c>
      <c r="B92" s="95">
        <v>0</v>
      </c>
      <c r="C92" s="95">
        <v>0</v>
      </c>
      <c r="D92" s="110">
        <f t="shared" si="41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41"/>
        <v>0</v>
      </c>
      <c r="F93" s="16"/>
      <c r="G93" s="40"/>
    </row>
    <row r="94" spans="1:22" outlineLevel="2">
      <c r="A94" s="134" t="str">
        <f>+A41</f>
        <v xml:space="preserve">psych. s 1 - </v>
      </c>
      <c r="B94" s="155">
        <v>0</v>
      </c>
      <c r="C94" s="155">
        <v>0</v>
      </c>
      <c r="D94" s="156">
        <f t="shared" si="41"/>
        <v>0</v>
      </c>
      <c r="F94" s="16"/>
      <c r="G94" s="40"/>
    </row>
    <row r="95" spans="1:22" s="78" customFormat="1" outlineLevel="2">
      <c r="A95" s="134" t="str">
        <f>+A42</f>
        <v>psych. s 2</v>
      </c>
      <c r="B95" s="95">
        <v>0</v>
      </c>
      <c r="C95" s="95">
        <v>0</v>
      </c>
      <c r="D95" s="110">
        <f t="shared" si="41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>
      <c r="A96" s="136" t="s">
        <v>63</v>
      </c>
      <c r="B96" s="120">
        <f>SUM(B97:B98)*1.34</f>
        <v>33500</v>
      </c>
      <c r="C96" s="120">
        <f>SUM(C97:C98)*1.34</f>
        <v>35510</v>
      </c>
      <c r="D96" s="121">
        <f t="shared" si="41"/>
        <v>2010</v>
      </c>
      <c r="F96" s="16"/>
      <c r="G96" s="40"/>
    </row>
    <row r="97" spans="1:22" outlineLevel="2">
      <c r="A97" s="301" t="str">
        <f>+A44</f>
        <v>psych. s 1 Prajzová</v>
      </c>
      <c r="B97" s="93">
        <v>25000</v>
      </c>
      <c r="C97" s="93">
        <v>26500</v>
      </c>
      <c r="D97" s="119">
        <f t="shared" si="41"/>
        <v>1500</v>
      </c>
      <c r="F97" s="16"/>
      <c r="G97" s="40"/>
    </row>
    <row r="98" spans="1:22" s="78" customFormat="1" outlineLevel="2">
      <c r="A98" s="308" t="str">
        <f>+A45</f>
        <v>psych. s 2</v>
      </c>
      <c r="B98" s="95">
        <v>0</v>
      </c>
      <c r="C98" s="95">
        <v>0</v>
      </c>
      <c r="D98" s="110">
        <f t="shared" si="41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41"/>
        <v>0</v>
      </c>
      <c r="F99" s="16"/>
      <c r="G99" s="40"/>
    </row>
    <row r="100" spans="1:22" s="78" customFormat="1" outlineLevel="2">
      <c r="A100" s="308" t="str">
        <f>+A47</f>
        <v xml:space="preserve">psych. s 1 </v>
      </c>
      <c r="B100" s="95">
        <v>0</v>
      </c>
      <c r="C100" s="95">
        <v>0</v>
      </c>
      <c r="D100" s="110">
        <f t="shared" si="41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>
      <c r="A101" s="308" t="str">
        <f>+A48</f>
        <v>psych. s 2</v>
      </c>
      <c r="B101" s="95">
        <v>0</v>
      </c>
      <c r="C101" s="95">
        <v>0</v>
      </c>
      <c r="D101" s="110">
        <f t="shared" si="41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41"/>
        <v>-18760</v>
      </c>
      <c r="F102" s="16"/>
      <c r="G102" s="40"/>
    </row>
    <row r="103" spans="1:22" s="78" customFormat="1" outlineLevel="2">
      <c r="A103" s="315" t="str">
        <f>+A50</f>
        <v>psych. s 1  - Skokanová</v>
      </c>
      <c r="B103" s="216">
        <v>14000</v>
      </c>
      <c r="C103" s="216">
        <v>0</v>
      </c>
      <c r="D103" s="119">
        <f t="shared" si="41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>
      <c r="A104" s="308" t="str">
        <f>+A51</f>
        <v>psych. s 2</v>
      </c>
      <c r="B104" s="95">
        <v>0</v>
      </c>
      <c r="C104" s="95">
        <v>0</v>
      </c>
      <c r="D104" s="110">
        <f t="shared" si="41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>
      <c r="A105" s="89" t="s">
        <v>66</v>
      </c>
      <c r="B105" s="122">
        <f>SUM(B106:B113)</f>
        <v>403500</v>
      </c>
      <c r="C105" s="122">
        <f>SUM(C106:C113)</f>
        <v>311158.26</v>
      </c>
      <c r="D105" s="123">
        <f>+C105-B105</f>
        <v>-92341.739999999991</v>
      </c>
    </row>
    <row r="106" spans="1:22" outlineLevel="1">
      <c r="A106" s="44" t="s">
        <v>67</v>
      </c>
      <c r="B106" s="141">
        <f>+B3*0.15</f>
        <v>210750</v>
      </c>
      <c r="C106" s="141">
        <f>+C3*0.15</f>
        <v>182673.79199999999</v>
      </c>
      <c r="D106" s="142">
        <f t="shared" ref="D106:D131" si="42">+C106-B106</f>
        <v>-28076.208000000013</v>
      </c>
    </row>
    <row r="107" spans="1:22" outlineLevel="1">
      <c r="A107" s="58" t="s">
        <v>68</v>
      </c>
      <c r="B107" s="141">
        <f>+B13*0.15</f>
        <v>60000</v>
      </c>
      <c r="C107" s="141">
        <f>+C13*0.15</f>
        <v>43281.650999999991</v>
      </c>
      <c r="D107" s="142">
        <f t="shared" si="42"/>
        <v>-16718.349000000009</v>
      </c>
    </row>
    <row r="108" spans="1:22" outlineLevel="1">
      <c r="A108" s="57" t="s">
        <v>69</v>
      </c>
      <c r="B108" s="141">
        <f>+B22*0.15</f>
        <v>90000</v>
      </c>
      <c r="C108" s="141">
        <f>+C22*0.15</f>
        <v>60519.899999999994</v>
      </c>
      <c r="D108" s="142">
        <f t="shared" si="42"/>
        <v>-29480.100000000006</v>
      </c>
    </row>
    <row r="109" spans="1:22" outlineLevel="1">
      <c r="A109" s="50" t="s">
        <v>70</v>
      </c>
      <c r="B109" s="141">
        <f>+B31*0.15</f>
        <v>30000</v>
      </c>
      <c r="C109" s="141">
        <f>+C31*0.15</f>
        <v>14231.216999999999</v>
      </c>
      <c r="D109" s="142">
        <f t="shared" si="42"/>
        <v>-15768.783000000001</v>
      </c>
    </row>
    <row r="110" spans="1:22" outlineLevel="1">
      <c r="A110" s="67" t="s">
        <v>71</v>
      </c>
      <c r="B110" s="141">
        <f>+B40*0.15</f>
        <v>0</v>
      </c>
      <c r="C110" s="141">
        <f>+C40*0.15</f>
        <v>0</v>
      </c>
      <c r="D110" s="142">
        <f t="shared" si="42"/>
        <v>0</v>
      </c>
    </row>
    <row r="111" spans="1:22" outlineLevel="1">
      <c r="A111" s="47" t="s">
        <v>72</v>
      </c>
      <c r="B111" s="141">
        <f>+B43*0.15</f>
        <v>12750</v>
      </c>
      <c r="C111" s="141">
        <f>+C43*0.15</f>
        <v>10451.699999999999</v>
      </c>
      <c r="D111" s="142">
        <f t="shared" si="42"/>
        <v>-2298.3000000000011</v>
      </c>
    </row>
    <row r="112" spans="1:22" outlineLevel="1">
      <c r="A112" s="198" t="s">
        <v>73</v>
      </c>
      <c r="B112" s="141">
        <f>+B46*0.15</f>
        <v>0</v>
      </c>
      <c r="C112" s="141">
        <f>+C46*0.15</f>
        <v>0</v>
      </c>
      <c r="D112" s="142">
        <f t="shared" si="42"/>
        <v>0</v>
      </c>
    </row>
    <row r="113" spans="1:4" outlineLevel="1">
      <c r="A113" s="198" t="s">
        <v>74</v>
      </c>
      <c r="B113" s="141">
        <f>+B49*0.15</f>
        <v>0</v>
      </c>
      <c r="C113" s="141">
        <f>+C49*0.15</f>
        <v>0</v>
      </c>
      <c r="D113" s="142">
        <f t="shared" si="42"/>
        <v>0</v>
      </c>
    </row>
    <row r="114" spans="1:4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>
      <c r="A115" s="44" t="s">
        <v>76</v>
      </c>
      <c r="B115" s="111">
        <v>30000</v>
      </c>
      <c r="C115" s="111">
        <f>+B115</f>
        <v>30000</v>
      </c>
      <c r="D115" s="112">
        <f t="shared" si="42"/>
        <v>0</v>
      </c>
    </row>
    <row r="116" spans="1:4" outlineLevel="1">
      <c r="A116" s="58" t="s">
        <v>77</v>
      </c>
      <c r="B116" s="111">
        <v>20000</v>
      </c>
      <c r="C116" s="111">
        <f t="shared" ref="C116:C122" si="43">+B116</f>
        <v>20000</v>
      </c>
      <c r="D116" s="112">
        <f t="shared" si="42"/>
        <v>0</v>
      </c>
    </row>
    <row r="117" spans="1:4" outlineLevel="1">
      <c r="A117" s="57" t="s">
        <v>78</v>
      </c>
      <c r="B117" s="111">
        <v>20000</v>
      </c>
      <c r="C117" s="111">
        <f t="shared" si="43"/>
        <v>20000</v>
      </c>
      <c r="D117" s="111">
        <f t="shared" si="42"/>
        <v>0</v>
      </c>
    </row>
    <row r="118" spans="1:4" outlineLevel="1">
      <c r="A118" s="50" t="s">
        <v>79</v>
      </c>
      <c r="B118" s="111">
        <v>0</v>
      </c>
      <c r="C118" s="111">
        <f t="shared" si="43"/>
        <v>0</v>
      </c>
      <c r="D118" s="111">
        <f t="shared" si="42"/>
        <v>0</v>
      </c>
    </row>
    <row r="119" spans="1:4" outlineLevel="1">
      <c r="A119" s="67" t="s">
        <v>80</v>
      </c>
      <c r="B119" s="111">
        <v>0</v>
      </c>
      <c r="C119" s="111">
        <f t="shared" si="43"/>
        <v>0</v>
      </c>
      <c r="D119" s="111">
        <f t="shared" si="42"/>
        <v>0</v>
      </c>
    </row>
    <row r="120" spans="1:4" outlineLevel="1">
      <c r="A120" s="47" t="s">
        <v>81</v>
      </c>
      <c r="B120" s="111">
        <v>0</v>
      </c>
      <c r="C120" s="111">
        <f t="shared" si="43"/>
        <v>0</v>
      </c>
      <c r="D120" s="111">
        <f t="shared" si="42"/>
        <v>0</v>
      </c>
    </row>
    <row r="121" spans="1:4" outlineLevel="1">
      <c r="A121" s="198" t="s">
        <v>82</v>
      </c>
      <c r="B121" s="111">
        <v>0</v>
      </c>
      <c r="C121" s="111">
        <f t="shared" si="43"/>
        <v>0</v>
      </c>
      <c r="D121" s="111">
        <f t="shared" si="42"/>
        <v>0</v>
      </c>
    </row>
    <row r="122" spans="1:4" outlineLevel="1">
      <c r="A122" s="198" t="s">
        <v>83</v>
      </c>
      <c r="B122" s="111">
        <v>0</v>
      </c>
      <c r="C122" s="111">
        <f t="shared" si="43"/>
        <v>0</v>
      </c>
      <c r="D122" s="111">
        <f t="shared" si="42"/>
        <v>0</v>
      </c>
    </row>
    <row r="123" spans="1:4">
      <c r="A123" s="150" t="s">
        <v>84</v>
      </c>
      <c r="B123" s="151">
        <f>SUM(B124:B131)</f>
        <v>269000</v>
      </c>
      <c r="C123" s="151">
        <f t="shared" ref="C123" si="44">SUM(C124:C131)</f>
        <v>207438.84</v>
      </c>
      <c r="D123" s="151">
        <f>+C123-B123</f>
        <v>-61561.16</v>
      </c>
    </row>
    <row r="124" spans="1:4" outlineLevel="1">
      <c r="A124" s="44" t="s">
        <v>85</v>
      </c>
      <c r="B124" s="152">
        <f>+B3/10</f>
        <v>140500</v>
      </c>
      <c r="C124" s="152">
        <f>+C3/10</f>
        <v>121782.52800000001</v>
      </c>
      <c r="D124" s="153">
        <f t="shared" si="42"/>
        <v>-18717.471999999994</v>
      </c>
    </row>
    <row r="125" spans="1:4" outlineLevel="1">
      <c r="A125" s="58" t="s">
        <v>86</v>
      </c>
      <c r="B125" s="152">
        <f>+B13/10</f>
        <v>40000</v>
      </c>
      <c r="C125" s="152">
        <f>+C13/10</f>
        <v>28854.433999999997</v>
      </c>
      <c r="D125" s="153">
        <f t="shared" si="42"/>
        <v>-11145.566000000003</v>
      </c>
    </row>
    <row r="126" spans="1:4" outlineLevel="1">
      <c r="A126" s="57" t="s">
        <v>87</v>
      </c>
      <c r="B126" s="152">
        <f>+B22/10</f>
        <v>60000</v>
      </c>
      <c r="C126" s="152">
        <f>+C22/10</f>
        <v>40346.6</v>
      </c>
      <c r="D126" s="152">
        <f t="shared" si="42"/>
        <v>-19653.400000000001</v>
      </c>
    </row>
    <row r="127" spans="1:4" outlineLevel="1">
      <c r="A127" s="50" t="s">
        <v>88</v>
      </c>
      <c r="B127" s="152">
        <f>+B31/10</f>
        <v>20000</v>
      </c>
      <c r="C127" s="152">
        <f>+C31/10</f>
        <v>9487.4779999999992</v>
      </c>
      <c r="D127" s="152">
        <f t="shared" si="42"/>
        <v>-10512.522000000001</v>
      </c>
    </row>
    <row r="128" spans="1:4" outlineLevel="1">
      <c r="A128" s="67" t="s">
        <v>89</v>
      </c>
      <c r="B128" s="152">
        <f>+B40/10</f>
        <v>0</v>
      </c>
      <c r="C128" s="152">
        <f>+C40/10</f>
        <v>0</v>
      </c>
      <c r="D128" s="152">
        <f t="shared" si="42"/>
        <v>0</v>
      </c>
    </row>
    <row r="129" spans="1:7" outlineLevel="1">
      <c r="A129" s="47" t="s">
        <v>90</v>
      </c>
      <c r="B129" s="152">
        <f>+B43/10</f>
        <v>8500</v>
      </c>
      <c r="C129" s="152">
        <f>+C43/10</f>
        <v>6967.8</v>
      </c>
      <c r="D129" s="152">
        <f t="shared" si="42"/>
        <v>-1532.1999999999998</v>
      </c>
    </row>
    <row r="130" spans="1:7" outlineLevel="1">
      <c r="A130" s="198" t="s">
        <v>91</v>
      </c>
      <c r="B130" s="152">
        <f>+B46/10</f>
        <v>0</v>
      </c>
      <c r="C130" s="152">
        <f>+C46/10</f>
        <v>0</v>
      </c>
      <c r="D130" s="152">
        <f t="shared" si="42"/>
        <v>0</v>
      </c>
    </row>
    <row r="131" spans="1:7" outlineLevel="1">
      <c r="A131" s="198" t="s">
        <v>92</v>
      </c>
      <c r="B131" s="152">
        <f>+B49/10</f>
        <v>0</v>
      </c>
      <c r="C131" s="152">
        <f>+C49/10</f>
        <v>0</v>
      </c>
      <c r="D131" s="152">
        <f t="shared" si="42"/>
        <v>0</v>
      </c>
    </row>
    <row r="132" spans="1:7" ht="18">
      <c r="A132" s="139" t="s">
        <v>93</v>
      </c>
      <c r="B132" s="126">
        <f t="shared" ref="B132:D133" si="45">+B114+B105+B55+B123</f>
        <v>1998080</v>
      </c>
      <c r="C132" s="126">
        <f t="shared" si="45"/>
        <v>1822871.1</v>
      </c>
      <c r="D132" s="126">
        <f t="shared" si="45"/>
        <v>-175208.9</v>
      </c>
      <c r="E132" s="15"/>
      <c r="F132" s="10"/>
      <c r="G132" s="41"/>
    </row>
    <row r="133" spans="1:7" outlineLevel="1">
      <c r="A133" s="44" t="s">
        <v>94</v>
      </c>
      <c r="B133" s="140">
        <f t="shared" si="45"/>
        <v>1035170</v>
      </c>
      <c r="C133" s="140">
        <f t="shared" si="45"/>
        <v>977790.32000000007</v>
      </c>
      <c r="D133" s="140">
        <f t="shared" si="45"/>
        <v>-57379.680000000008</v>
      </c>
      <c r="E133" s="15"/>
      <c r="F133" s="10"/>
      <c r="G133" s="41"/>
    </row>
    <row r="134" spans="1:7" outlineLevel="1">
      <c r="A134" s="58" t="s">
        <v>95</v>
      </c>
      <c r="B134" s="140">
        <f>+B116+B107+B66+B125</f>
        <v>316980</v>
      </c>
      <c r="C134" s="140">
        <f>+C116+C107+C66+C125</f>
        <v>291126.08500000002</v>
      </c>
      <c r="D134" s="140">
        <f>+D116+D107+D66+D125</f>
        <v>-25853.915000000012</v>
      </c>
      <c r="E134" s="15"/>
      <c r="F134" s="10"/>
      <c r="G134" s="41"/>
    </row>
    <row r="135" spans="1:7" outlineLevel="1">
      <c r="A135" s="57" t="s">
        <v>96</v>
      </c>
      <c r="B135" s="140">
        <f>+B117+B108+B75+B126</f>
        <v>428620</v>
      </c>
      <c r="C135" s="140">
        <f>+C117+C108+C75+C126</f>
        <v>383506.5</v>
      </c>
      <c r="D135" s="140">
        <f>+D117+D108+D75+D126</f>
        <v>-45113.500000000036</v>
      </c>
      <c r="E135" s="15"/>
      <c r="F135" s="10"/>
      <c r="G135" s="41"/>
    </row>
    <row r="136" spans="1:7" outlineLevel="1">
      <c r="A136" s="50" t="s">
        <v>97</v>
      </c>
      <c r="B136" s="140">
        <f>+B118+B109+B84+B127</f>
        <v>143800</v>
      </c>
      <c r="C136" s="140">
        <f>+C118+C109+C84+C127</f>
        <v>117518.69500000001</v>
      </c>
      <c r="D136" s="140">
        <f>+D118+D109+D84+D127</f>
        <v>-26281.305</v>
      </c>
      <c r="E136" s="15"/>
      <c r="F136" s="10"/>
      <c r="G136" s="41"/>
    </row>
    <row r="137" spans="1:7" outlineLevel="1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>
      <c r="A138" s="47" t="s">
        <v>99</v>
      </c>
      <c r="B138" s="140">
        <f>+B129+B120+B111+B96</f>
        <v>54750</v>
      </c>
      <c r="C138" s="140">
        <f>+C129+C120+C111+C96</f>
        <v>52929.5</v>
      </c>
      <c r="D138" s="140">
        <f>+D121+D112+D101+D130</f>
        <v>0</v>
      </c>
      <c r="E138" s="15"/>
      <c r="F138" s="10"/>
      <c r="G138" s="41"/>
    </row>
    <row r="139" spans="1:7" outlineLevel="1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>
      <c r="A141" s="7"/>
      <c r="B141" s="127"/>
      <c r="C141" s="127"/>
      <c r="D141" s="128"/>
      <c r="E141" s="15"/>
      <c r="F141" s="10"/>
      <c r="G141" s="41"/>
    </row>
    <row r="142" spans="1:7" ht="15.75">
      <c r="A142" s="177" t="s">
        <v>102</v>
      </c>
      <c r="B142" s="129">
        <f>+B52-B132</f>
        <v>691920</v>
      </c>
      <c r="C142" s="129">
        <f>+C52-C132</f>
        <v>251517.29999999981</v>
      </c>
      <c r="D142" s="129">
        <f>+D52-D132</f>
        <v>-440402.70000000007</v>
      </c>
      <c r="E142" s="19"/>
      <c r="F142" s="20"/>
      <c r="G142" s="42"/>
    </row>
    <row r="143" spans="1:7">
      <c r="A143" s="44" t="s">
        <v>103</v>
      </c>
      <c r="B143" s="178">
        <f>+B3-B133</f>
        <v>369830</v>
      </c>
      <c r="C143" s="178">
        <f>+C3-C133</f>
        <v>240034.95999999996</v>
      </c>
      <c r="D143" s="178">
        <f>+D3-D133</f>
        <v>-129795.04000000002</v>
      </c>
      <c r="E143" s="19"/>
      <c r="F143" s="20"/>
      <c r="G143" s="42"/>
    </row>
    <row r="144" spans="1:7">
      <c r="A144" s="58" t="s">
        <v>104</v>
      </c>
      <c r="B144" s="178">
        <f>+B13-B134</f>
        <v>83020</v>
      </c>
      <c r="C144" s="178">
        <f>+C13-C134</f>
        <v>-2581.7450000000536</v>
      </c>
      <c r="D144" s="178">
        <f>+D13-D134</f>
        <v>-85601.74500000001</v>
      </c>
      <c r="E144" s="19"/>
      <c r="F144" s="20"/>
      <c r="G144" s="42"/>
    </row>
    <row r="145" spans="1:7">
      <c r="A145" s="57" t="s">
        <v>105</v>
      </c>
      <c r="B145" s="178">
        <f>+B22-B135</f>
        <v>171380</v>
      </c>
      <c r="C145" s="178">
        <f>+C22-C135</f>
        <v>19959.5</v>
      </c>
      <c r="D145" s="178">
        <f>+D22-D135</f>
        <v>-151420.49999999997</v>
      </c>
      <c r="E145" s="19"/>
      <c r="F145" s="20"/>
      <c r="G145" s="42"/>
    </row>
    <row r="146" spans="1:7">
      <c r="A146" s="50" t="s">
        <v>106</v>
      </c>
      <c r="B146" s="178">
        <f>+B31-B136</f>
        <v>56200</v>
      </c>
      <c r="C146" s="178">
        <f>+C31-C136</f>
        <v>-22643.915000000008</v>
      </c>
      <c r="D146" s="178">
        <f>+D31-D136</f>
        <v>-78843.915000000008</v>
      </c>
      <c r="E146" s="19"/>
      <c r="F146" s="20"/>
      <c r="G146" s="42"/>
    </row>
    <row r="147" spans="1:7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>
      <c r="A148" s="62" t="s">
        <v>108</v>
      </c>
      <c r="B148" s="178">
        <f>+B43-B138</f>
        <v>30250</v>
      </c>
      <c r="C148" s="178">
        <f>+C43-C138</f>
        <v>16748.5</v>
      </c>
      <c r="D148" s="178">
        <f>+D48-D139</f>
        <v>0</v>
      </c>
      <c r="E148" s="19"/>
      <c r="F148" s="20"/>
      <c r="G148" s="42"/>
    </row>
    <row r="149" spans="1:7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>
      <c r="D151" s="131"/>
      <c r="E151" s="21"/>
      <c r="F151" s="22"/>
      <c r="G151" s="43"/>
    </row>
    <row r="152" spans="1:7">
      <c r="A152" s="179" t="s">
        <v>111</v>
      </c>
      <c r="B152" s="180">
        <f>+B52/B132-1</f>
        <v>0.34629244074311338</v>
      </c>
      <c r="C152" s="180">
        <f>+C52/C132-1</f>
        <v>0.13797865356469785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5" priority="4" operator="lessThan">
      <formula>0</formula>
    </cfRule>
    <cfRule type="cellIs" dxfId="14" priority="5" operator="greaterThan">
      <formula>0</formula>
    </cfRule>
  </conditionalFormatting>
  <conditionalFormatting sqref="D4:D1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{17259D9B-BF68-4C78-A48E-4AC4013FDF79}</x14:id>
        </ext>
      </extLst>
    </cfRule>
  </conditionalFormatting>
  <conditionalFormatting sqref="D14:D15 D17:D19 D2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{75A43DFA-76FD-4082-8FE3-4BCBEE8CDB3F}</x14:id>
        </ext>
      </extLst>
    </cfRule>
  </conditionalFormatting>
  <conditionalFormatting sqref="D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{CB5B5F29-D087-454A-A6F6-6851442ACE53}</x14:id>
        </ext>
      </extLst>
    </cfRule>
  </conditionalFormatting>
  <conditionalFormatting sqref="D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{648BAF30-8592-454C-8211-2C18733FCB2C}</x14:id>
        </ext>
      </extLst>
    </cfRule>
  </conditionalFormatting>
  <conditionalFormatting sqref="D23:D3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{BD4DF610-6D96-4C3A-B0C9-5CA1C4B9A25D}</x14:id>
        </ext>
      </extLst>
    </cfRule>
  </conditionalFormatting>
  <conditionalFormatting sqref="D32:D3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{0D6D311B-0110-4E34-BE9A-C653BA38F6BD}</x14:id>
        </ext>
      </extLst>
    </cfRule>
  </conditionalFormatting>
  <conditionalFormatting sqref="D36:D3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{56CA4A33-15AD-4CFC-9A68-1CC26523DB9D}</x14:id>
        </ext>
      </extLst>
    </cfRule>
  </conditionalFormatting>
  <conditionalFormatting sqref="D41:D4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{85EA8786-47CA-47FA-A6E2-ACA67B114AE3}</x14:id>
        </ext>
      </extLst>
    </cfRule>
  </conditionalFormatting>
  <conditionalFormatting sqref="D44:D4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{A0F5DCD7-6470-4E22-86FC-B9A941722B79}</x14:id>
        </ext>
      </extLst>
    </cfRule>
  </conditionalFormatting>
  <conditionalFormatting sqref="D47:D4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{FB18854E-0D73-494A-ADFE-44624268ECE9}</x14:id>
        </ext>
      </extLst>
    </cfRule>
  </conditionalFormatting>
  <conditionalFormatting sqref="D50:D5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{1A1318F2-88A3-4C59-978F-B6772CAFB0F8}</x14:id>
        </ext>
      </extLst>
    </cfRule>
  </conditionalFormatting>
  <pageMargins left="0.7" right="0.7" top="0.78740157499999996" bottom="0.78740157499999996" header="0.3" footer="0.3"/>
  <pageSetup paperSize="9" fitToHeight="0"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259D9B-BF68-4C78-A48E-4AC4013FDF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75A43DFA-76FD-4082-8FE3-4BCBEE8CDB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D14:D15 D17:D19 D21</xm:sqref>
        </x14:conditionalFormatting>
        <x14:conditionalFormatting xmlns:xm="http://schemas.microsoft.com/office/excel/2006/main">
          <x14:cfRule type="dataBar" id="{CB5B5F29-D087-454A-A6F6-6851442AC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</xm:sqref>
        </x14:conditionalFormatting>
        <x14:conditionalFormatting xmlns:xm="http://schemas.microsoft.com/office/excel/2006/main">
          <x14:cfRule type="dataBar" id="{648BAF30-8592-454C-8211-2C18733FC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</xm:sqref>
        </x14:conditionalFormatting>
        <x14:conditionalFormatting xmlns:xm="http://schemas.microsoft.com/office/excel/2006/main">
          <x14:cfRule type="dataBar" id="{BD4DF610-6D96-4C3A-B0C9-5CA1C4B9A2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0D6D311B-0110-4E34-BE9A-C653BA38F6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56CA4A33-15AD-4CFC-9A68-1CC26523DB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85EA8786-47CA-47FA-A6E2-ACA67B1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A0F5DCD7-6470-4E22-86FC-B9A941722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FB18854E-0D73-494A-ADFE-44624268E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1A1318F2-88A3-4C59-978F-B6772CAFB0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52"/>
  <sheetViews>
    <sheetView zoomScale="90" zoomScaleNormal="90" workbookViewId="0">
      <pane ySplit="2" topLeftCell="A81" activePane="bottomLeft" state="frozen"/>
      <selection pane="bottomLeft"/>
    </sheetView>
  </sheetViews>
  <sheetFormatPr defaultRowHeight="14.25" outlineLevelRow="2"/>
  <cols>
    <col min="1" max="1" width="34.28515625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5.8554687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  <col min="24" max="24" width="15" customWidth="1"/>
  </cols>
  <sheetData>
    <row r="1" spans="1:24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>
      <c r="A3" s="44" t="s">
        <v>13</v>
      </c>
      <c r="B3" s="91">
        <f>SUM(B4:B12)</f>
        <v>1605000</v>
      </c>
      <c r="C3" s="91">
        <f>SUM(C4:C12)</f>
        <v>1246411.8</v>
      </c>
      <c r="D3" s="91">
        <f>SUM(D4:D12)</f>
        <v>-358588.1999999999</v>
      </c>
      <c r="E3" s="46">
        <f>SUM(E4:E12)</f>
        <v>945</v>
      </c>
      <c r="F3" s="46">
        <f>SUM(F4:F12)</f>
        <v>63.149305555555557</v>
      </c>
      <c r="G3" s="36"/>
      <c r="H3" s="45">
        <f t="shared" ref="H3:V3" si="0">SUM(H4:H12)</f>
        <v>157702.68000000002</v>
      </c>
      <c r="I3" s="46">
        <f t="shared" si="0"/>
        <v>123</v>
      </c>
      <c r="J3" s="46">
        <f t="shared" si="0"/>
        <v>8.2013888888888893</v>
      </c>
      <c r="K3" s="45">
        <f t="shared" si="0"/>
        <v>302907.60000000003</v>
      </c>
      <c r="L3" s="46">
        <f t="shared" si="0"/>
        <v>234</v>
      </c>
      <c r="M3" s="46">
        <f t="shared" si="0"/>
        <v>15.0625</v>
      </c>
      <c r="N3" s="45">
        <f t="shared" si="0"/>
        <v>289537.2</v>
      </c>
      <c r="O3" s="46">
        <f t="shared" si="0"/>
        <v>220</v>
      </c>
      <c r="P3" s="46">
        <f t="shared" si="0"/>
        <v>14.569444444444445</v>
      </c>
      <c r="Q3" s="45">
        <f t="shared" si="0"/>
        <v>279714.59999999998</v>
      </c>
      <c r="R3" s="46">
        <f t="shared" si="0"/>
        <v>210</v>
      </c>
      <c r="S3" s="46">
        <f t="shared" si="0"/>
        <v>14.208333333333334</v>
      </c>
      <c r="T3" s="45">
        <f t="shared" si="0"/>
        <v>216549.72</v>
      </c>
      <c r="U3" s="46">
        <f t="shared" si="0"/>
        <v>158</v>
      </c>
      <c r="V3" s="46">
        <f t="shared" si="0"/>
        <v>11.107638888888889</v>
      </c>
    </row>
    <row r="4" spans="1:24" outlineLevel="2">
      <c r="A4" s="132" t="s">
        <v>14</v>
      </c>
      <c r="B4" s="92">
        <v>200000</v>
      </c>
      <c r="C4" s="92">
        <f>+H4+K4+N4+Q4+T4</f>
        <v>202143.60000000003</v>
      </c>
      <c r="D4" s="93">
        <f t="shared" ref="D4:D12" si="1">+C4-B4</f>
        <v>2143.6000000000349</v>
      </c>
      <c r="E4" s="18">
        <f>+I4+L4+O4+R4+U4</f>
        <v>210</v>
      </c>
      <c r="F4" s="18">
        <f>+J4+M4+P4+S4+V4</f>
        <v>12.291666666666668</v>
      </c>
      <c r="G4" s="37"/>
      <c r="H4" s="181">
        <v>22472.639999999999</v>
      </c>
      <c r="I4" s="182">
        <v>22</v>
      </c>
      <c r="J4" s="183">
        <v>1.4444444444444444</v>
      </c>
      <c r="K4" s="184">
        <v>58246.559999999998</v>
      </c>
      <c r="L4" s="185">
        <v>63</v>
      </c>
      <c r="M4" s="186">
        <v>3.4652777777777777</v>
      </c>
      <c r="N4" s="184">
        <v>55571.4</v>
      </c>
      <c r="O4" s="185">
        <v>59</v>
      </c>
      <c r="P4" s="186">
        <v>3.3333333333333335</v>
      </c>
      <c r="Q4" s="187">
        <v>33370.92</v>
      </c>
      <c r="R4" s="185">
        <v>37</v>
      </c>
      <c r="S4" s="186">
        <v>2.0763888888888888</v>
      </c>
      <c r="T4" s="187">
        <v>32482.080000000002</v>
      </c>
      <c r="U4" s="185">
        <v>29</v>
      </c>
      <c r="V4" s="186">
        <v>1.9722222222222223</v>
      </c>
      <c r="X4" s="295">
        <f>H4+K4+N4+Q4+T4</f>
        <v>202143.60000000003</v>
      </c>
    </row>
    <row r="5" spans="1:24" outlineLevel="2">
      <c r="A5" s="133" t="s">
        <v>15</v>
      </c>
      <c r="B5" s="92">
        <v>200000</v>
      </c>
      <c r="C5" s="92">
        <f t="shared" ref="C5:C12" si="2">+H5+K5+N5+Q5+T5</f>
        <v>156449.88</v>
      </c>
      <c r="D5" s="93">
        <f t="shared" si="1"/>
        <v>-43550.119999999995</v>
      </c>
      <c r="E5" s="18">
        <f t="shared" ref="E5:F12" si="3">+I5+L5+O5+R5+U5</f>
        <v>131</v>
      </c>
      <c r="F5" s="18">
        <f t="shared" si="3"/>
        <v>9.8958333333333321</v>
      </c>
      <c r="G5" s="37"/>
      <c r="H5" s="181">
        <v>26390.880000000001</v>
      </c>
      <c r="I5" s="182">
        <v>22</v>
      </c>
      <c r="J5" s="183">
        <v>1.625</v>
      </c>
      <c r="K5" s="184">
        <v>29964.6</v>
      </c>
      <c r="L5" s="185">
        <v>24</v>
      </c>
      <c r="M5" s="186">
        <v>1.8958333333333333</v>
      </c>
      <c r="N5" s="184">
        <v>30512.16</v>
      </c>
      <c r="O5" s="185">
        <v>24</v>
      </c>
      <c r="P5" s="186">
        <v>2</v>
      </c>
      <c r="Q5" s="187">
        <v>39761.279999999999</v>
      </c>
      <c r="R5" s="185">
        <v>34</v>
      </c>
      <c r="S5" s="186">
        <v>2.5</v>
      </c>
      <c r="T5" s="187">
        <v>29820.959999999999</v>
      </c>
      <c r="U5" s="185">
        <v>27</v>
      </c>
      <c r="V5" s="186">
        <v>1.875</v>
      </c>
      <c r="X5" s="295">
        <f>H5+K5+N5+Q5+T5</f>
        <v>156449.88</v>
      </c>
    </row>
    <row r="6" spans="1:24" outlineLevel="2">
      <c r="A6" s="133" t="s">
        <v>16</v>
      </c>
      <c r="B6" s="92">
        <v>200000</v>
      </c>
      <c r="C6" s="92">
        <f t="shared" si="2"/>
        <v>173563.56</v>
      </c>
      <c r="D6" s="93">
        <f t="shared" si="1"/>
        <v>-26436.440000000002</v>
      </c>
      <c r="E6" s="18">
        <f t="shared" si="3"/>
        <v>165</v>
      </c>
      <c r="F6" s="18">
        <f t="shared" si="3"/>
        <v>10.690972222222221</v>
      </c>
      <c r="G6" s="37"/>
      <c r="H6" s="181">
        <v>24951.24</v>
      </c>
      <c r="I6" s="182">
        <v>25</v>
      </c>
      <c r="J6" s="183">
        <v>1.5069444444444444</v>
      </c>
      <c r="K6" s="184">
        <v>40001.040000000001</v>
      </c>
      <c r="L6" s="185">
        <v>36</v>
      </c>
      <c r="M6" s="186">
        <v>2.4027777777777777</v>
      </c>
      <c r="N6" s="184">
        <v>32688.36</v>
      </c>
      <c r="O6" s="185">
        <v>29</v>
      </c>
      <c r="P6" s="186">
        <v>2.0763888888888888</v>
      </c>
      <c r="Q6" s="187">
        <v>41254.92</v>
      </c>
      <c r="R6" s="185">
        <v>42</v>
      </c>
      <c r="S6" s="186">
        <v>2.5763888888888888</v>
      </c>
      <c r="T6" s="187">
        <v>34668</v>
      </c>
      <c r="U6" s="185">
        <v>33</v>
      </c>
      <c r="V6" s="186">
        <v>2.1284722222222223</v>
      </c>
      <c r="X6" s="295">
        <f>H6+K6+N6+Q6+T6</f>
        <v>173563.56</v>
      </c>
    </row>
    <row r="7" spans="1:24" s="78" customFormat="1" outlineLevel="2">
      <c r="A7" s="134" t="s">
        <v>140</v>
      </c>
      <c r="B7" s="94">
        <v>200000</v>
      </c>
      <c r="C7" s="94">
        <f t="shared" si="2"/>
        <v>0</v>
      </c>
      <c r="D7" s="95">
        <f t="shared" si="1"/>
        <v>-200000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4" outlineLevel="2">
      <c r="A8" s="132" t="s">
        <v>18</v>
      </c>
      <c r="B8" s="92">
        <f>450000*0.2</f>
        <v>90000</v>
      </c>
      <c r="C8" s="92">
        <f t="shared" si="2"/>
        <v>11988</v>
      </c>
      <c r="D8" s="216">
        <f t="shared" si="1"/>
        <v>-78012</v>
      </c>
      <c r="E8" s="18">
        <f t="shared" si="3"/>
        <v>15</v>
      </c>
      <c r="F8" s="18">
        <f t="shared" si="3"/>
        <v>0.625</v>
      </c>
      <c r="G8" s="37"/>
      <c r="H8" s="195">
        <v>2397.6</v>
      </c>
      <c r="I8" s="182">
        <v>3</v>
      </c>
      <c r="J8" s="183">
        <v>0.125</v>
      </c>
      <c r="K8" s="184">
        <v>2397.6</v>
      </c>
      <c r="L8" s="185">
        <v>3</v>
      </c>
      <c r="M8" s="186">
        <v>0.125</v>
      </c>
      <c r="N8" s="184">
        <v>2397.6</v>
      </c>
      <c r="O8" s="185">
        <v>3</v>
      </c>
      <c r="P8" s="186">
        <v>0.125</v>
      </c>
      <c r="Q8" s="187">
        <v>2397.6</v>
      </c>
      <c r="R8" s="185">
        <v>3</v>
      </c>
      <c r="S8" s="186">
        <v>0.125</v>
      </c>
      <c r="T8" s="187">
        <v>2397.6</v>
      </c>
      <c r="U8" s="185">
        <v>3</v>
      </c>
      <c r="V8" s="186">
        <v>0.125</v>
      </c>
      <c r="X8" s="295">
        <f>H8+K8+N8+Q8+T8</f>
        <v>11988</v>
      </c>
    </row>
    <row r="9" spans="1:24" outlineLevel="2">
      <c r="A9" s="132" t="s">
        <v>49</v>
      </c>
      <c r="B9" s="92">
        <f>450000*0.5</f>
        <v>225000</v>
      </c>
      <c r="C9" s="92">
        <f t="shared" si="2"/>
        <v>198371.16</v>
      </c>
      <c r="D9" s="93">
        <f t="shared" si="1"/>
        <v>-26628.839999999997</v>
      </c>
      <c r="E9" s="18">
        <f t="shared" si="3"/>
        <v>120</v>
      </c>
      <c r="F9" s="18">
        <f t="shared" si="3"/>
        <v>8.25</v>
      </c>
      <c r="G9" s="37"/>
      <c r="H9" s="195">
        <v>8941.32</v>
      </c>
      <c r="I9" s="182">
        <v>7</v>
      </c>
      <c r="J9" s="183">
        <v>0.38194444444444442</v>
      </c>
      <c r="K9" s="184">
        <v>52439.4</v>
      </c>
      <c r="L9" s="185">
        <v>35</v>
      </c>
      <c r="M9" s="186">
        <v>2.125</v>
      </c>
      <c r="N9" s="184">
        <v>57402</v>
      </c>
      <c r="O9" s="185">
        <v>32</v>
      </c>
      <c r="P9" s="186">
        <v>2.3541666666666665</v>
      </c>
      <c r="Q9" s="187">
        <v>54932.04</v>
      </c>
      <c r="R9" s="185">
        <v>32</v>
      </c>
      <c r="S9" s="186">
        <v>2.3333333333333335</v>
      </c>
      <c r="T9" s="187">
        <v>24656.400000000001</v>
      </c>
      <c r="U9" s="185">
        <v>14</v>
      </c>
      <c r="V9" s="186">
        <v>1.0555555555555556</v>
      </c>
      <c r="X9" s="295">
        <f>H9+K9+N9+Q9+T9</f>
        <v>198371.16</v>
      </c>
    </row>
    <row r="10" spans="1:24" s="78" customFormat="1" outlineLevel="2">
      <c r="A10" s="165" t="s">
        <v>114</v>
      </c>
      <c r="B10" s="215">
        <f>450000</f>
        <v>450000</v>
      </c>
      <c r="C10" s="215">
        <f t="shared" si="2"/>
        <v>480180.96</v>
      </c>
      <c r="D10" s="93">
        <f t="shared" si="1"/>
        <v>30180.960000000021</v>
      </c>
      <c r="E10" s="18">
        <f t="shared" si="3"/>
        <v>274</v>
      </c>
      <c r="F10" s="18">
        <f t="shared" si="3"/>
        <v>20.5625</v>
      </c>
      <c r="G10" s="70"/>
      <c r="H10" s="195">
        <v>69023.88</v>
      </c>
      <c r="I10" s="182">
        <v>38</v>
      </c>
      <c r="J10" s="183">
        <v>2.9930555555555554</v>
      </c>
      <c r="K10" s="305">
        <v>109069.2</v>
      </c>
      <c r="L10" s="306">
        <v>65</v>
      </c>
      <c r="M10" s="307">
        <v>4.6736111111111107</v>
      </c>
      <c r="N10" s="305">
        <v>108028.08</v>
      </c>
      <c r="O10" s="306">
        <v>68</v>
      </c>
      <c r="P10" s="307">
        <v>4.5763888888888893</v>
      </c>
      <c r="Q10" s="309">
        <v>105060.24</v>
      </c>
      <c r="R10" s="306">
        <v>57</v>
      </c>
      <c r="S10" s="307">
        <v>4.4930555555555554</v>
      </c>
      <c r="T10" s="309">
        <v>88999.56</v>
      </c>
      <c r="U10" s="306">
        <v>46</v>
      </c>
      <c r="V10" s="307">
        <v>3.8263888888888888</v>
      </c>
      <c r="X10" s="311">
        <f>H10+K10+N10+Q10+T10</f>
        <v>480180.96</v>
      </c>
    </row>
    <row r="11" spans="1:24" s="78" customFormat="1" outlineLevel="2">
      <c r="A11" s="165" t="s">
        <v>132</v>
      </c>
      <c r="B11" s="215">
        <v>40000</v>
      </c>
      <c r="C11" s="215">
        <f>+H11+K11+N11+Q11+T11</f>
        <v>23714.639999999996</v>
      </c>
      <c r="D11" s="216">
        <f t="shared" si="1"/>
        <v>-16285.360000000004</v>
      </c>
      <c r="E11" s="217">
        <f t="shared" si="3"/>
        <v>30</v>
      </c>
      <c r="F11" s="217">
        <f t="shared" si="3"/>
        <v>0.83333333333333326</v>
      </c>
      <c r="G11" s="70"/>
      <c r="H11" s="195">
        <v>3525.12</v>
      </c>
      <c r="I11" s="182">
        <v>6</v>
      </c>
      <c r="J11" s="183">
        <v>0.125</v>
      </c>
      <c r="K11" s="305">
        <v>10789.2</v>
      </c>
      <c r="L11" s="306">
        <v>8</v>
      </c>
      <c r="M11" s="307">
        <v>0.375</v>
      </c>
      <c r="N11" s="305">
        <v>2937.6</v>
      </c>
      <c r="O11" s="306">
        <v>5</v>
      </c>
      <c r="P11" s="307">
        <v>0.10416666666666667</v>
      </c>
      <c r="Q11" s="309">
        <v>2937.6</v>
      </c>
      <c r="R11" s="306">
        <v>5</v>
      </c>
      <c r="S11" s="307">
        <v>0.10416666666666667</v>
      </c>
      <c r="T11" s="309">
        <v>3525.12</v>
      </c>
      <c r="U11" s="306">
        <v>6</v>
      </c>
      <c r="V11" s="307">
        <v>0.125</v>
      </c>
      <c r="X11" s="311">
        <f>H11+K11+N11+Q11+T11</f>
        <v>23714.639999999996</v>
      </c>
    </row>
    <row r="12" spans="1:24" s="78" customFormat="1" outlineLevel="2">
      <c r="A12" s="134" t="s">
        <v>133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4">
      <c r="A13" s="58" t="s">
        <v>22</v>
      </c>
      <c r="B13" s="96">
        <f>SUM(B14:B21)</f>
        <v>400000</v>
      </c>
      <c r="C13" s="96">
        <f>SUM(C14:C21)</f>
        <v>273477.82</v>
      </c>
      <c r="D13" s="96">
        <f>SUM(D14:D21)</f>
        <v>-126522.18</v>
      </c>
      <c r="E13" s="54">
        <f>SUM(E14:E21)</f>
        <v>298</v>
      </c>
      <c r="F13" s="54">
        <f>SUM(F14:F21)</f>
        <v>19.979166666666668</v>
      </c>
      <c r="G13" s="37"/>
      <c r="H13" s="53">
        <f t="shared" ref="H13:V13" si="4">SUM(H14:H21)</f>
        <v>21767.759999999998</v>
      </c>
      <c r="I13" s="54">
        <f t="shared" si="4"/>
        <v>26</v>
      </c>
      <c r="J13" s="54">
        <f t="shared" si="4"/>
        <v>1.5902777777777777</v>
      </c>
      <c r="K13" s="53">
        <f t="shared" si="4"/>
        <v>66825.22</v>
      </c>
      <c r="L13" s="54">
        <f t="shared" si="4"/>
        <v>67</v>
      </c>
      <c r="M13" s="54">
        <f t="shared" si="4"/>
        <v>4.8819444444444446</v>
      </c>
      <c r="N13" s="53">
        <f t="shared" si="4"/>
        <v>63114.94</v>
      </c>
      <c r="O13" s="54">
        <f t="shared" si="4"/>
        <v>64</v>
      </c>
      <c r="P13" s="54">
        <f t="shared" si="4"/>
        <v>4.6111111111111107</v>
      </c>
      <c r="Q13" s="53">
        <f t="shared" si="4"/>
        <v>69012.58</v>
      </c>
      <c r="R13" s="54">
        <f t="shared" si="4"/>
        <v>89</v>
      </c>
      <c r="S13" s="54">
        <f t="shared" si="4"/>
        <v>5.0416666666666661</v>
      </c>
      <c r="T13" s="53">
        <f t="shared" si="4"/>
        <v>52757.32</v>
      </c>
      <c r="U13" s="54">
        <f t="shared" si="4"/>
        <v>52</v>
      </c>
      <c r="V13" s="54">
        <f t="shared" si="4"/>
        <v>3.854166666666667</v>
      </c>
    </row>
    <row r="14" spans="1:24" outlineLevel="2">
      <c r="A14" s="133" t="s">
        <v>23</v>
      </c>
      <c r="B14" s="97">
        <v>200000</v>
      </c>
      <c r="C14" s="92">
        <f t="shared" ref="C14:C51" si="5">+H14+K14+N14+Q14+T14</f>
        <v>139827.38</v>
      </c>
      <c r="D14" s="93">
        <f t="shared" ref="D14:D21" si="6">+C14-B14</f>
        <v>-60172.619999999995</v>
      </c>
      <c r="E14" s="18">
        <f t="shared" ref="E14:F21" si="7">+I14+L14+O14+R14+U14</f>
        <v>163</v>
      </c>
      <c r="F14" s="18">
        <f t="shared" si="7"/>
        <v>10.215277777777779</v>
      </c>
      <c r="G14" s="37"/>
      <c r="H14" s="181">
        <v>14448.14</v>
      </c>
      <c r="I14" s="182">
        <v>17</v>
      </c>
      <c r="J14" s="183">
        <v>1.0555555555555556</v>
      </c>
      <c r="K14" s="184">
        <v>34506.78</v>
      </c>
      <c r="L14" s="185">
        <v>38</v>
      </c>
      <c r="M14" s="186">
        <v>2.5208333333333335</v>
      </c>
      <c r="N14" s="184">
        <v>36118.879999999997</v>
      </c>
      <c r="O14" s="185">
        <v>41</v>
      </c>
      <c r="P14" s="186">
        <v>2.6388888888888888</v>
      </c>
      <c r="Q14" s="187">
        <v>34790.980000000003</v>
      </c>
      <c r="R14" s="185">
        <v>44</v>
      </c>
      <c r="S14" s="186">
        <v>2.5416666666666665</v>
      </c>
      <c r="T14" s="187">
        <v>19962.599999999999</v>
      </c>
      <c r="U14" s="185">
        <v>23</v>
      </c>
      <c r="V14" s="186">
        <v>1.4583333333333333</v>
      </c>
      <c r="X14" s="295">
        <f>H14+K14+N14+Q14+T14</f>
        <v>139827.38</v>
      </c>
    </row>
    <row r="15" spans="1:24" s="226" customFormat="1" outlineLevel="2">
      <c r="A15" s="165" t="s">
        <v>141</v>
      </c>
      <c r="B15" s="97">
        <v>200000</v>
      </c>
      <c r="C15" s="215">
        <f t="shared" si="5"/>
        <v>133650.44</v>
      </c>
      <c r="D15" s="216">
        <f t="shared" si="6"/>
        <v>-66349.56</v>
      </c>
      <c r="E15" s="217">
        <f t="shared" si="7"/>
        <v>135</v>
      </c>
      <c r="F15" s="217">
        <f t="shared" si="7"/>
        <v>9.7638888888888893</v>
      </c>
      <c r="G15" s="218"/>
      <c r="H15" s="219">
        <v>7319.62</v>
      </c>
      <c r="I15" s="220">
        <v>9</v>
      </c>
      <c r="J15" s="221">
        <v>0.53472222222222221</v>
      </c>
      <c r="K15" s="222">
        <v>32318.44</v>
      </c>
      <c r="L15" s="223">
        <v>29</v>
      </c>
      <c r="M15" s="224">
        <v>2.3611111111111112</v>
      </c>
      <c r="N15" s="222">
        <v>26996.06</v>
      </c>
      <c r="O15" s="223">
        <v>23</v>
      </c>
      <c r="P15" s="224">
        <v>1.9722222222222223</v>
      </c>
      <c r="Q15" s="225">
        <v>34221.599999999999</v>
      </c>
      <c r="R15" s="223">
        <v>45</v>
      </c>
      <c r="S15" s="224">
        <v>2.5</v>
      </c>
      <c r="T15" s="225">
        <v>32794.720000000001</v>
      </c>
      <c r="U15" s="223">
        <v>29</v>
      </c>
      <c r="V15" s="224">
        <v>2.3958333333333335</v>
      </c>
      <c r="X15" s="294">
        <f>H15+K15+N15+Q15+T15</f>
        <v>133650.44</v>
      </c>
    </row>
    <row r="16" spans="1:24" s="78" customFormat="1" outlineLevel="2">
      <c r="A16" s="301" t="s">
        <v>134</v>
      </c>
      <c r="B16" s="215">
        <v>0</v>
      </c>
      <c r="C16" s="215">
        <f>+H16+K16+N16+Q16+T16</f>
        <v>0</v>
      </c>
      <c r="D16" s="216">
        <f t="shared" si="6"/>
        <v>0</v>
      </c>
      <c r="E16" s="217">
        <f>+I16+L16+O16+R16+U16</f>
        <v>0</v>
      </c>
      <c r="F16" s="217">
        <f>+J16+M16+P16+S16+V16</f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4" s="78" customFormat="1" outlineLevel="2">
      <c r="A17" s="134" t="s">
        <v>26</v>
      </c>
      <c r="B17" s="94">
        <v>0</v>
      </c>
      <c r="C17" s="94">
        <f t="shared" si="5"/>
        <v>0</v>
      </c>
      <c r="D17" s="95">
        <f t="shared" si="6"/>
        <v>0</v>
      </c>
      <c r="E17" s="69">
        <f t="shared" si="7"/>
        <v>0</v>
      </c>
      <c r="F17" s="69">
        <f t="shared" si="7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4" s="78" customFormat="1" outlineLevel="2">
      <c r="A18" s="134" t="s">
        <v>127</v>
      </c>
      <c r="B18" s="94">
        <v>0</v>
      </c>
      <c r="C18" s="94">
        <f t="shared" si="5"/>
        <v>0</v>
      </c>
      <c r="D18" s="95">
        <f t="shared" si="6"/>
        <v>0</v>
      </c>
      <c r="E18" s="69">
        <f t="shared" si="7"/>
        <v>0</v>
      </c>
      <c r="F18" s="69">
        <f t="shared" si="7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4" s="78" customFormat="1" outlineLevel="2">
      <c r="A19" s="134" t="s">
        <v>28</v>
      </c>
      <c r="B19" s="94">
        <v>0</v>
      </c>
      <c r="C19" s="94">
        <f t="shared" si="5"/>
        <v>0</v>
      </c>
      <c r="D19" s="95">
        <f t="shared" si="6"/>
        <v>0</v>
      </c>
      <c r="E19" s="69">
        <f t="shared" si="7"/>
        <v>0</v>
      </c>
      <c r="F19" s="69">
        <f t="shared" si="7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226" customFormat="1" outlineLevel="2">
      <c r="A20" s="301" t="s">
        <v>136</v>
      </c>
      <c r="B20" s="215">
        <v>0</v>
      </c>
      <c r="C20" s="215">
        <f t="shared" si="5"/>
        <v>0</v>
      </c>
      <c r="D20" s="216">
        <f t="shared" si="6"/>
        <v>0</v>
      </c>
      <c r="E20" s="217">
        <f t="shared" si="7"/>
        <v>0</v>
      </c>
      <c r="F20" s="217">
        <f t="shared" si="7"/>
        <v>0</v>
      </c>
      <c r="G20" s="218"/>
      <c r="H20" s="219"/>
      <c r="I20" s="220"/>
      <c r="J20" s="221"/>
      <c r="K20" s="222"/>
      <c r="L20" s="223"/>
      <c r="M20" s="224"/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4" s="78" customFormat="1" outlineLevel="2">
      <c r="A21" s="134" t="s">
        <v>21</v>
      </c>
      <c r="B21" s="94">
        <v>0</v>
      </c>
      <c r="C21" s="94">
        <f t="shared" si="5"/>
        <v>0</v>
      </c>
      <c r="D21" s="95">
        <f t="shared" si="6"/>
        <v>0</v>
      </c>
      <c r="E21" s="69">
        <f t="shared" si="7"/>
        <v>0</v>
      </c>
      <c r="F21" s="69">
        <f t="shared" si="7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>
      <c r="A22" s="57" t="s">
        <v>29</v>
      </c>
      <c r="B22" s="98">
        <f>SUM(B23:B30)</f>
        <v>600000</v>
      </c>
      <c r="C22" s="98">
        <f>SUM(C23:C30)</f>
        <v>415308.32</v>
      </c>
      <c r="D22" s="98">
        <f>SUM(D23:D30)</f>
        <v>-184691.68</v>
      </c>
      <c r="E22" s="56">
        <f>SUM(E23:E30)</f>
        <v>423</v>
      </c>
      <c r="F22" s="56">
        <f>SUM(F23:F30)</f>
        <v>30.340277777777779</v>
      </c>
      <c r="G22" s="37"/>
      <c r="H22" s="55">
        <f t="shared" ref="H22:V22" si="8">SUM(H23:H30)</f>
        <v>57129.099999999991</v>
      </c>
      <c r="I22" s="56">
        <f t="shared" si="8"/>
        <v>59</v>
      </c>
      <c r="J22" s="56">
        <f t="shared" si="8"/>
        <v>4.1736111111111116</v>
      </c>
      <c r="K22" s="55">
        <f t="shared" si="8"/>
        <v>80515.819999999992</v>
      </c>
      <c r="L22" s="56">
        <f t="shared" si="8"/>
        <v>90</v>
      </c>
      <c r="M22" s="56">
        <f t="shared" si="8"/>
        <v>5.8819444444444446</v>
      </c>
      <c r="N22" s="55">
        <f t="shared" si="8"/>
        <v>93442.01999999999</v>
      </c>
      <c r="O22" s="56">
        <f t="shared" si="8"/>
        <v>92</v>
      </c>
      <c r="P22" s="56">
        <f t="shared" si="8"/>
        <v>6.8263888888888893</v>
      </c>
      <c r="Q22" s="55">
        <f t="shared" si="8"/>
        <v>103234.18000000001</v>
      </c>
      <c r="R22" s="56">
        <f t="shared" si="8"/>
        <v>102</v>
      </c>
      <c r="S22" s="56">
        <f t="shared" si="8"/>
        <v>7.5416666666666661</v>
      </c>
      <c r="T22" s="55">
        <f t="shared" si="8"/>
        <v>80987.199999999997</v>
      </c>
      <c r="U22" s="56">
        <f t="shared" si="8"/>
        <v>80</v>
      </c>
      <c r="V22" s="56">
        <f t="shared" si="8"/>
        <v>5.9166666666666661</v>
      </c>
    </row>
    <row r="23" spans="1:24" s="226" customFormat="1" outlineLevel="2">
      <c r="A23" s="165" t="s">
        <v>30</v>
      </c>
      <c r="B23" s="215">
        <f>200000</f>
        <v>200000</v>
      </c>
      <c r="C23" s="215">
        <f t="shared" si="5"/>
        <v>151045.44</v>
      </c>
      <c r="D23" s="216">
        <f t="shared" ref="D23:D51" si="9">+C23-B23</f>
        <v>-48954.559999999998</v>
      </c>
      <c r="E23" s="217">
        <f t="shared" ref="E23:F30" si="10">+I23+L23+O23+R23+U23</f>
        <v>146</v>
      </c>
      <c r="F23" s="217">
        <f t="shared" si="10"/>
        <v>11.034722222222221</v>
      </c>
      <c r="G23" s="218"/>
      <c r="H23" s="219">
        <v>20246.8</v>
      </c>
      <c r="I23" s="220">
        <v>24</v>
      </c>
      <c r="J23" s="221">
        <v>1.4791666666666667</v>
      </c>
      <c r="K23" s="222">
        <v>32225.34</v>
      </c>
      <c r="L23" s="223">
        <v>32</v>
      </c>
      <c r="M23" s="224">
        <v>2.3541666666666665</v>
      </c>
      <c r="N23" s="222">
        <v>33460.14</v>
      </c>
      <c r="O23" s="223">
        <v>28</v>
      </c>
      <c r="P23" s="224">
        <v>2.4444444444444446</v>
      </c>
      <c r="Q23" s="225">
        <v>38403.26</v>
      </c>
      <c r="R23" s="223">
        <v>39</v>
      </c>
      <c r="S23" s="224">
        <v>2.8055555555555554</v>
      </c>
      <c r="T23" s="225">
        <v>26709.9</v>
      </c>
      <c r="U23" s="223">
        <v>23</v>
      </c>
      <c r="V23" s="224">
        <v>1.9513888888888888</v>
      </c>
      <c r="X23" s="294">
        <f>H23+K23+N23+Q23+T23</f>
        <v>151045.44</v>
      </c>
    </row>
    <row r="24" spans="1:24" s="226" customFormat="1" outlineLevel="2">
      <c r="A24" s="165" t="s">
        <v>117</v>
      </c>
      <c r="B24" s="215">
        <f t="shared" ref="B24:B25" si="11">200000</f>
        <v>200000</v>
      </c>
      <c r="C24" s="215">
        <f t="shared" si="5"/>
        <v>137073.57999999999</v>
      </c>
      <c r="D24" s="216">
        <f t="shared" si="9"/>
        <v>-62926.420000000013</v>
      </c>
      <c r="E24" s="217">
        <f t="shared" si="10"/>
        <v>148</v>
      </c>
      <c r="F24" s="217">
        <f t="shared" si="10"/>
        <v>10.013888888888889</v>
      </c>
      <c r="G24" s="218"/>
      <c r="H24" s="219">
        <v>18345.599999999999</v>
      </c>
      <c r="I24" s="220">
        <v>19</v>
      </c>
      <c r="J24" s="221">
        <v>1.3402777777777777</v>
      </c>
      <c r="K24" s="222">
        <v>23765</v>
      </c>
      <c r="L24" s="223">
        <v>27</v>
      </c>
      <c r="M24" s="224">
        <v>1.7361111111111112</v>
      </c>
      <c r="N24" s="222">
        <v>29467.62</v>
      </c>
      <c r="O24" s="223">
        <v>30</v>
      </c>
      <c r="P24" s="224">
        <v>2.1527777777777777</v>
      </c>
      <c r="Q24" s="225">
        <v>35932.68</v>
      </c>
      <c r="R24" s="223">
        <v>38</v>
      </c>
      <c r="S24" s="224">
        <v>2.625</v>
      </c>
      <c r="T24" s="225">
        <v>29562.68</v>
      </c>
      <c r="U24" s="223">
        <v>34</v>
      </c>
      <c r="V24" s="224">
        <v>2.1597222222222223</v>
      </c>
      <c r="X24" s="294">
        <f>H24+K24+N24+Q24+T24</f>
        <v>137073.57999999999</v>
      </c>
    </row>
    <row r="25" spans="1:24" s="226" customFormat="1" outlineLevel="2">
      <c r="A25" s="165" t="s">
        <v>118</v>
      </c>
      <c r="B25" s="215">
        <f t="shared" si="11"/>
        <v>200000</v>
      </c>
      <c r="C25" s="215">
        <f t="shared" si="5"/>
        <v>127189.3</v>
      </c>
      <c r="D25" s="216">
        <f t="shared" si="9"/>
        <v>-72810.7</v>
      </c>
      <c r="E25" s="217">
        <f t="shared" si="10"/>
        <v>129</v>
      </c>
      <c r="F25" s="217">
        <f t="shared" si="10"/>
        <v>9.2916666666666661</v>
      </c>
      <c r="G25" s="218"/>
      <c r="H25" s="219">
        <v>18536.7</v>
      </c>
      <c r="I25" s="220">
        <v>16</v>
      </c>
      <c r="J25" s="221">
        <v>1.3541666666666667</v>
      </c>
      <c r="K25" s="222">
        <v>24525.48</v>
      </c>
      <c r="L25" s="223">
        <v>31</v>
      </c>
      <c r="M25" s="224">
        <v>1.7916666666666667</v>
      </c>
      <c r="N25" s="222">
        <v>30514.26</v>
      </c>
      <c r="O25" s="223">
        <v>34</v>
      </c>
      <c r="P25" s="224">
        <v>2.2291666666666665</v>
      </c>
      <c r="Q25" s="225">
        <v>28898.240000000002</v>
      </c>
      <c r="R25" s="223">
        <v>25</v>
      </c>
      <c r="S25" s="224">
        <v>2.1111111111111112</v>
      </c>
      <c r="T25" s="225">
        <v>24714.62</v>
      </c>
      <c r="U25" s="223">
        <v>23</v>
      </c>
      <c r="V25" s="224">
        <v>1.8055555555555556</v>
      </c>
      <c r="X25" s="294">
        <f>H25+K25+N25+Q25+T25</f>
        <v>127189.3</v>
      </c>
    </row>
    <row r="26" spans="1:24" s="226" customFormat="1" outlineLevel="2">
      <c r="A26" s="165" t="s">
        <v>33</v>
      </c>
      <c r="B26" s="215">
        <v>0</v>
      </c>
      <c r="C26" s="215">
        <f t="shared" si="5"/>
        <v>0</v>
      </c>
      <c r="D26" s="216">
        <v>0</v>
      </c>
      <c r="E26" s="217">
        <f t="shared" si="10"/>
        <v>0</v>
      </c>
      <c r="F26" s="217">
        <f t="shared" si="10"/>
        <v>0</v>
      </c>
      <c r="G26" s="218"/>
      <c r="H26" s="219"/>
      <c r="I26" s="220"/>
      <c r="J26" s="221"/>
      <c r="K26" s="222"/>
      <c r="L26" s="223"/>
      <c r="M26" s="224"/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4" s="226" customFormat="1" outlineLevel="2">
      <c r="A27" s="134" t="s">
        <v>127</v>
      </c>
      <c r="B27" s="94">
        <v>0</v>
      </c>
      <c r="C27" s="94">
        <f t="shared" si="5"/>
        <v>0</v>
      </c>
      <c r="D27" s="95">
        <f t="shared" si="9"/>
        <v>0</v>
      </c>
      <c r="E27" s="69">
        <f t="shared" si="10"/>
        <v>0</v>
      </c>
      <c r="F27" s="69">
        <f t="shared" si="10"/>
        <v>0</v>
      </c>
      <c r="G27" s="218"/>
      <c r="H27" s="219"/>
      <c r="I27" s="220"/>
      <c r="J27" s="221"/>
      <c r="K27" s="222"/>
      <c r="L27" s="223"/>
      <c r="M27" s="224"/>
      <c r="N27" s="222"/>
      <c r="O27" s="223"/>
      <c r="P27" s="224"/>
      <c r="Q27" s="225"/>
      <c r="R27" s="223"/>
      <c r="S27" s="224"/>
      <c r="T27" s="225"/>
      <c r="U27" s="223"/>
      <c r="V27" s="224"/>
    </row>
    <row r="28" spans="1:24" s="78" customFormat="1" outlineLevel="2">
      <c r="A28" s="134" t="s">
        <v>28</v>
      </c>
      <c r="B28" s="94">
        <v>0</v>
      </c>
      <c r="C28" s="94">
        <f t="shared" si="5"/>
        <v>0</v>
      </c>
      <c r="D28" s="95">
        <f t="shared" si="9"/>
        <v>0</v>
      </c>
      <c r="E28" s="69">
        <f t="shared" si="10"/>
        <v>0</v>
      </c>
      <c r="F28" s="69">
        <f t="shared" si="10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226" customFormat="1" outlineLevel="2">
      <c r="A29" s="301" t="s">
        <v>142</v>
      </c>
      <c r="B29" s="302">
        <v>0</v>
      </c>
      <c r="C29" s="215">
        <f t="shared" si="5"/>
        <v>0</v>
      </c>
      <c r="D29" s="216">
        <f t="shared" si="9"/>
        <v>0</v>
      </c>
      <c r="E29" s="217">
        <f t="shared" si="10"/>
        <v>0</v>
      </c>
      <c r="F29" s="217">
        <f t="shared" si="10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4" s="78" customFormat="1" outlineLevel="2">
      <c r="A30" s="134" t="s">
        <v>21</v>
      </c>
      <c r="B30" s="94">
        <v>0</v>
      </c>
      <c r="C30" s="94">
        <f t="shared" si="5"/>
        <v>0</v>
      </c>
      <c r="D30" s="95">
        <f t="shared" si="9"/>
        <v>0</v>
      </c>
      <c r="E30" s="69">
        <f t="shared" si="10"/>
        <v>0</v>
      </c>
      <c r="F30" s="69">
        <f t="shared" si="10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>
      <c r="A31" s="50" t="s">
        <v>34</v>
      </c>
      <c r="B31" s="99">
        <f>SUM(B32:B39)</f>
        <v>200000</v>
      </c>
      <c r="C31" s="99">
        <f t="shared" ref="C31:D31" si="12">SUM(C32:C39)</f>
        <v>48480.600000000006</v>
      </c>
      <c r="D31" s="99">
        <f t="shared" si="12"/>
        <v>-151519.4</v>
      </c>
      <c r="E31" s="52">
        <f>SUM(E32:E39)</f>
        <v>59</v>
      </c>
      <c r="F31" s="52">
        <f>SUM(F32:F39)</f>
        <v>3.541666666666667</v>
      </c>
      <c r="G31" s="37"/>
      <c r="H31" s="51">
        <f t="shared" ref="H31" si="13">SUM(H32:H39)</f>
        <v>15589.84</v>
      </c>
      <c r="I31" s="52">
        <f>SUM(I32:I39)</f>
        <v>18</v>
      </c>
      <c r="J31" s="52">
        <f>SUM(J32:J39)</f>
        <v>1.1388888888888888</v>
      </c>
      <c r="K31" s="51">
        <f t="shared" ref="K31" si="14">SUM(K32:K39)</f>
        <v>24715.599999999999</v>
      </c>
      <c r="L31" s="52">
        <f>SUM(L32:L39)</f>
        <v>30</v>
      </c>
      <c r="M31" s="52">
        <f>SUM(M32:M39)</f>
        <v>1.8055555555555556</v>
      </c>
      <c r="N31" s="51">
        <f t="shared" ref="N31" si="15">SUM(N32:N39)</f>
        <v>8175.16</v>
      </c>
      <c r="O31" s="52">
        <f>SUM(O32:O39)</f>
        <v>11</v>
      </c>
      <c r="P31" s="52">
        <f>SUM(P32:P39)</f>
        <v>0.59722222222222221</v>
      </c>
      <c r="Q31" s="51">
        <f t="shared" ref="Q31" si="16">SUM(Q32:Q39)</f>
        <v>0</v>
      </c>
      <c r="R31" s="52">
        <f>SUM(R32:R39)</f>
        <v>0</v>
      </c>
      <c r="S31" s="52">
        <f>SUM(S32:S39)</f>
        <v>0</v>
      </c>
      <c r="T31" s="51">
        <f t="shared" ref="T31" si="17">SUM(T32:T39)</f>
        <v>0</v>
      </c>
      <c r="U31" s="52">
        <f>SUM(U32:U39)</f>
        <v>0</v>
      </c>
      <c r="V31" s="52">
        <f>SUM(V32:V39)</f>
        <v>0</v>
      </c>
    </row>
    <row r="32" spans="1:24" s="226" customFormat="1" outlineLevel="2">
      <c r="A32" s="165" t="s">
        <v>130</v>
      </c>
      <c r="B32" s="215">
        <f>200000</f>
        <v>200000</v>
      </c>
      <c r="C32" s="215">
        <f t="shared" si="5"/>
        <v>48480.600000000006</v>
      </c>
      <c r="D32" s="216">
        <f t="shared" si="9"/>
        <v>-151519.4</v>
      </c>
      <c r="E32" s="217">
        <f t="shared" ref="E32:F39" si="18">+I32+L32+O32+R32+U32</f>
        <v>59</v>
      </c>
      <c r="F32" s="217">
        <f t="shared" si="18"/>
        <v>3.541666666666667</v>
      </c>
      <c r="G32" s="218"/>
      <c r="H32" s="219">
        <v>15589.84</v>
      </c>
      <c r="I32" s="220">
        <v>18</v>
      </c>
      <c r="J32" s="221">
        <v>1.1388888888888888</v>
      </c>
      <c r="K32" s="222">
        <v>24715.599999999999</v>
      </c>
      <c r="L32" s="223">
        <v>30</v>
      </c>
      <c r="M32" s="224">
        <v>1.8055555555555556</v>
      </c>
      <c r="N32" s="222">
        <v>8175.16</v>
      </c>
      <c r="O32" s="223">
        <v>11</v>
      </c>
      <c r="P32" s="224">
        <v>0.59722222222222221</v>
      </c>
      <c r="Q32" s="225"/>
      <c r="R32" s="223"/>
      <c r="S32" s="224"/>
      <c r="T32" s="225"/>
      <c r="U32" s="223"/>
      <c r="V32" s="224"/>
      <c r="X32" s="294">
        <f>H32+K32+N32</f>
        <v>48480.600000000006</v>
      </c>
    </row>
    <row r="33" spans="1:24" s="226" customFormat="1" outlineLevel="2">
      <c r="A33" s="165" t="s">
        <v>36</v>
      </c>
      <c r="B33" s="215">
        <v>0</v>
      </c>
      <c r="C33" s="215">
        <f t="shared" si="5"/>
        <v>0</v>
      </c>
      <c r="D33" s="216">
        <f t="shared" si="9"/>
        <v>0</v>
      </c>
      <c r="E33" s="217">
        <f t="shared" si="18"/>
        <v>0</v>
      </c>
      <c r="F33" s="217">
        <f t="shared" si="18"/>
        <v>0</v>
      </c>
      <c r="G33" s="218"/>
      <c r="H33" s="219"/>
      <c r="I33" s="220"/>
      <c r="J33" s="221"/>
      <c r="K33" s="222"/>
      <c r="L33" s="223"/>
      <c r="M33" s="224"/>
      <c r="N33" s="222"/>
      <c r="O33" s="223"/>
      <c r="P33" s="224"/>
      <c r="Q33" s="225"/>
      <c r="R33" s="223"/>
      <c r="S33" s="224"/>
      <c r="T33" s="225"/>
      <c r="U33" s="223"/>
      <c r="V33" s="224"/>
    </row>
    <row r="34" spans="1:24" s="226" customFormat="1" outlineLevel="2">
      <c r="A34" s="165" t="s">
        <v>25</v>
      </c>
      <c r="B34" s="215">
        <v>0</v>
      </c>
      <c r="C34" s="215">
        <f t="shared" si="5"/>
        <v>0</v>
      </c>
      <c r="D34" s="216">
        <f t="shared" si="9"/>
        <v>0</v>
      </c>
      <c r="E34" s="217">
        <f t="shared" si="18"/>
        <v>0</v>
      </c>
      <c r="F34" s="217">
        <f t="shared" si="18"/>
        <v>0</v>
      </c>
      <c r="G34" s="218"/>
      <c r="H34" s="219"/>
      <c r="I34" s="220"/>
      <c r="J34" s="221"/>
      <c r="K34" s="222"/>
      <c r="L34" s="223"/>
      <c r="M34" s="224"/>
      <c r="N34" s="222"/>
      <c r="O34" s="223"/>
      <c r="P34" s="224"/>
      <c r="Q34" s="225"/>
      <c r="R34" s="223"/>
      <c r="S34" s="224"/>
      <c r="T34" s="225"/>
      <c r="U34" s="223"/>
      <c r="V34" s="224"/>
    </row>
    <row r="35" spans="1:24" s="226" customFormat="1" outlineLevel="2">
      <c r="A35" s="165" t="s">
        <v>26</v>
      </c>
      <c r="B35" s="215">
        <v>0</v>
      </c>
      <c r="C35" s="215">
        <f t="shared" si="5"/>
        <v>0</v>
      </c>
      <c r="D35" s="216">
        <f t="shared" si="9"/>
        <v>0</v>
      </c>
      <c r="E35" s="217">
        <f t="shared" si="18"/>
        <v>0</v>
      </c>
      <c r="F35" s="217">
        <f t="shared" si="18"/>
        <v>0</v>
      </c>
      <c r="G35" s="218"/>
      <c r="H35" s="219"/>
      <c r="I35" s="220"/>
      <c r="J35" s="221"/>
      <c r="K35" s="222"/>
      <c r="L35" s="223"/>
      <c r="M35" s="224"/>
      <c r="N35" s="222"/>
      <c r="O35" s="223"/>
      <c r="P35" s="224"/>
      <c r="Q35" s="225"/>
      <c r="R35" s="223"/>
      <c r="S35" s="224"/>
      <c r="T35" s="225"/>
      <c r="U35" s="223"/>
      <c r="V35" s="224"/>
    </row>
    <row r="36" spans="1:24" s="226" customFormat="1" outlineLevel="2">
      <c r="A36" s="165" t="s">
        <v>37</v>
      </c>
      <c r="B36" s="92">
        <v>0</v>
      </c>
      <c r="C36" s="215">
        <f t="shared" si="5"/>
        <v>0</v>
      </c>
      <c r="D36" s="216">
        <f t="shared" si="9"/>
        <v>0</v>
      </c>
      <c r="E36" s="217">
        <f t="shared" si="18"/>
        <v>0</v>
      </c>
      <c r="F36" s="217">
        <f t="shared" si="18"/>
        <v>0</v>
      </c>
      <c r="G36" s="218"/>
      <c r="H36" s="219"/>
      <c r="I36" s="220"/>
      <c r="J36" s="221"/>
      <c r="K36" s="222"/>
      <c r="L36" s="223"/>
      <c r="M36" s="224"/>
      <c r="N36" s="222"/>
      <c r="O36" s="223"/>
      <c r="P36" s="224"/>
      <c r="Q36" s="225"/>
      <c r="R36" s="223"/>
      <c r="S36" s="224"/>
      <c r="T36" s="225"/>
      <c r="U36" s="223"/>
      <c r="V36" s="224"/>
    </row>
    <row r="37" spans="1:24" s="78" customFormat="1" outlineLevel="2">
      <c r="A37" s="134" t="s">
        <v>28</v>
      </c>
      <c r="B37" s="94">
        <v>0</v>
      </c>
      <c r="C37" s="94">
        <f t="shared" si="5"/>
        <v>0</v>
      </c>
      <c r="D37" s="95">
        <f t="shared" si="9"/>
        <v>0</v>
      </c>
      <c r="E37" s="69">
        <f t="shared" si="18"/>
        <v>0</v>
      </c>
      <c r="F37" s="69">
        <f t="shared" si="18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226" customFormat="1" outlineLevel="2">
      <c r="A38" s="165" t="s">
        <v>20</v>
      </c>
      <c r="B38" s="215">
        <v>0</v>
      </c>
      <c r="C38" s="215">
        <f t="shared" si="5"/>
        <v>0</v>
      </c>
      <c r="D38" s="216">
        <f t="shared" si="9"/>
        <v>0</v>
      </c>
      <c r="E38" s="217">
        <f t="shared" si="18"/>
        <v>0</v>
      </c>
      <c r="F38" s="217">
        <f t="shared" si="18"/>
        <v>0</v>
      </c>
      <c r="G38" s="218"/>
      <c r="H38" s="219"/>
      <c r="I38" s="220"/>
      <c r="J38" s="221"/>
      <c r="K38" s="222"/>
      <c r="L38" s="223"/>
      <c r="M38" s="224"/>
      <c r="N38" s="222"/>
      <c r="O38" s="223"/>
      <c r="P38" s="224"/>
      <c r="Q38" s="225"/>
      <c r="R38" s="223"/>
      <c r="S38" s="224"/>
      <c r="T38" s="225"/>
      <c r="U38" s="223"/>
      <c r="V38" s="224"/>
    </row>
    <row r="39" spans="1:24" s="78" customFormat="1" outlineLevel="2">
      <c r="A39" s="134" t="s">
        <v>21</v>
      </c>
      <c r="B39" s="94">
        <v>0</v>
      </c>
      <c r="C39" s="94">
        <f t="shared" si="5"/>
        <v>0</v>
      </c>
      <c r="D39" s="95">
        <f t="shared" si="9"/>
        <v>0</v>
      </c>
      <c r="E39" s="69">
        <f t="shared" si="18"/>
        <v>0</v>
      </c>
      <c r="F39" s="69">
        <f t="shared" si="18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19">SUM(H41:H42)</f>
        <v>0</v>
      </c>
      <c r="I40" s="60">
        <f t="shared" si="19"/>
        <v>0</v>
      </c>
      <c r="J40" s="60">
        <f t="shared" si="19"/>
        <v>0</v>
      </c>
      <c r="K40" s="59">
        <f t="shared" si="19"/>
        <v>0</v>
      </c>
      <c r="L40" s="60">
        <f t="shared" si="19"/>
        <v>0</v>
      </c>
      <c r="M40" s="60">
        <f t="shared" si="19"/>
        <v>0</v>
      </c>
      <c r="N40" s="59">
        <f t="shared" si="19"/>
        <v>0</v>
      </c>
      <c r="O40" s="60">
        <f t="shared" si="19"/>
        <v>0</v>
      </c>
      <c r="P40" s="60">
        <f t="shared" si="19"/>
        <v>0</v>
      </c>
      <c r="Q40" s="59">
        <f t="shared" si="19"/>
        <v>0</v>
      </c>
      <c r="R40" s="60">
        <f t="shared" si="19"/>
        <v>0</v>
      </c>
      <c r="S40" s="60">
        <f t="shared" si="19"/>
        <v>0</v>
      </c>
      <c r="T40" s="59">
        <f t="shared" si="19"/>
        <v>0</v>
      </c>
      <c r="U40" s="60">
        <f t="shared" si="19"/>
        <v>0</v>
      </c>
      <c r="V40" s="60">
        <f t="shared" si="19"/>
        <v>0</v>
      </c>
    </row>
    <row r="41" spans="1:24" outlineLevel="2">
      <c r="A41" s="134" t="s">
        <v>43</v>
      </c>
      <c r="B41" s="94">
        <v>0</v>
      </c>
      <c r="C41" s="94">
        <f t="shared" si="5"/>
        <v>0</v>
      </c>
      <c r="D41" s="95">
        <f t="shared" si="9"/>
        <v>0</v>
      </c>
      <c r="E41" s="69">
        <f t="shared" ref="E41:F42" si="20">+I41+L41+O41+R41+U41</f>
        <v>0</v>
      </c>
      <c r="F41" s="69">
        <f t="shared" si="20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4" s="78" customFormat="1" outlineLevel="2">
      <c r="A42" s="134" t="s">
        <v>36</v>
      </c>
      <c r="B42" s="94">
        <v>0</v>
      </c>
      <c r="C42" s="94">
        <f t="shared" si="5"/>
        <v>0</v>
      </c>
      <c r="D42" s="95">
        <f t="shared" si="9"/>
        <v>0</v>
      </c>
      <c r="E42" s="69">
        <f t="shared" si="20"/>
        <v>0</v>
      </c>
      <c r="F42" s="69">
        <f t="shared" si="20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>
      <c r="A43" s="47" t="s">
        <v>40</v>
      </c>
      <c r="B43" s="101">
        <f>SUM(B44:B45)</f>
        <v>170000</v>
      </c>
      <c r="C43" s="101">
        <f>SUM(C44:C45)</f>
        <v>140021.42000000001</v>
      </c>
      <c r="D43" s="101">
        <f>SUM(D44:D45)</f>
        <v>-29978.579999999987</v>
      </c>
      <c r="E43" s="49">
        <f>SUM(E44:E45)</f>
        <v>181</v>
      </c>
      <c r="F43" s="49">
        <f>SUM(F44:F45)</f>
        <v>10.229166666666668</v>
      </c>
      <c r="G43" s="37"/>
      <c r="H43" s="48">
        <f t="shared" ref="H43:V43" si="21">SUM(H44:H45)</f>
        <v>17585.12</v>
      </c>
      <c r="I43" s="49">
        <f t="shared" si="21"/>
        <v>24</v>
      </c>
      <c r="J43" s="49">
        <f t="shared" si="21"/>
        <v>1.2847222222222223</v>
      </c>
      <c r="K43" s="48">
        <f t="shared" si="21"/>
        <v>31369.8</v>
      </c>
      <c r="L43" s="49">
        <f t="shared" si="21"/>
        <v>33</v>
      </c>
      <c r="M43" s="49">
        <f t="shared" si="21"/>
        <v>2.2916666666666665</v>
      </c>
      <c r="N43" s="48">
        <f t="shared" si="21"/>
        <v>35219.24</v>
      </c>
      <c r="O43" s="49">
        <f t="shared" si="21"/>
        <v>42</v>
      </c>
      <c r="P43" s="49">
        <f t="shared" si="21"/>
        <v>2.5729166666666665</v>
      </c>
      <c r="Q43" s="48">
        <f t="shared" si="21"/>
        <v>27139.14</v>
      </c>
      <c r="R43" s="49">
        <f t="shared" si="21"/>
        <v>40</v>
      </c>
      <c r="S43" s="49">
        <f t="shared" si="21"/>
        <v>1.9826388888888888</v>
      </c>
      <c r="T43" s="48">
        <f t="shared" si="21"/>
        <v>28708.12</v>
      </c>
      <c r="U43" s="49">
        <f t="shared" si="21"/>
        <v>42</v>
      </c>
      <c r="V43" s="49">
        <f t="shared" si="21"/>
        <v>2.0972222222222223</v>
      </c>
    </row>
    <row r="44" spans="1:24" outlineLevel="2">
      <c r="A44" s="1" t="s">
        <v>139</v>
      </c>
      <c r="B44" s="97">
        <f>200000*0.85</f>
        <v>170000</v>
      </c>
      <c r="C44" s="92">
        <f t="shared" si="5"/>
        <v>140021.42000000001</v>
      </c>
      <c r="D44" s="93">
        <f t="shared" ref="D44:D45" si="22">+C44-B44</f>
        <v>-29978.579999999987</v>
      </c>
      <c r="E44" s="18">
        <f t="shared" ref="E44:F45" si="23">+I44+L44+O44+R44+U44</f>
        <v>181</v>
      </c>
      <c r="F44" s="18">
        <f t="shared" si="23"/>
        <v>10.229166666666668</v>
      </c>
      <c r="G44" s="37"/>
      <c r="H44" s="181">
        <v>17585.12</v>
      </c>
      <c r="I44" s="182">
        <v>24</v>
      </c>
      <c r="J44" s="183">
        <v>1.2847222222222223</v>
      </c>
      <c r="K44" s="184">
        <v>31369.8</v>
      </c>
      <c r="L44" s="185">
        <v>33</v>
      </c>
      <c r="M44" s="186">
        <v>2.2916666666666665</v>
      </c>
      <c r="N44" s="184">
        <v>35219.24</v>
      </c>
      <c r="O44" s="185">
        <v>42</v>
      </c>
      <c r="P44" s="186">
        <v>2.5729166666666665</v>
      </c>
      <c r="Q44" s="187">
        <v>27139.14</v>
      </c>
      <c r="R44" s="185">
        <v>40</v>
      </c>
      <c r="S44" s="186">
        <v>1.9826388888888888</v>
      </c>
      <c r="T44" s="187">
        <v>28708.12</v>
      </c>
      <c r="U44" s="185">
        <v>42</v>
      </c>
      <c r="V44" s="186">
        <v>2.0972222222222223</v>
      </c>
      <c r="X44" s="295">
        <f>H44+K44+N44+Q44+T44</f>
        <v>140021.42000000001</v>
      </c>
    </row>
    <row r="45" spans="1:24" s="78" customFormat="1" outlineLevel="2">
      <c r="A45" s="68" t="s">
        <v>36</v>
      </c>
      <c r="B45" s="94">
        <v>0</v>
      </c>
      <c r="C45" s="94">
        <f t="shared" si="5"/>
        <v>0</v>
      </c>
      <c r="D45" s="95">
        <f t="shared" si="22"/>
        <v>0</v>
      </c>
      <c r="E45" s="69">
        <f t="shared" si="23"/>
        <v>0</v>
      </c>
      <c r="F45" s="69">
        <f t="shared" si="23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4">SUM(H47:H48)</f>
        <v>0</v>
      </c>
      <c r="I46" s="200">
        <f t="shared" si="24"/>
        <v>0</v>
      </c>
      <c r="J46" s="200">
        <f t="shared" si="24"/>
        <v>0</v>
      </c>
      <c r="K46" s="211">
        <f t="shared" si="24"/>
        <v>0</v>
      </c>
      <c r="L46" s="200">
        <f t="shared" si="24"/>
        <v>0</v>
      </c>
      <c r="M46" s="200">
        <f t="shared" si="24"/>
        <v>0</v>
      </c>
      <c r="N46" s="211">
        <f t="shared" si="24"/>
        <v>0</v>
      </c>
      <c r="O46" s="200">
        <f t="shared" si="24"/>
        <v>0</v>
      </c>
      <c r="P46" s="200">
        <f t="shared" si="24"/>
        <v>0</v>
      </c>
      <c r="Q46" s="211">
        <f t="shared" si="24"/>
        <v>0</v>
      </c>
      <c r="R46" s="200">
        <f t="shared" si="24"/>
        <v>0</v>
      </c>
      <c r="S46" s="200">
        <f t="shared" si="24"/>
        <v>0</v>
      </c>
      <c r="T46" s="211">
        <f t="shared" si="24"/>
        <v>0</v>
      </c>
      <c r="U46" s="200">
        <f t="shared" si="24"/>
        <v>0</v>
      </c>
      <c r="V46" s="200">
        <f t="shared" si="24"/>
        <v>0</v>
      </c>
    </row>
    <row r="47" spans="1:24" s="78" customFormat="1" outlineLevel="2">
      <c r="A47" s="68" t="s">
        <v>43</v>
      </c>
      <c r="B47" s="94">
        <v>0</v>
      </c>
      <c r="C47" s="94">
        <f t="shared" si="5"/>
        <v>0</v>
      </c>
      <c r="D47" s="95">
        <f t="shared" ref="D47:D48" si="25">+C47-B47</f>
        <v>0</v>
      </c>
      <c r="E47" s="69">
        <f t="shared" ref="E47:F48" si="26">+I47+L47+O47+R47+U47</f>
        <v>0</v>
      </c>
      <c r="F47" s="69">
        <f t="shared" si="26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>
      <c r="A48" s="68" t="s">
        <v>36</v>
      </c>
      <c r="B48" s="94">
        <v>0</v>
      </c>
      <c r="C48" s="94">
        <f t="shared" si="5"/>
        <v>0</v>
      </c>
      <c r="D48" s="95">
        <f t="shared" si="25"/>
        <v>0</v>
      </c>
      <c r="E48" s="69">
        <f t="shared" si="26"/>
        <v>0</v>
      </c>
      <c r="F48" s="69">
        <f t="shared" si="26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27">SUM(H50:H51)</f>
        <v>0</v>
      </c>
      <c r="I49" s="200">
        <f t="shared" si="27"/>
        <v>0</v>
      </c>
      <c r="J49" s="200">
        <f t="shared" si="27"/>
        <v>0</v>
      </c>
      <c r="K49" s="211">
        <f t="shared" si="27"/>
        <v>0</v>
      </c>
      <c r="L49" s="200">
        <f t="shared" si="27"/>
        <v>0</v>
      </c>
      <c r="M49" s="200">
        <f t="shared" si="27"/>
        <v>0</v>
      </c>
      <c r="N49" s="211">
        <f t="shared" si="27"/>
        <v>0</v>
      </c>
      <c r="O49" s="200">
        <f t="shared" si="27"/>
        <v>0</v>
      </c>
      <c r="P49" s="200">
        <f t="shared" si="27"/>
        <v>0</v>
      </c>
      <c r="Q49" s="211">
        <f t="shared" si="27"/>
        <v>0</v>
      </c>
      <c r="R49" s="200">
        <f t="shared" si="27"/>
        <v>0</v>
      </c>
      <c r="S49" s="200">
        <f t="shared" si="27"/>
        <v>0</v>
      </c>
      <c r="T49" s="211">
        <f t="shared" si="27"/>
        <v>0</v>
      </c>
      <c r="U49" s="200">
        <f t="shared" si="27"/>
        <v>0</v>
      </c>
      <c r="V49" s="200">
        <f t="shared" si="27"/>
        <v>0</v>
      </c>
    </row>
    <row r="50" spans="1:22" s="78" customFormat="1" outlineLevel="2">
      <c r="A50" s="315" t="s">
        <v>129</v>
      </c>
      <c r="B50" s="94">
        <v>0</v>
      </c>
      <c r="C50" s="94">
        <f t="shared" si="5"/>
        <v>0</v>
      </c>
      <c r="D50" s="95">
        <f t="shared" si="9"/>
        <v>0</v>
      </c>
      <c r="E50" s="69">
        <f t="shared" ref="E50:F51" si="28">+I50+L50+O50+R50+U50</f>
        <v>0</v>
      </c>
      <c r="F50" s="69">
        <f t="shared" si="28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>
      <c r="A51" s="68" t="s">
        <v>36</v>
      </c>
      <c r="B51" s="94">
        <v>0</v>
      </c>
      <c r="C51" s="94">
        <f t="shared" si="5"/>
        <v>0</v>
      </c>
      <c r="D51" s="95">
        <f t="shared" si="9"/>
        <v>0</v>
      </c>
      <c r="E51" s="69">
        <f t="shared" si="28"/>
        <v>0</v>
      </c>
      <c r="F51" s="69">
        <f t="shared" si="28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8">
      <c r="A52" s="138" t="s">
        <v>45</v>
      </c>
      <c r="B52" s="102">
        <f>+B49+B40+B31+B22+B13+B3+B46+B43</f>
        <v>2975000</v>
      </c>
      <c r="C52" s="102">
        <f>+C49+C40+C31+C22+C13+C3+C46+C43</f>
        <v>2123699.96</v>
      </c>
      <c r="D52" s="102">
        <f>+D49+D40+D31+D22+D13+D3+D46+D43</f>
        <v>-851300.0399999998</v>
      </c>
      <c r="E52" s="90">
        <f>+E49+E40+E31+E22+E13+E3+E46+E43</f>
        <v>1906</v>
      </c>
      <c r="F52" s="90">
        <f>+F49+F40+F31+F22+F13+F3+F46+F43</f>
        <v>127.23958333333334</v>
      </c>
      <c r="G52" s="38"/>
      <c r="H52" s="196">
        <f t="shared" ref="H52:V52" si="29">+H49+H40+H31+H22+H13+H3+H46+H43</f>
        <v>269774.5</v>
      </c>
      <c r="I52" s="197">
        <f t="shared" si="29"/>
        <v>250</v>
      </c>
      <c r="J52" s="197">
        <f t="shared" si="29"/>
        <v>16.388888888888889</v>
      </c>
      <c r="K52" s="196">
        <f t="shared" si="29"/>
        <v>506334.04</v>
      </c>
      <c r="L52" s="197">
        <f t="shared" si="29"/>
        <v>454</v>
      </c>
      <c r="M52" s="197">
        <f t="shared" si="29"/>
        <v>29.923611111111111</v>
      </c>
      <c r="N52" s="196">
        <f t="shared" si="29"/>
        <v>489488.56</v>
      </c>
      <c r="O52" s="197">
        <f t="shared" si="29"/>
        <v>429</v>
      </c>
      <c r="P52" s="197">
        <f t="shared" si="29"/>
        <v>29.177083333333332</v>
      </c>
      <c r="Q52" s="196">
        <f t="shared" si="29"/>
        <v>479100.5</v>
      </c>
      <c r="R52" s="197">
        <f t="shared" si="29"/>
        <v>441</v>
      </c>
      <c r="S52" s="197">
        <f t="shared" si="29"/>
        <v>28.774305555555554</v>
      </c>
      <c r="T52" s="196">
        <f t="shared" si="29"/>
        <v>379002.36</v>
      </c>
      <c r="U52" s="197">
        <f t="shared" si="29"/>
        <v>332</v>
      </c>
      <c r="V52" s="197">
        <f t="shared" si="29"/>
        <v>22.975694444444443</v>
      </c>
    </row>
    <row r="54" spans="1:22" ht="18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>
      <c r="A55" s="87" t="s">
        <v>47</v>
      </c>
      <c r="B55" s="105">
        <f>+B56+B66+B75+B84+B93+B102+B96+B99</f>
        <v>1526260</v>
      </c>
      <c r="C55" s="105">
        <f>+C56+C66+C75+C84+C93+C102+C96+C99</f>
        <v>1455709</v>
      </c>
      <c r="D55" s="106">
        <f>+C55-B55</f>
        <v>-70551</v>
      </c>
    </row>
    <row r="56" spans="1:22" outlineLevel="1">
      <c r="A56" s="44" t="s">
        <v>48</v>
      </c>
      <c r="B56" s="107">
        <f>SUM(B57:B65)*1.34</f>
        <v>720920</v>
      </c>
      <c r="C56" s="107">
        <f>SUM(C57:C65)*1.34</f>
        <v>755559</v>
      </c>
      <c r="D56" s="108">
        <f>+C56-B56</f>
        <v>34639</v>
      </c>
    </row>
    <row r="57" spans="1:22" outlineLevel="2">
      <c r="A57" s="132" t="str">
        <f>+A4</f>
        <v>psych. s. 1 - NÁGLOVÁ</v>
      </c>
      <c r="B57" s="93">
        <v>60000</v>
      </c>
      <c r="C57" s="93">
        <f>+B57</f>
        <v>60000</v>
      </c>
      <c r="D57" s="109">
        <f t="shared" ref="D57:D74" si="30">+C57-B57</f>
        <v>0</v>
      </c>
      <c r="F57" s="16"/>
      <c r="G57" s="40"/>
    </row>
    <row r="58" spans="1:22" outlineLevel="2">
      <c r="A58" s="132" t="str">
        <f t="shared" ref="A58:A65" si="31">+A5</f>
        <v>psych. s. 2 - HAJASOVÁ</v>
      </c>
      <c r="B58" s="93">
        <v>47000</v>
      </c>
      <c r="C58" s="93">
        <v>47850</v>
      </c>
      <c r="D58" s="109">
        <f t="shared" si="30"/>
        <v>850</v>
      </c>
      <c r="F58" s="16"/>
      <c r="G58" s="40"/>
    </row>
    <row r="59" spans="1:22" outlineLevel="2">
      <c r="A59" s="132" t="str">
        <f t="shared" si="31"/>
        <v>psych. s. 3 -  KAŠPÁRKOVÁ/Pekárová</v>
      </c>
      <c r="B59" s="93">
        <v>65000</v>
      </c>
      <c r="C59" s="93">
        <v>75000</v>
      </c>
      <c r="D59" s="109">
        <f t="shared" si="30"/>
        <v>10000</v>
      </c>
      <c r="F59" s="16"/>
      <c r="G59" s="40"/>
    </row>
    <row r="60" spans="1:22" s="78" customFormat="1" outlineLevel="2">
      <c r="A60" s="165" t="str">
        <f t="shared" si="31"/>
        <v>psych. s. 4 -  Hanzlíková</v>
      </c>
      <c r="B60" s="166">
        <v>65000</v>
      </c>
      <c r="C60" s="166">
        <v>65000</v>
      </c>
      <c r="D60" s="167">
        <f t="shared" si="30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2" outlineLevel="2">
      <c r="A61" s="132" t="str">
        <f t="shared" si="31"/>
        <v>psychiatr - GÁBEL 0,2</v>
      </c>
      <c r="B61" s="93">
        <v>16000</v>
      </c>
      <c r="C61" s="93">
        <f>+B61</f>
        <v>16000</v>
      </c>
      <c r="D61" s="109">
        <f t="shared" si="30"/>
        <v>0</v>
      </c>
      <c r="F61" s="16"/>
      <c r="G61" s="40"/>
      <c r="J61" s="82"/>
    </row>
    <row r="62" spans="1:22" outlineLevel="2">
      <c r="A62" s="132" t="str">
        <f t="shared" si="31"/>
        <v>psychiatr - PFEIFFER 0,5</v>
      </c>
      <c r="B62" s="93">
        <v>85000</v>
      </c>
      <c r="C62" s="93">
        <f>+B62</f>
        <v>85000</v>
      </c>
      <c r="D62" s="109">
        <f t="shared" si="30"/>
        <v>0</v>
      </c>
      <c r="F62" s="16"/>
      <c r="G62" s="40"/>
      <c r="J62" s="82"/>
    </row>
    <row r="63" spans="1:22" outlineLevel="2">
      <c r="A63" s="132" t="str">
        <f t="shared" si="31"/>
        <v>psychiatr - Dr. Suchánková 1,0</v>
      </c>
      <c r="B63" s="166">
        <v>160000</v>
      </c>
      <c r="C63" s="93">
        <v>175000</v>
      </c>
      <c r="D63" s="109">
        <f t="shared" si="30"/>
        <v>15000</v>
      </c>
      <c r="F63" s="16"/>
      <c r="G63" s="40"/>
      <c r="J63" s="82"/>
    </row>
    <row r="64" spans="1:22" s="175" customFormat="1" outlineLevel="2">
      <c r="A64" s="331" t="str">
        <f>+A11</f>
        <v>psycholog 1 - Dr. Balko 0,5</v>
      </c>
      <c r="B64" s="216">
        <v>40000</v>
      </c>
      <c r="C64" s="166">
        <f>+B64</f>
        <v>40000</v>
      </c>
      <c r="D64" s="167">
        <f t="shared" si="30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>
      <c r="A65" s="134" t="str">
        <f t="shared" si="31"/>
        <v xml:space="preserve">psycholog 2 </v>
      </c>
      <c r="B65" s="155">
        <v>0</v>
      </c>
      <c r="C65" s="155"/>
      <c r="D65" s="156">
        <f t="shared" si="30"/>
        <v>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>
      <c r="A66" s="58" t="s">
        <v>52</v>
      </c>
      <c r="B66" s="111">
        <f>SUM(B67:B74)*1.34</f>
        <v>263980</v>
      </c>
      <c r="C66" s="111">
        <f>SUM(C67:C74)*1.34</f>
        <v>270010</v>
      </c>
      <c r="D66" s="112">
        <f>+C66-B66</f>
        <v>6030</v>
      </c>
      <c r="F66" s="16"/>
      <c r="G66" s="40"/>
      <c r="J66" s="82"/>
    </row>
    <row r="67" spans="1:22" outlineLevel="2">
      <c r="A67" s="301" t="str">
        <f t="shared" ref="A67:A74" si="32">+A14</f>
        <v>psych. s 1 - Blažková</v>
      </c>
      <c r="B67" s="93">
        <v>55000</v>
      </c>
      <c r="C67" s="93">
        <v>56500</v>
      </c>
      <c r="D67" s="109">
        <f t="shared" si="30"/>
        <v>1500</v>
      </c>
      <c r="F67" s="16"/>
      <c r="G67" s="40"/>
      <c r="J67" s="82"/>
    </row>
    <row r="68" spans="1:22" s="175" customFormat="1" outlineLevel="2">
      <c r="A68" s="165" t="str">
        <f t="shared" si="32"/>
        <v xml:space="preserve">psych. s 2 - Pátková </v>
      </c>
      <c r="B68" s="166">
        <v>60000</v>
      </c>
      <c r="C68" s="166">
        <v>63000</v>
      </c>
      <c r="D68" s="167">
        <f t="shared" si="30"/>
        <v>3000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>
      <c r="A69" s="165" t="str">
        <f t="shared" si="32"/>
        <v>psych. s 3 - Jurášová</v>
      </c>
      <c r="B69" s="166">
        <v>50000</v>
      </c>
      <c r="C69" s="166">
        <v>50000</v>
      </c>
      <c r="D69" s="167">
        <f t="shared" si="30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>
      <c r="A70" s="134" t="str">
        <f t="shared" si="32"/>
        <v>psych. s 4</v>
      </c>
      <c r="B70" s="155">
        <v>0</v>
      </c>
      <c r="C70" s="155">
        <v>0</v>
      </c>
      <c r="D70" s="156">
        <f t="shared" si="30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>
      <c r="A71" s="134" t="str">
        <f t="shared" si="32"/>
        <v xml:space="preserve">psychiatr 1 </v>
      </c>
      <c r="B71" s="155">
        <v>0</v>
      </c>
      <c r="C71" s="155">
        <v>0</v>
      </c>
      <c r="D71" s="156">
        <f t="shared" si="30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>
      <c r="A72" s="134" t="str">
        <f t="shared" si="32"/>
        <v>psychiatr 2</v>
      </c>
      <c r="B72" s="155">
        <v>0</v>
      </c>
      <c r="C72" s="155">
        <v>0</v>
      </c>
      <c r="D72" s="156">
        <f t="shared" si="30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>
      <c r="A73" s="165" t="str">
        <f t="shared" si="32"/>
        <v>psycholog 1 - Mgr. Eva Suchopová  0,2</v>
      </c>
      <c r="B73" s="166">
        <v>32000</v>
      </c>
      <c r="C73" s="166">
        <v>32000</v>
      </c>
      <c r="D73" s="167">
        <f t="shared" si="30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>
      <c r="A74" s="134" t="str">
        <f t="shared" si="32"/>
        <v>psycholog 2</v>
      </c>
      <c r="B74" s="95">
        <v>0</v>
      </c>
      <c r="C74" s="95">
        <v>0</v>
      </c>
      <c r="D74" s="110">
        <f t="shared" si="30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>
      <c r="A75" s="57" t="s">
        <v>58</v>
      </c>
      <c r="B75" s="113">
        <f>SUM(B76:B83)*1.34</f>
        <v>258620.00000000003</v>
      </c>
      <c r="C75" s="113">
        <f>SUM(C76:C83)*1.34</f>
        <v>260630.00000000003</v>
      </c>
      <c r="D75" s="114">
        <f>+C75-B75</f>
        <v>2010</v>
      </c>
      <c r="F75" s="16"/>
      <c r="G75" s="40"/>
      <c r="J75" s="82"/>
    </row>
    <row r="76" spans="1:22" outlineLevel="2">
      <c r="A76" s="165" t="str">
        <f t="shared" ref="A76:A83" si="33">+A23</f>
        <v>psych. s 1 - ZELENKOVÁ</v>
      </c>
      <c r="B76" s="93">
        <v>65000</v>
      </c>
      <c r="C76" s="93">
        <f>+B76</f>
        <v>65000</v>
      </c>
      <c r="D76" s="109">
        <f t="shared" ref="D76:D83" si="34">+C76-B76</f>
        <v>0</v>
      </c>
      <c r="F76" s="16"/>
      <c r="G76" s="40"/>
      <c r="J76" s="83"/>
    </row>
    <row r="77" spans="1:22" s="175" customFormat="1" outlineLevel="2">
      <c r="A77" s="165" t="str">
        <f t="shared" si="33"/>
        <v>psych. s 2 - Vondráčková</v>
      </c>
      <c r="B77" s="166">
        <v>58000</v>
      </c>
      <c r="C77" s="166">
        <f>+B77</f>
        <v>58000</v>
      </c>
      <c r="D77" s="167">
        <f t="shared" si="34"/>
        <v>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>
      <c r="A78" s="165" t="str">
        <f t="shared" si="33"/>
        <v>psych. s 3 - Nováková</v>
      </c>
      <c r="B78" s="166">
        <v>55000</v>
      </c>
      <c r="C78" s="166">
        <v>56500</v>
      </c>
      <c r="D78" s="167">
        <f t="shared" si="34"/>
        <v>1500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>
      <c r="A79" s="134" t="str">
        <f t="shared" si="33"/>
        <v>všeob. s 4 - Dušková</v>
      </c>
      <c r="B79" s="155">
        <v>0</v>
      </c>
      <c r="C79" s="155">
        <v>0</v>
      </c>
      <c r="D79" s="156">
        <f t="shared" si="34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>
      <c r="A80" s="134" t="str">
        <f t="shared" si="33"/>
        <v xml:space="preserve">psychiatr 1 </v>
      </c>
      <c r="B80" s="155">
        <v>0</v>
      </c>
      <c r="C80" s="155">
        <v>0</v>
      </c>
      <c r="D80" s="156">
        <f t="shared" si="34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>
      <c r="A81" s="134" t="str">
        <f t="shared" si="33"/>
        <v>psychiatr 2</v>
      </c>
      <c r="B81" s="95">
        <v>0</v>
      </c>
      <c r="C81" s="95">
        <v>0</v>
      </c>
      <c r="D81" s="110">
        <f t="shared" si="34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>
      <c r="A82" s="301" t="str">
        <f>+A29</f>
        <v>psycholog 1 - Lichtenbergová 0,5</v>
      </c>
      <c r="B82" s="216">
        <v>15000</v>
      </c>
      <c r="C82" s="166">
        <v>15000</v>
      </c>
      <c r="D82" s="167">
        <f t="shared" si="34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>
      <c r="A83" s="134" t="str">
        <f t="shared" si="33"/>
        <v>psycholog 2</v>
      </c>
      <c r="B83" s="95">
        <v>0</v>
      </c>
      <c r="C83" s="95">
        <v>0</v>
      </c>
      <c r="D83" s="110">
        <f t="shared" si="34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>
      <c r="A84" s="50" t="s">
        <v>60</v>
      </c>
      <c r="B84" s="115">
        <f>SUM(B85:B92)*1.34</f>
        <v>93800</v>
      </c>
      <c r="C84" s="115">
        <f>SUM(C85:C92)*1.34</f>
        <v>93800</v>
      </c>
      <c r="D84" s="116">
        <f>+C84-B84</f>
        <v>0</v>
      </c>
      <c r="F84" s="16"/>
      <c r="G84" s="40"/>
    </row>
    <row r="85" spans="1:22" s="175" customFormat="1" outlineLevel="2">
      <c r="A85" s="165" t="str">
        <f t="shared" ref="A85:A104" si="35">+A32</f>
        <v>psych. s 1 - Štréblová</v>
      </c>
      <c r="B85" s="166">
        <v>70000</v>
      </c>
      <c r="C85" s="166">
        <f>+B85</f>
        <v>70000</v>
      </c>
      <c r="D85" s="167">
        <f t="shared" ref="D85:D104" si="36">+C85-B85</f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175" customFormat="1" outlineLevel="2">
      <c r="A86" s="134" t="str">
        <f t="shared" si="35"/>
        <v>psych. s 2</v>
      </c>
      <c r="B86" s="95">
        <v>0</v>
      </c>
      <c r="C86" s="95">
        <v>0</v>
      </c>
      <c r="D86" s="110">
        <f t="shared" si="36"/>
        <v>0</v>
      </c>
      <c r="E86" s="168"/>
      <c r="F86" s="168"/>
      <c r="G86" s="169"/>
      <c r="H86" s="170"/>
      <c r="I86" s="171"/>
      <c r="J86" s="228"/>
      <c r="K86" s="170"/>
      <c r="L86" s="172"/>
      <c r="M86" s="173"/>
      <c r="N86" s="170"/>
      <c r="O86" s="172"/>
      <c r="P86" s="174"/>
      <c r="Q86" s="170"/>
      <c r="R86" s="172"/>
      <c r="S86" s="174"/>
      <c r="T86" s="170"/>
      <c r="U86" s="172"/>
      <c r="V86" s="174"/>
    </row>
    <row r="87" spans="1:22" s="175" customFormat="1" outlineLevel="2">
      <c r="A87" s="134" t="str">
        <f t="shared" si="35"/>
        <v>psych. s 3</v>
      </c>
      <c r="B87" s="95">
        <v>0</v>
      </c>
      <c r="C87" s="95">
        <v>0</v>
      </c>
      <c r="D87" s="110">
        <f t="shared" si="36"/>
        <v>0</v>
      </c>
      <c r="E87" s="168"/>
      <c r="F87" s="168"/>
      <c r="G87" s="169"/>
      <c r="H87" s="170"/>
      <c r="I87" s="171"/>
      <c r="J87" s="228"/>
      <c r="K87" s="170"/>
      <c r="L87" s="172"/>
      <c r="M87" s="173"/>
      <c r="N87" s="170"/>
      <c r="O87" s="172"/>
      <c r="P87" s="174"/>
      <c r="Q87" s="170"/>
      <c r="R87" s="172"/>
      <c r="S87" s="174"/>
      <c r="T87" s="170"/>
      <c r="U87" s="172"/>
      <c r="V87" s="174"/>
    </row>
    <row r="88" spans="1:22" s="175" customFormat="1" outlineLevel="2">
      <c r="A88" s="134" t="str">
        <f t="shared" si="35"/>
        <v>psych. s 4</v>
      </c>
      <c r="B88" s="95">
        <v>0</v>
      </c>
      <c r="C88" s="95">
        <v>0</v>
      </c>
      <c r="D88" s="110">
        <f t="shared" si="36"/>
        <v>0</v>
      </c>
      <c r="E88" s="168"/>
      <c r="F88" s="168"/>
      <c r="G88" s="169"/>
      <c r="H88" s="170"/>
      <c r="I88" s="171"/>
      <c r="J88" s="228"/>
      <c r="K88" s="170"/>
      <c r="L88" s="172"/>
      <c r="M88" s="173"/>
      <c r="N88" s="170"/>
      <c r="O88" s="172"/>
      <c r="P88" s="174"/>
      <c r="Q88" s="170"/>
      <c r="R88" s="172"/>
      <c r="S88" s="174"/>
      <c r="T88" s="170"/>
      <c r="U88" s="172"/>
      <c r="V88" s="174"/>
    </row>
    <row r="89" spans="1:22" s="175" customFormat="1" outlineLevel="2">
      <c r="A89" s="134" t="str">
        <f t="shared" si="35"/>
        <v xml:space="preserve">psychiatr 1 - 0,5 </v>
      </c>
      <c r="B89" s="95">
        <v>0</v>
      </c>
      <c r="C89" s="95">
        <v>0</v>
      </c>
      <c r="D89" s="110">
        <f t="shared" si="36"/>
        <v>0</v>
      </c>
      <c r="E89" s="168"/>
      <c r="F89" s="168"/>
      <c r="G89" s="169"/>
      <c r="H89" s="170"/>
      <c r="I89" s="171"/>
      <c r="J89" s="228"/>
      <c r="K89" s="170"/>
      <c r="L89" s="172"/>
      <c r="M89" s="173"/>
      <c r="N89" s="170"/>
      <c r="O89" s="172"/>
      <c r="P89" s="174"/>
      <c r="Q89" s="170"/>
      <c r="R89" s="172"/>
      <c r="S89" s="174"/>
      <c r="T89" s="170"/>
      <c r="U89" s="172"/>
      <c r="V89" s="174"/>
    </row>
    <row r="90" spans="1:22" s="78" customFormat="1" outlineLevel="2">
      <c r="A90" s="134" t="str">
        <f t="shared" si="35"/>
        <v>psychiatr 2</v>
      </c>
      <c r="B90" s="95">
        <v>0</v>
      </c>
      <c r="C90" s="95">
        <v>0</v>
      </c>
      <c r="D90" s="110">
        <f t="shared" si="36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175" customFormat="1" outlineLevel="2">
      <c r="A91" s="134" t="str">
        <f t="shared" si="35"/>
        <v>psycholog 1 - 0,5</v>
      </c>
      <c r="B91" s="95">
        <v>0</v>
      </c>
      <c r="C91" s="95">
        <v>0</v>
      </c>
      <c r="D91" s="110">
        <f t="shared" si="36"/>
        <v>0</v>
      </c>
      <c r="E91" s="168"/>
      <c r="F91" s="168"/>
      <c r="G91" s="169"/>
      <c r="H91" s="170"/>
      <c r="I91" s="171"/>
      <c r="J91" s="228"/>
      <c r="K91" s="170"/>
      <c r="L91" s="172"/>
      <c r="M91" s="173"/>
      <c r="N91" s="170"/>
      <c r="O91" s="172"/>
      <c r="P91" s="174"/>
      <c r="Q91" s="170"/>
      <c r="R91" s="172"/>
      <c r="S91" s="174"/>
      <c r="T91" s="170"/>
      <c r="U91" s="172"/>
      <c r="V91" s="174"/>
    </row>
    <row r="92" spans="1:22" s="78" customFormat="1" outlineLevel="2">
      <c r="A92" s="134" t="str">
        <f t="shared" si="35"/>
        <v>psycholog 2</v>
      </c>
      <c r="B92" s="95">
        <v>0</v>
      </c>
      <c r="C92" s="95">
        <v>0</v>
      </c>
      <c r="D92" s="110">
        <f t="shared" si="36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>
      <c r="A93" s="135" t="s">
        <v>62</v>
      </c>
      <c r="B93" s="117">
        <f>SUM(B94:B95)*1.34</f>
        <v>96480</v>
      </c>
      <c r="C93" s="117">
        <f>SUM(C94:C95)*1.34</f>
        <v>0</v>
      </c>
      <c r="D93" s="118">
        <f t="shared" si="36"/>
        <v>-96480</v>
      </c>
      <c r="F93" s="16"/>
      <c r="G93" s="40"/>
    </row>
    <row r="94" spans="1:22" outlineLevel="2">
      <c r="A94" s="134" t="str">
        <f t="shared" si="35"/>
        <v xml:space="preserve">psych. s 1 </v>
      </c>
      <c r="B94" s="155">
        <v>72000</v>
      </c>
      <c r="C94" s="155">
        <v>0</v>
      </c>
      <c r="D94" s="156">
        <f t="shared" si="36"/>
        <v>-72000</v>
      </c>
      <c r="F94" s="16"/>
      <c r="G94" s="40"/>
    </row>
    <row r="95" spans="1:22" s="78" customFormat="1" outlineLevel="2">
      <c r="A95" s="134" t="str">
        <f t="shared" si="35"/>
        <v>psych. s 2</v>
      </c>
      <c r="B95" s="95">
        <v>0</v>
      </c>
      <c r="C95" s="95">
        <v>0</v>
      </c>
      <c r="D95" s="110">
        <f t="shared" si="36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>
      <c r="A96" s="136" t="s">
        <v>63</v>
      </c>
      <c r="B96" s="120">
        <f>SUM(B97:B98)*1.34</f>
        <v>73700</v>
      </c>
      <c r="C96" s="120">
        <f>SUM(C97:C98)*1.34</f>
        <v>75710</v>
      </c>
      <c r="D96" s="121">
        <f t="shared" si="36"/>
        <v>2010</v>
      </c>
      <c r="F96" s="16"/>
      <c r="G96" s="40"/>
    </row>
    <row r="97" spans="1:22" outlineLevel="2">
      <c r="A97" s="133" t="str">
        <f t="shared" si="35"/>
        <v>psych. s 1 Prajzová</v>
      </c>
      <c r="B97" s="93">
        <v>55000</v>
      </c>
      <c r="C97" s="93">
        <v>56500</v>
      </c>
      <c r="D97" s="119">
        <f t="shared" si="36"/>
        <v>1500</v>
      </c>
      <c r="F97" s="16"/>
      <c r="G97" s="40"/>
    </row>
    <row r="98" spans="1:22" s="78" customFormat="1" outlineLevel="2">
      <c r="A98" s="134" t="str">
        <f t="shared" si="35"/>
        <v>psych. s 2</v>
      </c>
      <c r="B98" s="95">
        <v>0</v>
      </c>
      <c r="C98" s="95">
        <v>0</v>
      </c>
      <c r="D98" s="110">
        <f t="shared" si="36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6"/>
        <v>0</v>
      </c>
      <c r="F99" s="16"/>
      <c r="G99" s="40"/>
    </row>
    <row r="100" spans="1:22" s="78" customFormat="1" outlineLevel="2">
      <c r="A100" s="134" t="str">
        <f t="shared" si="35"/>
        <v xml:space="preserve">psych. s 1 </v>
      </c>
      <c r="B100" s="95">
        <v>0</v>
      </c>
      <c r="C100" s="95">
        <v>0</v>
      </c>
      <c r="D100" s="110">
        <f t="shared" si="36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>
      <c r="A101" s="134" t="str">
        <f t="shared" si="35"/>
        <v>psych. s 2</v>
      </c>
      <c r="B101" s="95">
        <v>0</v>
      </c>
      <c r="C101" s="95">
        <v>0</v>
      </c>
      <c r="D101" s="110">
        <f t="shared" si="36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36"/>
        <v>-18760</v>
      </c>
      <c r="F102" s="16"/>
      <c r="G102" s="40"/>
    </row>
    <row r="103" spans="1:22" s="78" customFormat="1" outlineLevel="2">
      <c r="A103" s="133" t="str">
        <f t="shared" si="35"/>
        <v>psych. s 1  - Skokanová</v>
      </c>
      <c r="B103" s="216">
        <v>14000</v>
      </c>
      <c r="C103" s="216">
        <v>0</v>
      </c>
      <c r="D103" s="119">
        <f t="shared" si="36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>
      <c r="A104" s="134" t="str">
        <f t="shared" si="35"/>
        <v>psych. s 2</v>
      </c>
      <c r="B104" s="95">
        <v>0</v>
      </c>
      <c r="C104" s="95">
        <v>0</v>
      </c>
      <c r="D104" s="110">
        <f t="shared" si="36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>
      <c r="A105" s="89" t="s">
        <v>66</v>
      </c>
      <c r="B105" s="122">
        <f>SUM(B106:B113)</f>
        <v>446250</v>
      </c>
      <c r="C105" s="122">
        <f>SUM(C106:C113)</f>
        <v>318554.99400000001</v>
      </c>
      <c r="D105" s="123">
        <f>+C105-B105</f>
        <v>-127695.00599999999</v>
      </c>
    </row>
    <row r="106" spans="1:22" outlineLevel="1">
      <c r="A106" s="44" t="s">
        <v>67</v>
      </c>
      <c r="B106" s="141">
        <f>+B3*0.15</f>
        <v>240750</v>
      </c>
      <c r="C106" s="141">
        <f>+C3*0.15</f>
        <v>186961.77</v>
      </c>
      <c r="D106" s="142">
        <f t="shared" ref="D106:D131" si="37">+C106-B106</f>
        <v>-53788.23000000001</v>
      </c>
    </row>
    <row r="107" spans="1:22" outlineLevel="1">
      <c r="A107" s="58" t="s">
        <v>68</v>
      </c>
      <c r="B107" s="141">
        <f>+B13*0.15</f>
        <v>60000</v>
      </c>
      <c r="C107" s="141">
        <f>+C13*0.15</f>
        <v>41021.673000000003</v>
      </c>
      <c r="D107" s="142">
        <f t="shared" si="37"/>
        <v>-18978.326999999997</v>
      </c>
    </row>
    <row r="108" spans="1:22" outlineLevel="1">
      <c r="A108" s="57" t="s">
        <v>69</v>
      </c>
      <c r="B108" s="141">
        <f>+B22*0.15</f>
        <v>90000</v>
      </c>
      <c r="C108" s="141">
        <f>+C22*0.15</f>
        <v>62296.248</v>
      </c>
      <c r="D108" s="142">
        <f t="shared" si="37"/>
        <v>-27703.752</v>
      </c>
    </row>
    <row r="109" spans="1:22" outlineLevel="1">
      <c r="A109" s="50" t="s">
        <v>70</v>
      </c>
      <c r="B109" s="141">
        <f>+B31*0.15</f>
        <v>30000</v>
      </c>
      <c r="C109" s="141">
        <f>+C31*0.15</f>
        <v>7272.0900000000011</v>
      </c>
      <c r="D109" s="142">
        <f t="shared" si="37"/>
        <v>-22727.91</v>
      </c>
    </row>
    <row r="110" spans="1:22" outlineLevel="1">
      <c r="A110" s="67" t="s">
        <v>71</v>
      </c>
      <c r="B110" s="141">
        <f>+B40*0.15</f>
        <v>0</v>
      </c>
      <c r="C110" s="141">
        <f>+C40*0.15</f>
        <v>0</v>
      </c>
      <c r="D110" s="142">
        <f t="shared" si="37"/>
        <v>0</v>
      </c>
    </row>
    <row r="111" spans="1:22" outlineLevel="1">
      <c r="A111" s="47" t="s">
        <v>72</v>
      </c>
      <c r="B111" s="141">
        <f>+B43*0.15</f>
        <v>25500</v>
      </c>
      <c r="C111" s="141">
        <f>+C43*0.15</f>
        <v>21003.213</v>
      </c>
      <c r="D111" s="142">
        <f t="shared" si="37"/>
        <v>-4496.7870000000003</v>
      </c>
    </row>
    <row r="112" spans="1:22" outlineLevel="1">
      <c r="A112" s="198" t="s">
        <v>73</v>
      </c>
      <c r="B112" s="141">
        <f>+B46*0.15</f>
        <v>0</v>
      </c>
      <c r="C112" s="141">
        <f>+C46*0.15</f>
        <v>0</v>
      </c>
      <c r="D112" s="142">
        <f t="shared" si="37"/>
        <v>0</v>
      </c>
    </row>
    <row r="113" spans="1:4" outlineLevel="1">
      <c r="A113" s="198" t="s">
        <v>74</v>
      </c>
      <c r="B113" s="141">
        <f>+B49*0.15</f>
        <v>0</v>
      </c>
      <c r="C113" s="141">
        <f>+C49*0.15</f>
        <v>0</v>
      </c>
      <c r="D113" s="142">
        <f t="shared" si="37"/>
        <v>0</v>
      </c>
    </row>
    <row r="114" spans="1:4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>
      <c r="A115" s="44" t="s">
        <v>76</v>
      </c>
      <c r="B115" s="111">
        <v>30000</v>
      </c>
      <c r="C115" s="111">
        <f>+B115</f>
        <v>30000</v>
      </c>
      <c r="D115" s="112">
        <f t="shared" si="37"/>
        <v>0</v>
      </c>
    </row>
    <row r="116" spans="1:4" outlineLevel="1">
      <c r="A116" s="58" t="s">
        <v>77</v>
      </c>
      <c r="B116" s="111">
        <v>20000</v>
      </c>
      <c r="C116" s="111">
        <f t="shared" ref="C116:C122" si="38">+B116</f>
        <v>20000</v>
      </c>
      <c r="D116" s="112">
        <f t="shared" si="37"/>
        <v>0</v>
      </c>
    </row>
    <row r="117" spans="1:4" outlineLevel="1">
      <c r="A117" s="57" t="s">
        <v>78</v>
      </c>
      <c r="B117" s="111">
        <v>20000</v>
      </c>
      <c r="C117" s="111">
        <f t="shared" si="38"/>
        <v>20000</v>
      </c>
      <c r="D117" s="111">
        <f t="shared" si="37"/>
        <v>0</v>
      </c>
    </row>
    <row r="118" spans="1:4" outlineLevel="1">
      <c r="A118" s="50" t="s">
        <v>79</v>
      </c>
      <c r="B118" s="111">
        <v>0</v>
      </c>
      <c r="C118" s="111">
        <f t="shared" si="38"/>
        <v>0</v>
      </c>
      <c r="D118" s="111">
        <f t="shared" si="37"/>
        <v>0</v>
      </c>
    </row>
    <row r="119" spans="1:4" outlineLevel="1">
      <c r="A119" s="67" t="s">
        <v>80</v>
      </c>
      <c r="B119" s="111">
        <v>0</v>
      </c>
      <c r="C119" s="111">
        <f t="shared" si="38"/>
        <v>0</v>
      </c>
      <c r="D119" s="111">
        <f t="shared" si="37"/>
        <v>0</v>
      </c>
    </row>
    <row r="120" spans="1:4" outlineLevel="1">
      <c r="A120" s="47" t="s">
        <v>81</v>
      </c>
      <c r="B120" s="111">
        <v>0</v>
      </c>
      <c r="C120" s="111">
        <f t="shared" si="38"/>
        <v>0</v>
      </c>
      <c r="D120" s="111">
        <f t="shared" si="37"/>
        <v>0</v>
      </c>
    </row>
    <row r="121" spans="1:4" outlineLevel="1">
      <c r="A121" s="198" t="s">
        <v>82</v>
      </c>
      <c r="B121" s="111">
        <v>0</v>
      </c>
      <c r="C121" s="111">
        <f t="shared" si="38"/>
        <v>0</v>
      </c>
      <c r="D121" s="111">
        <f t="shared" si="37"/>
        <v>0</v>
      </c>
    </row>
    <row r="122" spans="1:4" outlineLevel="1">
      <c r="A122" s="198" t="s">
        <v>83</v>
      </c>
      <c r="B122" s="111">
        <v>0</v>
      </c>
      <c r="C122" s="111">
        <f t="shared" si="38"/>
        <v>0</v>
      </c>
      <c r="D122" s="111">
        <f t="shared" si="37"/>
        <v>0</v>
      </c>
    </row>
    <row r="123" spans="1:4">
      <c r="A123" s="150" t="s">
        <v>84</v>
      </c>
      <c r="B123" s="151">
        <f>SUM(B124:B131)</f>
        <v>297500</v>
      </c>
      <c r="C123" s="151">
        <f t="shared" ref="C123" si="39">SUM(C124:C131)</f>
        <v>212369.99599999998</v>
      </c>
      <c r="D123" s="151">
        <f>+C123-B123</f>
        <v>-85130.004000000015</v>
      </c>
    </row>
    <row r="124" spans="1:4" outlineLevel="1">
      <c r="A124" s="44" t="s">
        <v>85</v>
      </c>
      <c r="B124" s="152">
        <f>+B3/10</f>
        <v>160500</v>
      </c>
      <c r="C124" s="152">
        <f>+C3/10</f>
        <v>124641.18000000001</v>
      </c>
      <c r="D124" s="153">
        <f t="shared" si="37"/>
        <v>-35858.819999999992</v>
      </c>
    </row>
    <row r="125" spans="1:4" outlineLevel="1">
      <c r="A125" s="58" t="s">
        <v>86</v>
      </c>
      <c r="B125" s="152">
        <f>+B13/10</f>
        <v>40000</v>
      </c>
      <c r="C125" s="152">
        <f>+C13/10</f>
        <v>27347.781999999999</v>
      </c>
      <c r="D125" s="153">
        <f t="shared" si="37"/>
        <v>-12652.218000000001</v>
      </c>
    </row>
    <row r="126" spans="1:4" outlineLevel="1">
      <c r="A126" s="57" t="s">
        <v>87</v>
      </c>
      <c r="B126" s="152">
        <f>+B22/10</f>
        <v>60000</v>
      </c>
      <c r="C126" s="152">
        <f>+C22/10</f>
        <v>41530.832000000002</v>
      </c>
      <c r="D126" s="152">
        <f t="shared" si="37"/>
        <v>-18469.167999999998</v>
      </c>
    </row>
    <row r="127" spans="1:4" outlineLevel="1">
      <c r="A127" s="50" t="s">
        <v>88</v>
      </c>
      <c r="B127" s="152">
        <f>+B31/10</f>
        <v>20000</v>
      </c>
      <c r="C127" s="152">
        <f>+C31/10</f>
        <v>4848.0600000000004</v>
      </c>
      <c r="D127" s="152">
        <f t="shared" si="37"/>
        <v>-15151.939999999999</v>
      </c>
    </row>
    <row r="128" spans="1:4" outlineLevel="1">
      <c r="A128" s="67" t="s">
        <v>89</v>
      </c>
      <c r="B128" s="152">
        <f>+B40/10</f>
        <v>0</v>
      </c>
      <c r="C128" s="152">
        <f>+C40/10</f>
        <v>0</v>
      </c>
      <c r="D128" s="152">
        <f t="shared" si="37"/>
        <v>0</v>
      </c>
    </row>
    <row r="129" spans="1:7" outlineLevel="1">
      <c r="A129" s="47" t="s">
        <v>90</v>
      </c>
      <c r="B129" s="152">
        <f>+B43/10</f>
        <v>17000</v>
      </c>
      <c r="C129" s="152">
        <f>+C43/10</f>
        <v>14002.142000000002</v>
      </c>
      <c r="D129" s="152">
        <f t="shared" si="37"/>
        <v>-2997.8579999999984</v>
      </c>
    </row>
    <row r="130" spans="1:7" outlineLevel="1">
      <c r="A130" s="198" t="s">
        <v>91</v>
      </c>
      <c r="B130" s="152">
        <f>+B46/10</f>
        <v>0</v>
      </c>
      <c r="C130" s="152">
        <f>+C46/10</f>
        <v>0</v>
      </c>
      <c r="D130" s="152">
        <f t="shared" si="37"/>
        <v>0</v>
      </c>
    </row>
    <row r="131" spans="1:7" outlineLevel="1">
      <c r="A131" s="198" t="s">
        <v>92</v>
      </c>
      <c r="B131" s="152">
        <f>+B49/10</f>
        <v>0</v>
      </c>
      <c r="C131" s="152">
        <f>+C49/10</f>
        <v>0</v>
      </c>
      <c r="D131" s="152">
        <f t="shared" si="37"/>
        <v>0</v>
      </c>
    </row>
    <row r="132" spans="1:7" ht="18">
      <c r="A132" s="139" t="s">
        <v>93</v>
      </c>
      <c r="B132" s="126">
        <f t="shared" ref="B132:D133" si="40">+B114+B105+B55+B123</f>
        <v>2340010</v>
      </c>
      <c r="C132" s="126">
        <f t="shared" si="40"/>
        <v>2056633.99</v>
      </c>
      <c r="D132" s="126">
        <f t="shared" si="40"/>
        <v>-283376.01</v>
      </c>
      <c r="E132" s="15"/>
      <c r="F132" s="10"/>
      <c r="G132" s="41"/>
    </row>
    <row r="133" spans="1:7" outlineLevel="1">
      <c r="A133" s="44" t="s">
        <v>94</v>
      </c>
      <c r="B133" s="140">
        <f t="shared" si="40"/>
        <v>1152170</v>
      </c>
      <c r="C133" s="140">
        <f t="shared" si="40"/>
        <v>1097161.95</v>
      </c>
      <c r="D133" s="140">
        <f t="shared" si="40"/>
        <v>-55008.05</v>
      </c>
      <c r="E133" s="15"/>
      <c r="F133" s="10"/>
      <c r="G133" s="41"/>
    </row>
    <row r="134" spans="1:7" outlineLevel="1">
      <c r="A134" s="58" t="s">
        <v>95</v>
      </c>
      <c r="B134" s="140">
        <f>+B116+B107+B66+B125</f>
        <v>383980</v>
      </c>
      <c r="C134" s="140">
        <f>+C116+C107+C66+C125</f>
        <v>358379.45500000002</v>
      </c>
      <c r="D134" s="140">
        <f>+D116+D107+D66+D125</f>
        <v>-25600.544999999998</v>
      </c>
      <c r="E134" s="15"/>
      <c r="F134" s="10"/>
      <c r="G134" s="41"/>
    </row>
    <row r="135" spans="1:7" outlineLevel="1">
      <c r="A135" s="57" t="s">
        <v>96</v>
      </c>
      <c r="B135" s="140">
        <f>+B117+B108+B75+B126</f>
        <v>428620</v>
      </c>
      <c r="C135" s="140">
        <f>+C117+C108+C75+C126</f>
        <v>384457.08</v>
      </c>
      <c r="D135" s="140">
        <f>+D117+D108+D75+D126</f>
        <v>-44162.92</v>
      </c>
      <c r="E135" s="15"/>
      <c r="F135" s="10"/>
      <c r="G135" s="41"/>
    </row>
    <row r="136" spans="1:7" outlineLevel="1">
      <c r="A136" s="50" t="s">
        <v>97</v>
      </c>
      <c r="B136" s="140">
        <f>+B118+B109+B84+B127</f>
        <v>143800</v>
      </c>
      <c r="C136" s="140">
        <f>+C118+C109+C84+C127</f>
        <v>105920.15</v>
      </c>
      <c r="D136" s="140">
        <f>+D118+D109+D84+D127</f>
        <v>-37879.85</v>
      </c>
      <c r="E136" s="15"/>
      <c r="F136" s="10"/>
      <c r="G136" s="41"/>
    </row>
    <row r="137" spans="1:7" outlineLevel="1">
      <c r="A137" s="67" t="s">
        <v>98</v>
      </c>
      <c r="B137" s="140">
        <f>+B119+B110+B93+B128</f>
        <v>96480</v>
      </c>
      <c r="C137" s="140">
        <f>+C119+C110+C93+C128</f>
        <v>0</v>
      </c>
      <c r="D137" s="140">
        <f>+D119+D110+D93+D128</f>
        <v>-96480</v>
      </c>
      <c r="E137" s="15"/>
      <c r="F137" s="10"/>
      <c r="G137" s="41"/>
    </row>
    <row r="138" spans="1:7" outlineLevel="1">
      <c r="A138" s="47" t="s">
        <v>99</v>
      </c>
      <c r="B138" s="140">
        <f>+B129+B120+B111+B96</f>
        <v>116200</v>
      </c>
      <c r="C138" s="140">
        <f>+C129+C120+C111+C96</f>
        <v>110715.35500000001</v>
      </c>
      <c r="D138" s="140">
        <f>+D121+D112+D101+D130</f>
        <v>0</v>
      </c>
      <c r="E138" s="15"/>
      <c r="F138" s="10"/>
      <c r="G138" s="41"/>
    </row>
    <row r="139" spans="1:7" outlineLevel="1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>
      <c r="A141" s="7"/>
      <c r="B141" s="127"/>
      <c r="C141" s="127"/>
      <c r="D141" s="128"/>
      <c r="E141" s="15"/>
      <c r="F141" s="10"/>
      <c r="G141" s="41"/>
    </row>
    <row r="142" spans="1:7" ht="15.75">
      <c r="A142" s="177" t="s">
        <v>102</v>
      </c>
      <c r="B142" s="129">
        <f>+B52-B132</f>
        <v>634990</v>
      </c>
      <c r="C142" s="129">
        <f>+C52-C132</f>
        <v>67065.969999999972</v>
      </c>
      <c r="D142" s="129">
        <f>+D52-D132</f>
        <v>-567924.0299999998</v>
      </c>
      <c r="E142" s="19"/>
      <c r="F142" s="20"/>
      <c r="G142" s="42"/>
    </row>
    <row r="143" spans="1:7">
      <c r="A143" s="44" t="s">
        <v>103</v>
      </c>
      <c r="B143" s="178">
        <f>+B3-B133</f>
        <v>452830</v>
      </c>
      <c r="C143" s="178">
        <f>+C3-C133</f>
        <v>149249.85000000009</v>
      </c>
      <c r="D143" s="178">
        <f>+D3-D133</f>
        <v>-303580.14999999991</v>
      </c>
      <c r="E143" s="19"/>
      <c r="F143" s="20"/>
      <c r="G143" s="42"/>
    </row>
    <row r="144" spans="1:7">
      <c r="A144" s="58" t="s">
        <v>104</v>
      </c>
      <c r="B144" s="178">
        <f>+B13-B134</f>
        <v>16020</v>
      </c>
      <c r="C144" s="178">
        <f>+C13-C134</f>
        <v>-84901.635000000009</v>
      </c>
      <c r="D144" s="178">
        <f>+D13-D134</f>
        <v>-100921.63499999999</v>
      </c>
      <c r="E144" s="19"/>
      <c r="F144" s="20"/>
      <c r="G144" s="42"/>
    </row>
    <row r="145" spans="1:7">
      <c r="A145" s="57" t="s">
        <v>105</v>
      </c>
      <c r="B145" s="178">
        <f>+B22-B135</f>
        <v>171380</v>
      </c>
      <c r="C145" s="178">
        <f>+C22-C135</f>
        <v>30851.239999999991</v>
      </c>
      <c r="D145" s="178">
        <f>+D22-D135</f>
        <v>-140528.76</v>
      </c>
      <c r="E145" s="19"/>
      <c r="F145" s="20"/>
      <c r="G145" s="42"/>
    </row>
    <row r="146" spans="1:7">
      <c r="A146" s="50" t="s">
        <v>106</v>
      </c>
      <c r="B146" s="178">
        <f>+B31-B136</f>
        <v>56200</v>
      </c>
      <c r="C146" s="178">
        <f>+C31-C136</f>
        <v>-57439.549999999988</v>
      </c>
      <c r="D146" s="178">
        <f>+D31-D136</f>
        <v>-113639.54999999999</v>
      </c>
      <c r="E146" s="19"/>
      <c r="F146" s="20"/>
      <c r="G146" s="42"/>
    </row>
    <row r="147" spans="1:7">
      <c r="A147" s="61" t="s">
        <v>107</v>
      </c>
      <c r="B147" s="178">
        <f>+B40-B137</f>
        <v>-96480</v>
      </c>
      <c r="C147" s="178">
        <f>+C40-C137</f>
        <v>0</v>
      </c>
      <c r="D147" s="178">
        <f>+D40-D137</f>
        <v>96480</v>
      </c>
      <c r="E147" s="19"/>
      <c r="F147" s="20"/>
      <c r="G147" s="42"/>
    </row>
    <row r="148" spans="1:7">
      <c r="A148" s="62" t="s">
        <v>108</v>
      </c>
      <c r="B148" s="178">
        <f>+B43-B138</f>
        <v>53800</v>
      </c>
      <c r="C148" s="178">
        <f>+C43-C138</f>
        <v>29306.065000000002</v>
      </c>
      <c r="D148" s="178">
        <f>+D48-D139</f>
        <v>0</v>
      </c>
      <c r="E148" s="19"/>
      <c r="F148" s="20"/>
      <c r="G148" s="42"/>
    </row>
    <row r="149" spans="1:7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>
      <c r="D151" s="131"/>
      <c r="E151" s="21"/>
      <c r="F151" s="22"/>
      <c r="G151" s="43"/>
    </row>
    <row r="152" spans="1:7">
      <c r="A152" s="179" t="s">
        <v>111</v>
      </c>
      <c r="B152" s="180">
        <f>+B52/B132-1</f>
        <v>0.27136208819620422</v>
      </c>
      <c r="C152" s="180">
        <f>+C52/C132-1</f>
        <v>3.260957969482936E-2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3" priority="3" operator="lessThan">
      <formula>0</formula>
    </cfRule>
    <cfRule type="cellIs" dxfId="12" priority="4" operator="greaterThan">
      <formula>0</formula>
    </cfRule>
  </conditionalFormatting>
  <conditionalFormatting sqref="D4:D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{EA26E66F-1450-49F3-8D74-A15703A8776F}</x14:id>
        </ext>
      </extLst>
    </cfRule>
  </conditionalFormatting>
  <conditionalFormatting sqref="D14:D2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{A58D36DE-8089-464A-B0DA-5E774FF57010}</x14:id>
        </ext>
      </extLst>
    </cfRule>
  </conditionalFormatting>
  <conditionalFormatting sqref="D23:D3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{8020D5A3-A4AF-4C0E-84D5-BDEDEE4CF762}</x14:id>
        </ext>
      </extLst>
    </cfRule>
  </conditionalFormatting>
  <conditionalFormatting sqref="D32:D3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{0BF72F3D-EECD-4A43-AB6B-6833D831FF61}</x14:id>
        </ext>
      </extLst>
    </cfRule>
  </conditionalFormatting>
  <conditionalFormatting sqref="D36:D3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{2D94E68E-3944-4C3F-83D8-73D13B34DE3C}</x14:id>
        </ext>
      </extLst>
    </cfRule>
  </conditionalFormatting>
  <conditionalFormatting sqref="D41:D4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{5F6557BC-AAFC-44FF-A9C6-219F950B434D}</x14:id>
        </ext>
      </extLst>
    </cfRule>
  </conditionalFormatting>
  <conditionalFormatting sqref="D44:D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{B28D0ABA-B3C4-444B-B2CB-DA2BDBD4585C}</x14:id>
        </ext>
      </extLst>
    </cfRule>
  </conditionalFormatting>
  <conditionalFormatting sqref="D47:D4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{48B26535-B400-4722-840B-489AF1698B71}</x14:id>
        </ext>
      </extLst>
    </cfRule>
  </conditionalFormatting>
  <conditionalFormatting sqref="D50:D5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{7F1E0946-2127-416E-B420-7C2BDC972425}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26E66F-1450-49F3-8D74-A15703A877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A58D36DE-8089-464A-B0DA-5E774FF570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8020D5A3-A4AF-4C0E-84D5-BDEDEE4CF7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0BF72F3D-EECD-4A43-AB6B-6833D831FF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2D94E68E-3944-4C3F-83D8-73D13B34DE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5F6557BC-AAFC-44FF-A9C6-219F950B4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B28D0ABA-B3C4-444B-B2CB-DA2BDBD458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48B26535-B400-4722-840B-489AF1698B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7F1E0946-2127-416E-B420-7C2BDC972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52"/>
  <sheetViews>
    <sheetView zoomScale="90" zoomScaleNormal="90" workbookViewId="0">
      <pane ySplit="2" topLeftCell="A33" activePane="bottomLeft" state="frozen"/>
      <selection pane="bottomLeft"/>
    </sheetView>
  </sheetViews>
  <sheetFormatPr defaultRowHeight="14.25" outlineLevelRow="2"/>
  <cols>
    <col min="1" max="1" width="36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</cols>
  <sheetData>
    <row r="1" spans="1:22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>
      <c r="A3" s="44" t="s">
        <v>13</v>
      </c>
      <c r="B3" s="91">
        <f>SUM(B4:B12)</f>
        <v>1095000</v>
      </c>
      <c r="C3" s="91">
        <f>SUM(C4:C12)</f>
        <v>802309.32000000007</v>
      </c>
      <c r="D3" s="91">
        <f>SUM(D4:D12)</f>
        <v>-292690.67999999993</v>
      </c>
      <c r="E3" s="46">
        <f>SUM(E4:E12)</f>
        <v>668</v>
      </c>
      <c r="F3" s="46">
        <f>SUM(F4:F12)</f>
        <v>44.229722222222222</v>
      </c>
      <c r="G3" s="36"/>
      <c r="H3" s="45">
        <f t="shared" ref="H3:V3" si="0">SUM(H4:H12)</f>
        <v>222344.99999999997</v>
      </c>
      <c r="I3" s="46">
        <f t="shared" si="0"/>
        <v>176</v>
      </c>
      <c r="J3" s="46">
        <f t="shared" si="0"/>
        <v>12.149305555555557</v>
      </c>
      <c r="K3" s="45">
        <f t="shared" si="0"/>
        <v>227216.88</v>
      </c>
      <c r="L3" s="46">
        <f t="shared" si="0"/>
        <v>179</v>
      </c>
      <c r="M3" s="46">
        <f t="shared" si="0"/>
        <v>12.829861111111112</v>
      </c>
      <c r="N3" s="45">
        <f t="shared" si="0"/>
        <v>150117.84000000003</v>
      </c>
      <c r="O3" s="46">
        <f t="shared" si="0"/>
        <v>132</v>
      </c>
      <c r="P3" s="46">
        <f t="shared" si="0"/>
        <v>8.3894444444444431</v>
      </c>
      <c r="Q3" s="45">
        <f t="shared" si="0"/>
        <v>202629.59999999998</v>
      </c>
      <c r="R3" s="46">
        <f t="shared" si="0"/>
        <v>181</v>
      </c>
      <c r="S3" s="46">
        <f t="shared" si="0"/>
        <v>10.861111111111111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>
      <c r="A4" s="132" t="s">
        <v>14</v>
      </c>
      <c r="B4" s="92">
        <v>200000</v>
      </c>
      <c r="C4" s="92">
        <f>+H4+K4+N4+Q4+T4</f>
        <v>180045.72</v>
      </c>
      <c r="D4" s="93">
        <f t="shared" ref="D4:D12" si="1">+C4-B4</f>
        <v>-19954.28</v>
      </c>
      <c r="E4" s="18">
        <f>+I4+L4+O4+R4+U4</f>
        <v>190</v>
      </c>
      <c r="F4" s="18">
        <f>+J4+M4+P4+S4+V4</f>
        <v>10.951388888888888</v>
      </c>
      <c r="G4" s="37"/>
      <c r="H4" s="181">
        <v>43531.56</v>
      </c>
      <c r="I4" s="182">
        <v>40</v>
      </c>
      <c r="J4" s="183">
        <v>2.7048611111111112</v>
      </c>
      <c r="K4" s="184">
        <v>42694.559999999998</v>
      </c>
      <c r="L4" s="185">
        <v>50</v>
      </c>
      <c r="M4" s="186">
        <v>2.6493055555555554</v>
      </c>
      <c r="N4" s="184">
        <v>42541.2</v>
      </c>
      <c r="O4" s="185">
        <v>42</v>
      </c>
      <c r="P4" s="186">
        <v>2.5486111111111112</v>
      </c>
      <c r="Q4" s="187">
        <v>51278.400000000001</v>
      </c>
      <c r="R4" s="185">
        <v>58</v>
      </c>
      <c r="S4" s="186">
        <v>3.0486111111111112</v>
      </c>
      <c r="T4" s="187"/>
      <c r="U4" s="185"/>
      <c r="V4" s="186"/>
    </row>
    <row r="5" spans="1:22" outlineLevel="2">
      <c r="A5" s="133" t="s">
        <v>15</v>
      </c>
      <c r="B5" s="92">
        <v>200000</v>
      </c>
      <c r="C5" s="92">
        <f t="shared" ref="C5:C12" si="2">+H5+K5+N5+Q5+T5</f>
        <v>68235.48000000001</v>
      </c>
      <c r="D5" s="93">
        <f t="shared" si="1"/>
        <v>-131764.51999999999</v>
      </c>
      <c r="E5" s="18">
        <f t="shared" ref="E5:F12" si="3">+I5+L5+O5+R5+U5</f>
        <v>54</v>
      </c>
      <c r="F5" s="18">
        <f t="shared" si="3"/>
        <v>4.229166666666667</v>
      </c>
      <c r="G5" s="37"/>
      <c r="H5" s="181">
        <v>29704.32</v>
      </c>
      <c r="I5" s="182">
        <v>24</v>
      </c>
      <c r="J5" s="183">
        <v>1.8333333333333333</v>
      </c>
      <c r="K5" s="184">
        <v>38531.160000000003</v>
      </c>
      <c r="L5" s="185">
        <v>30</v>
      </c>
      <c r="M5" s="186">
        <v>2.3958333333333335</v>
      </c>
      <c r="N5" s="184"/>
      <c r="O5" s="185"/>
      <c r="P5" s="186"/>
      <c r="Q5" s="187"/>
      <c r="R5" s="185"/>
      <c r="S5" s="186"/>
      <c r="T5" s="187"/>
      <c r="U5" s="185"/>
      <c r="V5" s="186"/>
    </row>
    <row r="6" spans="1:22" outlineLevel="2">
      <c r="A6" s="133" t="s">
        <v>16</v>
      </c>
      <c r="B6" s="92">
        <v>200000</v>
      </c>
      <c r="C6" s="92">
        <f t="shared" si="2"/>
        <v>114000.48</v>
      </c>
      <c r="D6" s="93">
        <f t="shared" si="1"/>
        <v>-85999.52</v>
      </c>
      <c r="E6" s="18">
        <f t="shared" si="3"/>
        <v>103</v>
      </c>
      <c r="F6" s="18">
        <f t="shared" si="3"/>
        <v>7.32</v>
      </c>
      <c r="G6" s="37"/>
      <c r="H6" s="181">
        <v>25552.799999999999</v>
      </c>
      <c r="I6" s="182">
        <v>24</v>
      </c>
      <c r="J6" s="183">
        <v>1.5694444444444444</v>
      </c>
      <c r="K6" s="184">
        <v>30170.880000000001</v>
      </c>
      <c r="L6" s="185">
        <v>24</v>
      </c>
      <c r="M6" s="186">
        <v>2</v>
      </c>
      <c r="N6" s="184">
        <v>28129.68</v>
      </c>
      <c r="O6" s="185">
        <v>24</v>
      </c>
      <c r="P6" s="186">
        <v>1.82</v>
      </c>
      <c r="Q6" s="187">
        <v>30147.119999999999</v>
      </c>
      <c r="R6" s="185">
        <v>31</v>
      </c>
      <c r="S6" s="186">
        <v>1.9305555555555556</v>
      </c>
      <c r="T6" s="187"/>
      <c r="U6" s="185"/>
      <c r="V6" s="186"/>
    </row>
    <row r="7" spans="1:22" s="78" customFormat="1" outlineLevel="2">
      <c r="A7" s="362" t="s">
        <v>143</v>
      </c>
      <c r="B7" s="92">
        <v>200000</v>
      </c>
      <c r="C7" s="92">
        <f t="shared" si="2"/>
        <v>144231.84</v>
      </c>
      <c r="D7" s="360">
        <f t="shared" si="1"/>
        <v>-55768.160000000003</v>
      </c>
      <c r="E7" s="361">
        <f t="shared" si="3"/>
        <v>100</v>
      </c>
      <c r="F7" s="361">
        <f t="shared" si="3"/>
        <v>9.0972222222222232</v>
      </c>
      <c r="G7" s="70"/>
      <c r="H7" s="195">
        <v>37534.32</v>
      </c>
      <c r="I7" s="182">
        <v>27</v>
      </c>
      <c r="J7" s="183">
        <v>2.375</v>
      </c>
      <c r="K7" s="305">
        <v>41700.959999999999</v>
      </c>
      <c r="L7" s="306">
        <v>23</v>
      </c>
      <c r="M7" s="307">
        <v>2.5833333333333335</v>
      </c>
      <c r="N7" s="305">
        <v>29479.68</v>
      </c>
      <c r="O7" s="306">
        <v>19</v>
      </c>
      <c r="P7" s="307">
        <v>1.875</v>
      </c>
      <c r="Q7" s="309">
        <v>35516.879999999997</v>
      </c>
      <c r="R7" s="306">
        <v>31</v>
      </c>
      <c r="S7" s="307">
        <v>2.2638888888888888</v>
      </c>
      <c r="T7" s="194"/>
      <c r="U7" s="192"/>
      <c r="V7" s="193"/>
    </row>
    <row r="8" spans="1:22" outlineLevel="2">
      <c r="A8" s="132" t="s">
        <v>18</v>
      </c>
      <c r="B8" s="92">
        <v>30000</v>
      </c>
      <c r="C8" s="92">
        <f t="shared" si="2"/>
        <v>30353.399999999998</v>
      </c>
      <c r="D8" s="216">
        <f t="shared" si="1"/>
        <v>353.39999999999782</v>
      </c>
      <c r="E8" s="18">
        <f t="shared" si="3"/>
        <v>39</v>
      </c>
      <c r="F8" s="18">
        <f t="shared" si="3"/>
        <v>1.5694444444444444</v>
      </c>
      <c r="G8" s="37"/>
      <c r="H8" s="195">
        <v>7192.8</v>
      </c>
      <c r="I8" s="182">
        <v>9</v>
      </c>
      <c r="J8" s="183">
        <v>0.375</v>
      </c>
      <c r="K8" s="184">
        <v>7992</v>
      </c>
      <c r="L8" s="185">
        <v>10</v>
      </c>
      <c r="M8" s="186">
        <v>0.41666666666666669</v>
      </c>
      <c r="N8" s="184">
        <v>7780.32</v>
      </c>
      <c r="O8" s="185">
        <v>10</v>
      </c>
      <c r="P8" s="186">
        <v>0.39583333333333331</v>
      </c>
      <c r="Q8" s="187">
        <v>7388.28</v>
      </c>
      <c r="R8" s="185">
        <v>10</v>
      </c>
      <c r="S8" s="186">
        <v>0.38194444444444442</v>
      </c>
      <c r="T8" s="187"/>
      <c r="U8" s="185"/>
      <c r="V8" s="186"/>
    </row>
    <row r="9" spans="1:22" outlineLevel="2">
      <c r="A9" s="132" t="s">
        <v>49</v>
      </c>
      <c r="B9" s="92">
        <f>450000*0.5</f>
        <v>225000</v>
      </c>
      <c r="C9" s="92">
        <f t="shared" si="2"/>
        <v>192879.35999999999</v>
      </c>
      <c r="D9" s="93">
        <f t="shared" si="1"/>
        <v>-32120.640000000014</v>
      </c>
      <c r="E9" s="18">
        <f t="shared" si="3"/>
        <v>117</v>
      </c>
      <c r="F9" s="18">
        <f t="shared" si="3"/>
        <v>8.125</v>
      </c>
      <c r="G9" s="37"/>
      <c r="H9" s="195">
        <v>60259.68</v>
      </c>
      <c r="I9" s="182">
        <v>34</v>
      </c>
      <c r="J9" s="183">
        <v>2.5208333333333335</v>
      </c>
      <c r="K9" s="184">
        <v>48873.24</v>
      </c>
      <c r="L9" s="185">
        <v>29</v>
      </c>
      <c r="M9" s="186">
        <v>2.0763888888888888</v>
      </c>
      <c r="N9" s="184">
        <v>30106.080000000002</v>
      </c>
      <c r="O9" s="185">
        <v>21</v>
      </c>
      <c r="P9" s="186">
        <v>1.2708333333333333</v>
      </c>
      <c r="Q9" s="187">
        <v>53640.36</v>
      </c>
      <c r="R9" s="185">
        <v>33</v>
      </c>
      <c r="S9" s="186">
        <v>2.2569444444444446</v>
      </c>
      <c r="T9" s="187"/>
      <c r="U9" s="185"/>
      <c r="V9" s="186"/>
    </row>
    <row r="10" spans="1:22" s="78" customFormat="1" outlineLevel="2">
      <c r="A10" s="134" t="s">
        <v>144</v>
      </c>
      <c r="B10" s="94">
        <v>0</v>
      </c>
      <c r="C10" s="94">
        <f t="shared" si="2"/>
        <v>0</v>
      </c>
      <c r="D10" s="95">
        <f t="shared" si="1"/>
        <v>0</v>
      </c>
      <c r="E10" s="69">
        <f t="shared" si="3"/>
        <v>0</v>
      </c>
      <c r="F10" s="69">
        <f t="shared" si="3"/>
        <v>0</v>
      </c>
      <c r="G10" s="70"/>
      <c r="H10" s="188"/>
      <c r="I10" s="189"/>
      <c r="J10" s="190"/>
      <c r="K10" s="191"/>
      <c r="L10" s="192"/>
      <c r="M10" s="193"/>
      <c r="N10" s="191"/>
      <c r="O10" s="192"/>
      <c r="P10" s="193"/>
      <c r="Q10" s="194"/>
      <c r="R10" s="192"/>
      <c r="S10" s="193"/>
      <c r="T10" s="194"/>
      <c r="U10" s="192"/>
      <c r="V10" s="193"/>
    </row>
    <row r="11" spans="1:22" s="78" customFormat="1" outlineLevel="2">
      <c r="A11" s="301" t="s">
        <v>132</v>
      </c>
      <c r="B11" s="302">
        <v>40000</v>
      </c>
      <c r="C11" s="215">
        <f>+H11+K11+N11+Q11+T11</f>
        <v>72563.040000000008</v>
      </c>
      <c r="D11" s="216">
        <f t="shared" si="1"/>
        <v>32563.040000000008</v>
      </c>
      <c r="E11" s="217">
        <f t="shared" si="3"/>
        <v>65</v>
      </c>
      <c r="F11" s="217">
        <f t="shared" si="3"/>
        <v>2.9375</v>
      </c>
      <c r="G11" s="70"/>
      <c r="H11" s="195">
        <v>18569.52</v>
      </c>
      <c r="I11" s="182">
        <v>18</v>
      </c>
      <c r="J11" s="183">
        <v>0.77083333333333337</v>
      </c>
      <c r="K11" s="305">
        <v>17254.080000000002</v>
      </c>
      <c r="L11" s="306">
        <v>13</v>
      </c>
      <c r="M11" s="307">
        <v>0.70833333333333337</v>
      </c>
      <c r="N11" s="305">
        <v>12080.88</v>
      </c>
      <c r="O11" s="306">
        <v>16</v>
      </c>
      <c r="P11" s="307">
        <v>0.47916666666666669</v>
      </c>
      <c r="Q11" s="309">
        <v>24658.560000000001</v>
      </c>
      <c r="R11" s="306">
        <v>18</v>
      </c>
      <c r="S11" s="307">
        <v>0.97916666666666663</v>
      </c>
      <c r="T11" s="309"/>
      <c r="U11" s="192"/>
      <c r="V11" s="193"/>
    </row>
    <row r="12" spans="1:22" s="78" customFormat="1" outlineLevel="2">
      <c r="A12" s="308" t="s">
        <v>133</v>
      </c>
      <c r="B12" s="330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2">
      <c r="A13" s="58" t="s">
        <v>22</v>
      </c>
      <c r="B13" s="96">
        <f>SUM(B14:B21)</f>
        <v>865000</v>
      </c>
      <c r="C13" s="96">
        <f t="shared" ref="C13:D13" si="4">SUM(C14:C21)</f>
        <v>699629.40000000014</v>
      </c>
      <c r="D13" s="96">
        <f t="shared" si="4"/>
        <v>-165370.6</v>
      </c>
      <c r="E13" s="54">
        <f>SUM(E14:E21)</f>
        <v>559</v>
      </c>
      <c r="F13" s="54">
        <f>SUM(F14:F21)</f>
        <v>38.163194444444443</v>
      </c>
      <c r="G13" s="37"/>
      <c r="H13" s="53">
        <f t="shared" ref="H13" si="5">SUM(H14:H21)</f>
        <v>167973.47999999998</v>
      </c>
      <c r="I13" s="54">
        <f>SUM(I14:I21)</f>
        <v>108</v>
      </c>
      <c r="J13" s="54">
        <f>SUM(J14:J21)</f>
        <v>9.0729166666666661</v>
      </c>
      <c r="K13" s="53">
        <f t="shared" ref="K13" si="6">SUM(K14:K21)</f>
        <v>139911.84</v>
      </c>
      <c r="L13" s="54">
        <f>SUM(L14:L21)</f>
        <v>123</v>
      </c>
      <c r="M13" s="54">
        <f>SUM(M14:M21)</f>
        <v>8.0763888888888893</v>
      </c>
      <c r="N13" s="53">
        <f t="shared" ref="N13" si="7">SUM(N14:N21)</f>
        <v>164252.88</v>
      </c>
      <c r="O13" s="54">
        <f>SUM(O14:O21)</f>
        <v>133</v>
      </c>
      <c r="P13" s="54">
        <f>SUM(P14:P21)</f>
        <v>9.1319444444444464</v>
      </c>
      <c r="Q13" s="53">
        <f t="shared" ref="Q13" si="8">SUM(Q14:Q21)</f>
        <v>227491.19999999998</v>
      </c>
      <c r="R13" s="54">
        <f>SUM(R14:R21)</f>
        <v>195</v>
      </c>
      <c r="S13" s="54">
        <f>SUM(S14:S21)</f>
        <v>11.881944444444445</v>
      </c>
      <c r="T13" s="53">
        <f t="shared" ref="T13" si="9">SUM(T14:T21)</f>
        <v>0</v>
      </c>
      <c r="U13" s="54">
        <f>SUM(U14:U21)</f>
        <v>0</v>
      </c>
      <c r="V13" s="54">
        <f>SUM(V14:V21)</f>
        <v>0</v>
      </c>
    </row>
    <row r="14" spans="1:22" outlineLevel="2">
      <c r="A14" s="133" t="s">
        <v>23</v>
      </c>
      <c r="B14" s="97">
        <v>200000</v>
      </c>
      <c r="C14" s="92">
        <f t="shared" ref="C14:C51" si="10">+H14+K14+N14+Q14+T14</f>
        <v>231180.48</v>
      </c>
      <c r="D14" s="93">
        <f t="shared" ref="D14:D21" si="11">+C14-B14</f>
        <v>31180.48000000001</v>
      </c>
      <c r="E14" s="18">
        <f t="shared" ref="E14:F21" si="12">+I14+L14+O14+R14+U14</f>
        <v>211</v>
      </c>
      <c r="F14" s="18">
        <f t="shared" si="12"/>
        <v>14.142361111111111</v>
      </c>
      <c r="G14" s="37"/>
      <c r="H14" s="181">
        <v>59177.52</v>
      </c>
      <c r="I14" s="182">
        <v>43</v>
      </c>
      <c r="J14" s="183">
        <v>3.6493055555555554</v>
      </c>
      <c r="K14" s="184">
        <v>63120.6</v>
      </c>
      <c r="L14" s="185">
        <v>61</v>
      </c>
      <c r="M14" s="186">
        <v>3.8402777777777777</v>
      </c>
      <c r="N14" s="184">
        <v>40555.08</v>
      </c>
      <c r="O14" s="185">
        <v>33</v>
      </c>
      <c r="P14" s="186">
        <v>2.4861111111111112</v>
      </c>
      <c r="Q14" s="187">
        <v>68327.28</v>
      </c>
      <c r="R14" s="185">
        <v>74</v>
      </c>
      <c r="S14" s="186">
        <v>4.166666666666667</v>
      </c>
      <c r="T14" s="187"/>
      <c r="U14" s="185"/>
      <c r="V14" s="186"/>
    </row>
    <row r="15" spans="1:22" s="226" customFormat="1" outlineLevel="2">
      <c r="A15" s="165" t="s">
        <v>141</v>
      </c>
      <c r="B15" s="97">
        <v>200000</v>
      </c>
      <c r="C15" s="215">
        <f t="shared" si="10"/>
        <v>209362.32</v>
      </c>
      <c r="D15" s="216">
        <f t="shared" si="11"/>
        <v>9362.320000000007</v>
      </c>
      <c r="E15" s="217">
        <f t="shared" si="12"/>
        <v>192</v>
      </c>
      <c r="F15" s="217">
        <f t="shared" si="12"/>
        <v>12.763888888888888</v>
      </c>
      <c r="G15" s="218"/>
      <c r="H15" s="219">
        <v>60548.04</v>
      </c>
      <c r="I15" s="220">
        <v>51</v>
      </c>
      <c r="J15" s="221">
        <v>3.6736111111111112</v>
      </c>
      <c r="K15" s="222">
        <v>53082</v>
      </c>
      <c r="L15" s="223">
        <v>47</v>
      </c>
      <c r="M15" s="224">
        <v>3.2013888888888888</v>
      </c>
      <c r="N15" s="222">
        <v>55081.08</v>
      </c>
      <c r="O15" s="223">
        <v>52</v>
      </c>
      <c r="P15" s="224">
        <v>3.4097222222222223</v>
      </c>
      <c r="Q15" s="225">
        <v>40651.199999999997</v>
      </c>
      <c r="R15" s="223">
        <v>42</v>
      </c>
      <c r="S15" s="224">
        <v>2.4791666666666665</v>
      </c>
      <c r="T15" s="225"/>
      <c r="U15" s="223"/>
      <c r="V15" s="224"/>
    </row>
    <row r="16" spans="1:22" s="226" customFormat="1" outlineLevel="2">
      <c r="A16" s="165" t="s">
        <v>134</v>
      </c>
      <c r="B16" s="97">
        <v>200000</v>
      </c>
      <c r="C16" s="215">
        <f t="shared" si="10"/>
        <v>33942.239999999998</v>
      </c>
      <c r="D16" s="216">
        <f t="shared" si="11"/>
        <v>-166057.76</v>
      </c>
      <c r="E16" s="217">
        <f t="shared" si="12"/>
        <v>27</v>
      </c>
      <c r="F16" s="217">
        <f t="shared" si="12"/>
        <v>2.25</v>
      </c>
      <c r="G16" s="218"/>
      <c r="H16" s="219"/>
      <c r="I16" s="220"/>
      <c r="J16" s="221"/>
      <c r="K16" s="222"/>
      <c r="L16" s="223"/>
      <c r="M16" s="224"/>
      <c r="N16" s="222">
        <v>15085.44</v>
      </c>
      <c r="O16" s="223">
        <v>12</v>
      </c>
      <c r="P16" s="224">
        <v>1</v>
      </c>
      <c r="Q16" s="225">
        <v>18856.8</v>
      </c>
      <c r="R16" s="223">
        <v>15</v>
      </c>
      <c r="S16" s="224">
        <v>1.25</v>
      </c>
      <c r="T16" s="225"/>
      <c r="U16" s="223"/>
      <c r="V16" s="224"/>
    </row>
    <row r="17" spans="1:22" s="226" customFormat="1" outlineLevel="2">
      <c r="A17" s="165" t="s">
        <v>145</v>
      </c>
      <c r="B17" s="97">
        <v>0</v>
      </c>
      <c r="C17" s="215">
        <f t="shared" si="10"/>
        <v>0</v>
      </c>
      <c r="D17" s="216">
        <v>0</v>
      </c>
      <c r="E17" s="217">
        <f t="shared" si="12"/>
        <v>0</v>
      </c>
      <c r="F17" s="217">
        <f t="shared" si="12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2" s="226" customFormat="1" outlineLevel="2">
      <c r="A18" s="165" t="s">
        <v>125</v>
      </c>
      <c r="B18" s="215">
        <f>450000/2</f>
        <v>225000</v>
      </c>
      <c r="C18" s="215">
        <f t="shared" si="10"/>
        <v>162334.79999999999</v>
      </c>
      <c r="D18" s="216">
        <f t="shared" si="11"/>
        <v>-62665.200000000012</v>
      </c>
      <c r="E18" s="217">
        <f t="shared" si="12"/>
        <v>85</v>
      </c>
      <c r="F18" s="217">
        <f t="shared" si="12"/>
        <v>6.2638888888888884</v>
      </c>
      <c r="G18" s="218"/>
      <c r="H18" s="219">
        <v>48247.92</v>
      </c>
      <c r="I18" s="220">
        <v>14</v>
      </c>
      <c r="J18" s="221">
        <v>1.75</v>
      </c>
      <c r="K18" s="222"/>
      <c r="L18" s="223"/>
      <c r="M18" s="224"/>
      <c r="N18" s="222">
        <v>35523.360000000001</v>
      </c>
      <c r="O18" s="223">
        <v>22</v>
      </c>
      <c r="P18" s="224">
        <v>1.4583333333333333</v>
      </c>
      <c r="Q18" s="225">
        <v>78563.520000000004</v>
      </c>
      <c r="R18" s="223">
        <v>49</v>
      </c>
      <c r="S18" s="224">
        <v>3.0555555555555554</v>
      </c>
      <c r="T18" s="225"/>
      <c r="U18" s="223"/>
      <c r="V18" s="224"/>
    </row>
    <row r="19" spans="1:22" s="78" customFormat="1" outlineLevel="2">
      <c r="A19" s="134" t="s">
        <v>28</v>
      </c>
      <c r="B19" s="94">
        <v>0</v>
      </c>
      <c r="C19" s="94">
        <f t="shared" si="10"/>
        <v>0</v>
      </c>
      <c r="D19" s="95">
        <f t="shared" si="11"/>
        <v>0</v>
      </c>
      <c r="E19" s="69">
        <f t="shared" si="12"/>
        <v>0</v>
      </c>
      <c r="F19" s="69">
        <f t="shared" si="12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2" s="226" customFormat="1" outlineLevel="2">
      <c r="A20" s="165" t="s">
        <v>146</v>
      </c>
      <c r="B20" s="215">
        <v>40000</v>
      </c>
      <c r="C20" s="215">
        <f t="shared" si="10"/>
        <v>62809.560000000005</v>
      </c>
      <c r="D20" s="216">
        <f t="shared" si="11"/>
        <v>22809.560000000005</v>
      </c>
      <c r="E20" s="217">
        <f t="shared" si="12"/>
        <v>44</v>
      </c>
      <c r="F20" s="217">
        <f t="shared" si="12"/>
        <v>2.7430555555555554</v>
      </c>
      <c r="G20" s="218"/>
      <c r="H20" s="219"/>
      <c r="I20" s="220"/>
      <c r="J20" s="221"/>
      <c r="K20" s="222">
        <v>23709.24</v>
      </c>
      <c r="L20" s="223">
        <v>15</v>
      </c>
      <c r="M20" s="224">
        <v>1.0347222222222223</v>
      </c>
      <c r="N20" s="222">
        <v>18007.919999999998</v>
      </c>
      <c r="O20" s="223">
        <v>14</v>
      </c>
      <c r="P20" s="224">
        <v>0.77777777777777779</v>
      </c>
      <c r="Q20" s="225">
        <v>21092.400000000001</v>
      </c>
      <c r="R20" s="223">
        <v>15</v>
      </c>
      <c r="S20" s="224">
        <v>0.93055555555555558</v>
      </c>
      <c r="T20" s="225"/>
      <c r="U20" s="223"/>
      <c r="V20" s="224"/>
    </row>
    <row r="21" spans="1:22" s="226" customFormat="1" outlineLevel="2">
      <c r="A21" s="165" t="s">
        <v>147</v>
      </c>
      <c r="B21" s="215">
        <v>0</v>
      </c>
      <c r="C21" s="215">
        <f t="shared" si="10"/>
        <v>0</v>
      </c>
      <c r="D21" s="216">
        <f t="shared" si="11"/>
        <v>0</v>
      </c>
      <c r="E21" s="217">
        <f t="shared" si="12"/>
        <v>0</v>
      </c>
      <c r="F21" s="217">
        <f t="shared" si="12"/>
        <v>0</v>
      </c>
      <c r="G21" s="218"/>
      <c r="H21" s="219"/>
      <c r="I21" s="220"/>
      <c r="J21" s="221"/>
      <c r="K21" s="222"/>
      <c r="L21" s="223"/>
      <c r="M21" s="224"/>
      <c r="N21" s="222"/>
      <c r="O21" s="223"/>
      <c r="P21" s="224"/>
      <c r="Q21" s="225"/>
      <c r="R21" s="223"/>
      <c r="S21" s="224"/>
      <c r="T21" s="225"/>
      <c r="U21" s="223"/>
      <c r="V21" s="224"/>
    </row>
    <row r="22" spans="1:22">
      <c r="A22" s="57" t="s">
        <v>29</v>
      </c>
      <c r="B22" s="98">
        <f>SUM(B23:B30)</f>
        <v>1025000</v>
      </c>
      <c r="C22" s="98">
        <f>SUM(C23:C30)</f>
        <v>841984.2</v>
      </c>
      <c r="D22" s="98">
        <f>SUM(D23:D30)</f>
        <v>-183015.80000000005</v>
      </c>
      <c r="E22" s="56">
        <f>SUM(E23:E30)</f>
        <v>728</v>
      </c>
      <c r="F22" s="56">
        <f>SUM(F23:F30)</f>
        <v>47.378472222222229</v>
      </c>
      <c r="G22" s="37"/>
      <c r="H22" s="55">
        <f t="shared" ref="H22:V22" si="13">SUM(H23:H30)</f>
        <v>179641.8</v>
      </c>
      <c r="I22" s="56">
        <f t="shared" si="13"/>
        <v>126</v>
      </c>
      <c r="J22" s="56">
        <f t="shared" si="13"/>
        <v>9.8333333333333339</v>
      </c>
      <c r="K22" s="55">
        <f t="shared" si="13"/>
        <v>174237.47999999998</v>
      </c>
      <c r="L22" s="56">
        <f t="shared" si="13"/>
        <v>161</v>
      </c>
      <c r="M22" s="56">
        <f t="shared" si="13"/>
        <v>10.520833333333334</v>
      </c>
      <c r="N22" s="55">
        <f t="shared" si="13"/>
        <v>198744.84</v>
      </c>
      <c r="O22" s="56">
        <f t="shared" si="13"/>
        <v>174</v>
      </c>
      <c r="P22" s="56">
        <f t="shared" si="13"/>
        <v>10.46875</v>
      </c>
      <c r="Q22" s="55">
        <f t="shared" si="13"/>
        <v>289360.08</v>
      </c>
      <c r="R22" s="56">
        <f t="shared" si="13"/>
        <v>267</v>
      </c>
      <c r="S22" s="56">
        <f t="shared" si="13"/>
        <v>16.555555555555557</v>
      </c>
      <c r="T22" s="55">
        <f t="shared" si="13"/>
        <v>0</v>
      </c>
      <c r="U22" s="56">
        <f t="shared" si="13"/>
        <v>0</v>
      </c>
      <c r="V22" s="56">
        <f t="shared" si="13"/>
        <v>0</v>
      </c>
    </row>
    <row r="23" spans="1:22" s="226" customFormat="1" outlineLevel="2">
      <c r="A23" s="165" t="s">
        <v>30</v>
      </c>
      <c r="B23" s="215">
        <f>200000</f>
        <v>200000</v>
      </c>
      <c r="C23" s="215">
        <f t="shared" si="10"/>
        <v>202815.35999999999</v>
      </c>
      <c r="D23" s="216">
        <f t="shared" ref="D23:D51" si="14">+C23-B23</f>
        <v>2815.359999999986</v>
      </c>
      <c r="E23" s="217">
        <f t="shared" ref="E23:F30" si="15">+I23+L23+O23+R23+U23</f>
        <v>176</v>
      </c>
      <c r="F23" s="217">
        <f t="shared" si="15"/>
        <v>12.256944444444443</v>
      </c>
      <c r="G23" s="218"/>
      <c r="H23" s="219">
        <v>48837.599999999999</v>
      </c>
      <c r="I23" s="220">
        <v>37</v>
      </c>
      <c r="J23" s="221">
        <v>3</v>
      </c>
      <c r="K23" s="222">
        <v>45409.68</v>
      </c>
      <c r="L23" s="223">
        <v>39</v>
      </c>
      <c r="M23" s="224">
        <v>2.75</v>
      </c>
      <c r="N23" s="222">
        <v>46875.24</v>
      </c>
      <c r="O23" s="223">
        <v>45</v>
      </c>
      <c r="P23" s="224">
        <v>2.8472222222222223</v>
      </c>
      <c r="Q23" s="225">
        <v>61692.84</v>
      </c>
      <c r="R23" s="223">
        <v>55</v>
      </c>
      <c r="S23" s="224">
        <v>3.6597222222222223</v>
      </c>
      <c r="T23" s="225"/>
      <c r="U23" s="223"/>
      <c r="V23" s="224"/>
    </row>
    <row r="24" spans="1:22" s="226" customFormat="1" outlineLevel="2">
      <c r="A24" s="165" t="s">
        <v>117</v>
      </c>
      <c r="B24" s="215">
        <f t="shared" ref="B24:B26" si="16">200000</f>
        <v>200000</v>
      </c>
      <c r="C24" s="215">
        <f t="shared" si="10"/>
        <v>188329.32</v>
      </c>
      <c r="D24" s="216">
        <f t="shared" si="14"/>
        <v>-11670.679999999993</v>
      </c>
      <c r="E24" s="217">
        <f t="shared" si="15"/>
        <v>190</v>
      </c>
      <c r="F24" s="217">
        <f t="shared" si="15"/>
        <v>11.364583333333334</v>
      </c>
      <c r="G24" s="218"/>
      <c r="H24" s="219">
        <v>36540.720000000001</v>
      </c>
      <c r="I24" s="220">
        <v>32</v>
      </c>
      <c r="J24" s="221">
        <v>2.2638888888888888</v>
      </c>
      <c r="K24" s="222">
        <v>44569.440000000002</v>
      </c>
      <c r="L24" s="223">
        <v>48</v>
      </c>
      <c r="M24" s="224">
        <v>2.6944444444444446</v>
      </c>
      <c r="N24" s="222">
        <v>47780.28</v>
      </c>
      <c r="O24" s="223">
        <v>50</v>
      </c>
      <c r="P24" s="224">
        <v>2.8506944444444446</v>
      </c>
      <c r="Q24" s="225">
        <v>59438.879999999997</v>
      </c>
      <c r="R24" s="223">
        <v>60</v>
      </c>
      <c r="S24" s="224">
        <v>3.5555555555555554</v>
      </c>
      <c r="T24" s="225"/>
      <c r="U24" s="223"/>
      <c r="V24" s="224"/>
    </row>
    <row r="25" spans="1:22" s="226" customFormat="1" outlineLevel="2">
      <c r="A25" s="165" t="s">
        <v>118</v>
      </c>
      <c r="B25" s="215">
        <f t="shared" si="16"/>
        <v>200000</v>
      </c>
      <c r="C25" s="215">
        <f t="shared" si="10"/>
        <v>154090.07999999999</v>
      </c>
      <c r="D25" s="216">
        <f t="shared" si="14"/>
        <v>-45909.920000000013</v>
      </c>
      <c r="E25" s="217">
        <f t="shared" si="15"/>
        <v>146</v>
      </c>
      <c r="F25" s="217">
        <f t="shared" si="15"/>
        <v>9.3055555555555554</v>
      </c>
      <c r="G25" s="218"/>
      <c r="H25" s="219">
        <v>34700.400000000001</v>
      </c>
      <c r="I25" s="220">
        <v>27</v>
      </c>
      <c r="J25" s="221">
        <v>2.1944444444444446</v>
      </c>
      <c r="K25" s="222">
        <v>41467.68</v>
      </c>
      <c r="L25" s="223">
        <v>38</v>
      </c>
      <c r="M25" s="224">
        <v>2.5</v>
      </c>
      <c r="N25" s="222">
        <v>16962.48</v>
      </c>
      <c r="O25" s="223">
        <v>20</v>
      </c>
      <c r="P25" s="224">
        <v>1</v>
      </c>
      <c r="Q25" s="225">
        <v>60959.519999999997</v>
      </c>
      <c r="R25" s="223">
        <v>61</v>
      </c>
      <c r="S25" s="224">
        <v>3.6111111111111112</v>
      </c>
      <c r="T25" s="225"/>
      <c r="U25" s="223"/>
      <c r="V25" s="224"/>
    </row>
    <row r="26" spans="1:22" s="226" customFormat="1" outlineLevel="2">
      <c r="A26" s="165" t="s">
        <v>33</v>
      </c>
      <c r="B26" s="215">
        <f t="shared" si="16"/>
        <v>200000</v>
      </c>
      <c r="C26" s="215">
        <f t="shared" si="10"/>
        <v>134463.24</v>
      </c>
      <c r="D26" s="216">
        <f t="shared" si="14"/>
        <v>-65536.760000000009</v>
      </c>
      <c r="E26" s="217">
        <f t="shared" si="15"/>
        <v>129</v>
      </c>
      <c r="F26" s="217">
        <f t="shared" si="15"/>
        <v>8.0763888888888893</v>
      </c>
      <c r="G26" s="218"/>
      <c r="H26" s="219"/>
      <c r="I26" s="220"/>
      <c r="J26" s="221"/>
      <c r="K26" s="222">
        <v>42790.68</v>
      </c>
      <c r="L26" s="223">
        <v>36</v>
      </c>
      <c r="M26" s="224">
        <v>2.5763888888888888</v>
      </c>
      <c r="N26" s="222">
        <v>23682.240000000002</v>
      </c>
      <c r="O26" s="223">
        <v>26</v>
      </c>
      <c r="P26" s="224">
        <v>1.3888888888888888</v>
      </c>
      <c r="Q26" s="225">
        <v>67990.320000000007</v>
      </c>
      <c r="R26" s="223">
        <v>67</v>
      </c>
      <c r="S26" s="224">
        <v>4.1111111111111107</v>
      </c>
      <c r="T26" s="225"/>
      <c r="U26" s="223"/>
      <c r="V26" s="224"/>
    </row>
    <row r="27" spans="1:22" s="226" customFormat="1" outlineLevel="2">
      <c r="A27" s="165" t="s">
        <v>125</v>
      </c>
      <c r="B27" s="92">
        <f>450000*0.5</f>
        <v>225000</v>
      </c>
      <c r="C27" s="215">
        <f t="shared" si="10"/>
        <v>162286.19999999998</v>
      </c>
      <c r="D27" s="216">
        <f t="shared" si="14"/>
        <v>-62713.800000000017</v>
      </c>
      <c r="E27" s="217">
        <f t="shared" si="15"/>
        <v>87</v>
      </c>
      <c r="F27" s="217">
        <f t="shared" si="15"/>
        <v>6.375</v>
      </c>
      <c r="G27" s="218"/>
      <c r="H27" s="219">
        <v>59563.08</v>
      </c>
      <c r="I27" s="220">
        <v>30</v>
      </c>
      <c r="J27" s="221">
        <v>2.375</v>
      </c>
      <c r="K27" s="222"/>
      <c r="L27" s="223"/>
      <c r="M27" s="224"/>
      <c r="N27" s="222">
        <v>63444.6</v>
      </c>
      <c r="O27" s="223">
        <v>33</v>
      </c>
      <c r="P27" s="224">
        <v>2.3819444444444446</v>
      </c>
      <c r="Q27" s="225">
        <v>39278.519999999997</v>
      </c>
      <c r="R27" s="223">
        <v>24</v>
      </c>
      <c r="S27" s="224">
        <v>1.6180555555555556</v>
      </c>
      <c r="T27" s="225"/>
      <c r="U27" s="223"/>
      <c r="V27" s="224"/>
    </row>
    <row r="28" spans="1:22" s="78" customFormat="1" outlineLevel="2">
      <c r="A28" s="134" t="s">
        <v>28</v>
      </c>
      <c r="B28" s="94">
        <v>0</v>
      </c>
      <c r="C28" s="94">
        <f t="shared" si="10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2" s="226" customFormat="1" outlineLevel="2">
      <c r="A29" s="165" t="s">
        <v>142</v>
      </c>
      <c r="B29" s="215">
        <v>0</v>
      </c>
      <c r="C29" s="215">
        <f t="shared" si="10"/>
        <v>0</v>
      </c>
      <c r="D29" s="216">
        <f t="shared" si="14"/>
        <v>0</v>
      </c>
      <c r="E29" s="217">
        <f t="shared" si="15"/>
        <v>0</v>
      </c>
      <c r="F29" s="217">
        <f t="shared" si="15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2" s="78" customFormat="1" outlineLevel="2">
      <c r="A30" s="134" t="s">
        <v>21</v>
      </c>
      <c r="B30" s="94">
        <v>0</v>
      </c>
      <c r="C30" s="94">
        <f t="shared" si="10"/>
        <v>0</v>
      </c>
      <c r="D30" s="95">
        <f t="shared" si="14"/>
        <v>0</v>
      </c>
      <c r="E30" s="69">
        <f t="shared" si="15"/>
        <v>0</v>
      </c>
      <c r="F30" s="69">
        <f t="shared" si="15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2">
      <c r="A31" s="50" t="s">
        <v>34</v>
      </c>
      <c r="B31" s="99">
        <f>SUM(B32:B39)</f>
        <v>0</v>
      </c>
      <c r="C31" s="99">
        <f t="shared" ref="C31:D31" si="17">SUM(C32:C39)</f>
        <v>0</v>
      </c>
      <c r="D31" s="99">
        <f t="shared" si="17"/>
        <v>0</v>
      </c>
      <c r="E31" s="52">
        <f>SUM(E32:E39)</f>
        <v>0</v>
      </c>
      <c r="F31" s="52">
        <f>SUM(F32:F39)</f>
        <v>0</v>
      </c>
      <c r="G31" s="37"/>
      <c r="H31" s="51">
        <f t="shared" ref="H31" si="18">SUM(H32:H39)</f>
        <v>0</v>
      </c>
      <c r="I31" s="52">
        <f>SUM(I32:I39)</f>
        <v>0</v>
      </c>
      <c r="J31" s="52">
        <f>SUM(J32:J39)</f>
        <v>0</v>
      </c>
      <c r="K31" s="51">
        <f t="shared" ref="K31" si="19">SUM(K32:K39)</f>
        <v>0</v>
      </c>
      <c r="L31" s="52">
        <f>SUM(L32:L39)</f>
        <v>0</v>
      </c>
      <c r="M31" s="52">
        <f>SUM(M32:M39)</f>
        <v>0</v>
      </c>
      <c r="N31" s="51">
        <f t="shared" ref="N31" si="20">SUM(N32:N39)</f>
        <v>0</v>
      </c>
      <c r="O31" s="52">
        <f>SUM(O32:O39)</f>
        <v>0</v>
      </c>
      <c r="P31" s="52">
        <f>SUM(P32:P39)</f>
        <v>0</v>
      </c>
      <c r="Q31" s="51">
        <f t="shared" ref="Q31" si="21">SUM(Q32:Q39)</f>
        <v>0</v>
      </c>
      <c r="R31" s="52">
        <f>SUM(R32:R39)</f>
        <v>0</v>
      </c>
      <c r="S31" s="52">
        <f>SUM(S32:S39)</f>
        <v>0</v>
      </c>
      <c r="T31" s="51">
        <f t="shared" ref="T31" si="22">SUM(T32:T39)</f>
        <v>0</v>
      </c>
      <c r="U31" s="52">
        <f>SUM(U32:U39)</f>
        <v>0</v>
      </c>
      <c r="V31" s="52">
        <f>SUM(V32:V39)</f>
        <v>0</v>
      </c>
    </row>
    <row r="32" spans="1:22" s="226" customFormat="1" outlineLevel="2">
      <c r="A32" s="165" t="s">
        <v>138</v>
      </c>
      <c r="B32" s="215">
        <v>0</v>
      </c>
      <c r="C32" s="215">
        <f t="shared" si="10"/>
        <v>0</v>
      </c>
      <c r="D32" s="216">
        <f t="shared" si="14"/>
        <v>0</v>
      </c>
      <c r="E32" s="217">
        <f t="shared" ref="E32:F39" si="23">+I32+L32+O32+R32+U32</f>
        <v>0</v>
      </c>
      <c r="F32" s="217">
        <f t="shared" si="23"/>
        <v>0</v>
      </c>
      <c r="G32" s="218"/>
      <c r="H32" s="219"/>
      <c r="I32" s="220"/>
      <c r="J32" s="221"/>
      <c r="K32" s="222"/>
      <c r="L32" s="223"/>
      <c r="M32" s="224"/>
      <c r="N32" s="222"/>
      <c r="O32" s="223"/>
      <c r="P32" s="224"/>
      <c r="Q32" s="225"/>
      <c r="R32" s="223"/>
      <c r="S32" s="224"/>
      <c r="T32" s="225"/>
      <c r="U32" s="223"/>
      <c r="V32" s="224"/>
    </row>
    <row r="33" spans="1:22" s="226" customFormat="1" outlineLevel="2">
      <c r="A33" s="165" t="s">
        <v>36</v>
      </c>
      <c r="B33" s="215">
        <v>0</v>
      </c>
      <c r="C33" s="215">
        <f t="shared" si="10"/>
        <v>0</v>
      </c>
      <c r="D33" s="216">
        <f t="shared" si="14"/>
        <v>0</v>
      </c>
      <c r="E33" s="217">
        <f t="shared" si="23"/>
        <v>0</v>
      </c>
      <c r="F33" s="217">
        <f t="shared" si="23"/>
        <v>0</v>
      </c>
      <c r="G33" s="218"/>
      <c r="H33" s="219"/>
      <c r="I33" s="220"/>
      <c r="J33" s="221"/>
      <c r="K33" s="222"/>
      <c r="L33" s="223"/>
      <c r="M33" s="224"/>
      <c r="N33" s="222"/>
      <c r="O33" s="223"/>
      <c r="P33" s="224"/>
      <c r="Q33" s="225"/>
      <c r="R33" s="223"/>
      <c r="S33" s="224"/>
      <c r="T33" s="225"/>
      <c r="U33" s="223"/>
      <c r="V33" s="224"/>
    </row>
    <row r="34" spans="1:22" s="226" customFormat="1" outlineLevel="2">
      <c r="A34" s="165" t="s">
        <v>25</v>
      </c>
      <c r="B34" s="215">
        <v>0</v>
      </c>
      <c r="C34" s="215">
        <f t="shared" si="10"/>
        <v>0</v>
      </c>
      <c r="D34" s="216">
        <f t="shared" si="14"/>
        <v>0</v>
      </c>
      <c r="E34" s="217">
        <f t="shared" si="23"/>
        <v>0</v>
      </c>
      <c r="F34" s="217">
        <f t="shared" si="23"/>
        <v>0</v>
      </c>
      <c r="G34" s="218"/>
      <c r="H34" s="219"/>
      <c r="I34" s="220"/>
      <c r="J34" s="221"/>
      <c r="K34" s="222"/>
      <c r="L34" s="223"/>
      <c r="M34" s="224"/>
      <c r="N34" s="222"/>
      <c r="O34" s="223"/>
      <c r="P34" s="224"/>
      <c r="Q34" s="225"/>
      <c r="R34" s="223"/>
      <c r="S34" s="224"/>
      <c r="T34" s="225"/>
      <c r="U34" s="223"/>
      <c r="V34" s="224"/>
    </row>
    <row r="35" spans="1:22" s="226" customFormat="1" outlineLevel="2">
      <c r="A35" s="165" t="s">
        <v>26</v>
      </c>
      <c r="B35" s="215">
        <v>0</v>
      </c>
      <c r="C35" s="215">
        <f t="shared" si="10"/>
        <v>0</v>
      </c>
      <c r="D35" s="216">
        <f t="shared" si="14"/>
        <v>0</v>
      </c>
      <c r="E35" s="217">
        <f t="shared" si="23"/>
        <v>0</v>
      </c>
      <c r="F35" s="217">
        <f t="shared" si="23"/>
        <v>0</v>
      </c>
      <c r="G35" s="218"/>
      <c r="H35" s="219"/>
      <c r="I35" s="220"/>
      <c r="J35" s="221"/>
      <c r="K35" s="222"/>
      <c r="L35" s="223"/>
      <c r="M35" s="224"/>
      <c r="N35" s="222"/>
      <c r="O35" s="223"/>
      <c r="P35" s="224"/>
      <c r="Q35" s="225"/>
      <c r="R35" s="223"/>
      <c r="S35" s="224"/>
      <c r="T35" s="225"/>
      <c r="U35" s="223"/>
      <c r="V35" s="224"/>
    </row>
    <row r="36" spans="1:22" s="226" customFormat="1" outlineLevel="2">
      <c r="A36" s="165" t="s">
        <v>37</v>
      </c>
      <c r="B36" s="92">
        <v>0</v>
      </c>
      <c r="C36" s="215">
        <f t="shared" si="10"/>
        <v>0</v>
      </c>
      <c r="D36" s="216">
        <f t="shared" si="14"/>
        <v>0</v>
      </c>
      <c r="E36" s="217">
        <f t="shared" si="23"/>
        <v>0</v>
      </c>
      <c r="F36" s="217">
        <f t="shared" si="23"/>
        <v>0</v>
      </c>
      <c r="G36" s="218"/>
      <c r="H36" s="219"/>
      <c r="I36" s="220"/>
      <c r="J36" s="221"/>
      <c r="K36" s="222"/>
      <c r="L36" s="223"/>
      <c r="M36" s="224"/>
      <c r="N36" s="222"/>
      <c r="O36" s="223"/>
      <c r="P36" s="224"/>
      <c r="Q36" s="225"/>
      <c r="R36" s="223"/>
      <c r="S36" s="224"/>
      <c r="T36" s="225"/>
      <c r="U36" s="223"/>
      <c r="V36" s="224"/>
    </row>
    <row r="37" spans="1:22" s="78" customFormat="1" outlineLevel="2">
      <c r="A37" s="134" t="s">
        <v>28</v>
      </c>
      <c r="B37" s="94">
        <v>0</v>
      </c>
      <c r="C37" s="94">
        <f t="shared" si="10"/>
        <v>0</v>
      </c>
      <c r="D37" s="95">
        <f t="shared" si="14"/>
        <v>0</v>
      </c>
      <c r="E37" s="69">
        <f t="shared" si="23"/>
        <v>0</v>
      </c>
      <c r="F37" s="69">
        <f t="shared" si="23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2" s="226" customFormat="1" outlineLevel="2">
      <c r="A38" s="165" t="s">
        <v>20</v>
      </c>
      <c r="B38" s="215">
        <v>0</v>
      </c>
      <c r="C38" s="215">
        <f t="shared" si="10"/>
        <v>0</v>
      </c>
      <c r="D38" s="216">
        <f t="shared" si="14"/>
        <v>0</v>
      </c>
      <c r="E38" s="217">
        <f t="shared" si="23"/>
        <v>0</v>
      </c>
      <c r="F38" s="217">
        <f t="shared" si="23"/>
        <v>0</v>
      </c>
      <c r="G38" s="218"/>
      <c r="H38" s="219"/>
      <c r="I38" s="220"/>
      <c r="J38" s="221"/>
      <c r="K38" s="222"/>
      <c r="L38" s="223"/>
      <c r="M38" s="224"/>
      <c r="N38" s="222"/>
      <c r="O38" s="223"/>
      <c r="P38" s="224"/>
      <c r="Q38" s="225"/>
      <c r="R38" s="223"/>
      <c r="S38" s="224"/>
      <c r="T38" s="225"/>
      <c r="U38" s="223"/>
      <c r="V38" s="224"/>
    </row>
    <row r="39" spans="1:22" s="78" customFormat="1" outlineLevel="2">
      <c r="A39" s="134" t="s">
        <v>21</v>
      </c>
      <c r="B39" s="94">
        <v>0</v>
      </c>
      <c r="C39" s="94">
        <f t="shared" si="10"/>
        <v>0</v>
      </c>
      <c r="D39" s="95">
        <f t="shared" si="14"/>
        <v>0</v>
      </c>
      <c r="E39" s="69">
        <f t="shared" si="23"/>
        <v>0</v>
      </c>
      <c r="F39" s="69">
        <f t="shared" si="23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2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4">SUM(H41:H42)</f>
        <v>0</v>
      </c>
      <c r="I40" s="60">
        <f t="shared" si="24"/>
        <v>0</v>
      </c>
      <c r="J40" s="60">
        <f t="shared" si="24"/>
        <v>0</v>
      </c>
      <c r="K40" s="59">
        <f t="shared" si="24"/>
        <v>0</v>
      </c>
      <c r="L40" s="60">
        <f t="shared" si="24"/>
        <v>0</v>
      </c>
      <c r="M40" s="60">
        <f t="shared" si="24"/>
        <v>0</v>
      </c>
      <c r="N40" s="59">
        <f t="shared" si="24"/>
        <v>0</v>
      </c>
      <c r="O40" s="60">
        <f t="shared" si="24"/>
        <v>0</v>
      </c>
      <c r="P40" s="60">
        <f t="shared" si="24"/>
        <v>0</v>
      </c>
      <c r="Q40" s="59">
        <f t="shared" si="24"/>
        <v>0</v>
      </c>
      <c r="R40" s="60">
        <f t="shared" si="24"/>
        <v>0</v>
      </c>
      <c r="S40" s="60">
        <f t="shared" si="24"/>
        <v>0</v>
      </c>
      <c r="T40" s="59">
        <f t="shared" si="24"/>
        <v>0</v>
      </c>
      <c r="U40" s="60">
        <f t="shared" si="24"/>
        <v>0</v>
      </c>
      <c r="V40" s="60">
        <f t="shared" si="24"/>
        <v>0</v>
      </c>
    </row>
    <row r="41" spans="1:22" outlineLevel="2">
      <c r="A41" s="134" t="s">
        <v>138</v>
      </c>
      <c r="B41" s="94">
        <v>0</v>
      </c>
      <c r="C41" s="94">
        <f t="shared" si="10"/>
        <v>0</v>
      </c>
      <c r="D41" s="95">
        <f t="shared" si="14"/>
        <v>0</v>
      </c>
      <c r="E41" s="69">
        <f t="shared" ref="E41:F42" si="25">+I41+L41+O41+R41+U41</f>
        <v>0</v>
      </c>
      <c r="F41" s="69">
        <f t="shared" si="25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2" s="78" customFormat="1" outlineLevel="2">
      <c r="A42" s="134" t="s">
        <v>36</v>
      </c>
      <c r="B42" s="94">
        <v>0</v>
      </c>
      <c r="C42" s="94">
        <f t="shared" si="10"/>
        <v>0</v>
      </c>
      <c r="D42" s="95">
        <f t="shared" si="14"/>
        <v>0</v>
      </c>
      <c r="E42" s="69">
        <f t="shared" si="25"/>
        <v>0</v>
      </c>
      <c r="F42" s="69">
        <f t="shared" si="25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2">
      <c r="A43" s="47" t="s">
        <v>40</v>
      </c>
      <c r="B43" s="101">
        <f>SUM(B44:B45)</f>
        <v>170000</v>
      </c>
      <c r="C43" s="101">
        <f>SUM(C44:C45)</f>
        <v>102711.84</v>
      </c>
      <c r="D43" s="101">
        <f>SUM(D44:D45)</f>
        <v>-67288.160000000003</v>
      </c>
      <c r="E43" s="49">
        <f>SUM(E44:E45)</f>
        <v>118</v>
      </c>
      <c r="F43" s="49">
        <f>SUM(F44:F45)</f>
        <v>7.5034722222222214</v>
      </c>
      <c r="G43" s="37"/>
      <c r="H43" s="48">
        <f t="shared" ref="H43:V43" si="26">SUM(H44:H45)</f>
        <v>35029.120000000003</v>
      </c>
      <c r="I43" s="49">
        <f t="shared" si="26"/>
        <v>41</v>
      </c>
      <c r="J43" s="49">
        <f t="shared" si="26"/>
        <v>2.5590277777777777</v>
      </c>
      <c r="K43" s="48">
        <f t="shared" si="26"/>
        <v>18726.82</v>
      </c>
      <c r="L43" s="49">
        <f t="shared" si="26"/>
        <v>17</v>
      </c>
      <c r="M43" s="49">
        <f t="shared" si="26"/>
        <v>1.3680555555555556</v>
      </c>
      <c r="N43" s="48">
        <f t="shared" si="26"/>
        <v>27662.46</v>
      </c>
      <c r="O43" s="49">
        <f t="shared" si="26"/>
        <v>38</v>
      </c>
      <c r="P43" s="49">
        <f t="shared" si="26"/>
        <v>2.0208333333333335</v>
      </c>
      <c r="Q43" s="48">
        <f t="shared" si="26"/>
        <v>21293.439999999999</v>
      </c>
      <c r="R43" s="49">
        <f t="shared" si="26"/>
        <v>22</v>
      </c>
      <c r="S43" s="49">
        <f t="shared" si="26"/>
        <v>1.5555555555555556</v>
      </c>
      <c r="T43" s="48">
        <f t="shared" si="26"/>
        <v>0</v>
      </c>
      <c r="U43" s="49">
        <f t="shared" si="26"/>
        <v>0</v>
      </c>
      <c r="V43" s="49">
        <f t="shared" si="26"/>
        <v>0</v>
      </c>
    </row>
    <row r="44" spans="1:22" outlineLevel="2">
      <c r="A44" s="1" t="s">
        <v>139</v>
      </c>
      <c r="B44" s="97">
        <f>200000*0.85</f>
        <v>170000</v>
      </c>
      <c r="C44" s="92">
        <f t="shared" si="10"/>
        <v>102711.84</v>
      </c>
      <c r="D44" s="93">
        <f t="shared" ref="D44:D45" si="27">+C44-B44</f>
        <v>-67288.160000000003</v>
      </c>
      <c r="E44" s="18">
        <f t="shared" ref="E44:F45" si="28">+I44+L44+O44+R44+U44</f>
        <v>118</v>
      </c>
      <c r="F44" s="18">
        <f t="shared" si="28"/>
        <v>7.5034722222222214</v>
      </c>
      <c r="G44" s="37"/>
      <c r="H44" s="181">
        <v>35029.120000000003</v>
      </c>
      <c r="I44" s="182">
        <v>41</v>
      </c>
      <c r="J44" s="183">
        <v>2.5590277777777777</v>
      </c>
      <c r="K44" s="184">
        <v>18726.82</v>
      </c>
      <c r="L44" s="185">
        <v>17</v>
      </c>
      <c r="M44" s="186">
        <v>1.3680555555555556</v>
      </c>
      <c r="N44" s="184">
        <v>27662.46</v>
      </c>
      <c r="O44" s="185">
        <v>38</v>
      </c>
      <c r="P44" s="186">
        <v>2.0208333333333335</v>
      </c>
      <c r="Q44" s="187">
        <v>21293.439999999999</v>
      </c>
      <c r="R44" s="185">
        <v>22</v>
      </c>
      <c r="S44" s="186">
        <v>1.5555555555555556</v>
      </c>
      <c r="T44" s="187"/>
      <c r="U44" s="185"/>
      <c r="V44" s="186"/>
    </row>
    <row r="45" spans="1:22" s="78" customFormat="1" outlineLevel="2">
      <c r="A45" s="68" t="s">
        <v>36</v>
      </c>
      <c r="B45" s="94">
        <v>0</v>
      </c>
      <c r="C45" s="94">
        <f t="shared" si="10"/>
        <v>0</v>
      </c>
      <c r="D45" s="95">
        <f t="shared" si="27"/>
        <v>0</v>
      </c>
      <c r="E45" s="69">
        <f t="shared" si="28"/>
        <v>0</v>
      </c>
      <c r="F45" s="69">
        <f t="shared" si="28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9">SUM(H47:H48)</f>
        <v>0</v>
      </c>
      <c r="I46" s="200">
        <f t="shared" si="29"/>
        <v>0</v>
      </c>
      <c r="J46" s="200">
        <f t="shared" si="29"/>
        <v>0</v>
      </c>
      <c r="K46" s="211">
        <f t="shared" si="29"/>
        <v>0</v>
      </c>
      <c r="L46" s="200">
        <f t="shared" si="29"/>
        <v>0</v>
      </c>
      <c r="M46" s="200">
        <f t="shared" si="29"/>
        <v>0</v>
      </c>
      <c r="N46" s="211">
        <f t="shared" si="29"/>
        <v>0</v>
      </c>
      <c r="O46" s="200">
        <f t="shared" si="29"/>
        <v>0</v>
      </c>
      <c r="P46" s="200">
        <f t="shared" si="29"/>
        <v>0</v>
      </c>
      <c r="Q46" s="211">
        <f t="shared" si="29"/>
        <v>0</v>
      </c>
      <c r="R46" s="200">
        <f t="shared" si="29"/>
        <v>0</v>
      </c>
      <c r="S46" s="200">
        <f t="shared" si="29"/>
        <v>0</v>
      </c>
      <c r="T46" s="211">
        <f t="shared" si="29"/>
        <v>0</v>
      </c>
      <c r="U46" s="200">
        <f t="shared" si="29"/>
        <v>0</v>
      </c>
      <c r="V46" s="200">
        <f t="shared" si="29"/>
        <v>0</v>
      </c>
    </row>
    <row r="47" spans="1:22" s="78" customFormat="1" outlineLevel="2">
      <c r="A47" s="68" t="s">
        <v>43</v>
      </c>
      <c r="B47" s="94">
        <v>0</v>
      </c>
      <c r="C47" s="94">
        <f t="shared" si="10"/>
        <v>0</v>
      </c>
      <c r="D47" s="95">
        <f t="shared" ref="D47:D48" si="30">+C47-B47</f>
        <v>0</v>
      </c>
      <c r="E47" s="69">
        <f t="shared" ref="E47:F48" si="31">+I47+L47+O47+R47+U47</f>
        <v>0</v>
      </c>
      <c r="F47" s="69">
        <f t="shared" si="31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2" s="78" customFormat="1" outlineLevel="2">
      <c r="A48" s="68" t="s">
        <v>36</v>
      </c>
      <c r="B48" s="94">
        <v>0</v>
      </c>
      <c r="C48" s="94">
        <f t="shared" si="10"/>
        <v>0</v>
      </c>
      <c r="D48" s="95">
        <f t="shared" si="30"/>
        <v>0</v>
      </c>
      <c r="E48" s="69">
        <f t="shared" si="31"/>
        <v>0</v>
      </c>
      <c r="F48" s="69">
        <f t="shared" si="31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2">SUM(H50:H51)</f>
        <v>0</v>
      </c>
      <c r="I49" s="200">
        <f t="shared" si="32"/>
        <v>0</v>
      </c>
      <c r="J49" s="200">
        <f t="shared" si="32"/>
        <v>0</v>
      </c>
      <c r="K49" s="211">
        <f t="shared" si="32"/>
        <v>0</v>
      </c>
      <c r="L49" s="200">
        <f t="shared" si="32"/>
        <v>0</v>
      </c>
      <c r="M49" s="200">
        <f t="shared" si="32"/>
        <v>0</v>
      </c>
      <c r="N49" s="211">
        <f t="shared" si="32"/>
        <v>0</v>
      </c>
      <c r="O49" s="200">
        <f t="shared" si="32"/>
        <v>0</v>
      </c>
      <c r="P49" s="200">
        <f t="shared" si="32"/>
        <v>0</v>
      </c>
      <c r="Q49" s="211">
        <f t="shared" si="32"/>
        <v>0</v>
      </c>
      <c r="R49" s="200">
        <f t="shared" si="32"/>
        <v>0</v>
      </c>
      <c r="S49" s="200">
        <f t="shared" si="32"/>
        <v>0</v>
      </c>
      <c r="T49" s="211">
        <f t="shared" si="32"/>
        <v>0</v>
      </c>
      <c r="U49" s="200">
        <f t="shared" si="32"/>
        <v>0</v>
      </c>
      <c r="V49" s="200">
        <f t="shared" si="32"/>
        <v>0</v>
      </c>
    </row>
    <row r="50" spans="1:22" s="78" customFormat="1" outlineLevel="2">
      <c r="A50" s="315" t="s">
        <v>129</v>
      </c>
      <c r="B50" s="94">
        <v>0</v>
      </c>
      <c r="C50" s="94">
        <f t="shared" si="10"/>
        <v>0</v>
      </c>
      <c r="D50" s="95">
        <f t="shared" si="14"/>
        <v>0</v>
      </c>
      <c r="E50" s="69">
        <f t="shared" ref="E50:F51" si="33">+I50+L50+O50+R50+U50</f>
        <v>0</v>
      </c>
      <c r="F50" s="69">
        <f t="shared" si="33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>
      <c r="A51" s="68" t="s">
        <v>36</v>
      </c>
      <c r="B51" s="94">
        <v>0</v>
      </c>
      <c r="C51" s="94">
        <f t="shared" si="10"/>
        <v>0</v>
      </c>
      <c r="D51" s="95">
        <f t="shared" si="14"/>
        <v>0</v>
      </c>
      <c r="E51" s="69">
        <f t="shared" si="33"/>
        <v>0</v>
      </c>
      <c r="F51" s="69">
        <f t="shared" si="33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8">
      <c r="A52" s="138" t="s">
        <v>45</v>
      </c>
      <c r="B52" s="102">
        <f>+B49+B40+B31+B22+B13+B3+B46+B43</f>
        <v>3155000</v>
      </c>
      <c r="C52" s="102">
        <f>+C49+C40+C31+C22+C13+C3+C46+C43</f>
        <v>2446634.7599999998</v>
      </c>
      <c r="D52" s="102">
        <f>+D49+D40+D31+D22+D13+D3+D46+D43</f>
        <v>-708365.24</v>
      </c>
      <c r="E52" s="90">
        <f>+E49+E40+E31+E22+E13+E3+E46+E43</f>
        <v>2073</v>
      </c>
      <c r="F52" s="90">
        <f>+F49+F40+F31+F22+F13+F3+F46+F43</f>
        <v>137.27486111111114</v>
      </c>
      <c r="G52" s="38"/>
      <c r="H52" s="196">
        <f t="shared" ref="H52:V52" si="34">+H49+H40+H31+H22+H13+H3+H46+H43</f>
        <v>604989.39999999991</v>
      </c>
      <c r="I52" s="197">
        <f t="shared" si="34"/>
        <v>451</v>
      </c>
      <c r="J52" s="197">
        <f t="shared" si="34"/>
        <v>33.614583333333336</v>
      </c>
      <c r="K52" s="196">
        <f t="shared" si="34"/>
        <v>560093.0199999999</v>
      </c>
      <c r="L52" s="197">
        <f t="shared" si="34"/>
        <v>480</v>
      </c>
      <c r="M52" s="197">
        <f t="shared" si="34"/>
        <v>32.795138888888893</v>
      </c>
      <c r="N52" s="196">
        <f t="shared" si="34"/>
        <v>540778.02</v>
      </c>
      <c r="O52" s="197">
        <f t="shared" si="34"/>
        <v>477</v>
      </c>
      <c r="P52" s="197">
        <f t="shared" si="34"/>
        <v>30.010972222222222</v>
      </c>
      <c r="Q52" s="196">
        <f t="shared" si="34"/>
        <v>740774.32</v>
      </c>
      <c r="R52" s="197">
        <f t="shared" si="34"/>
        <v>665</v>
      </c>
      <c r="S52" s="197">
        <f t="shared" si="34"/>
        <v>40.854166666666671</v>
      </c>
      <c r="T52" s="196">
        <f t="shared" si="34"/>
        <v>0</v>
      </c>
      <c r="U52" s="197">
        <f t="shared" si="34"/>
        <v>0</v>
      </c>
      <c r="V52" s="197">
        <f t="shared" si="34"/>
        <v>0</v>
      </c>
    </row>
    <row r="54" spans="1:22" ht="18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>
      <c r="A55" s="87" t="s">
        <v>47</v>
      </c>
      <c r="B55" s="105">
        <f>+B56+B66+B75+B84+B93+B102+B96+B99</f>
        <v>1440500</v>
      </c>
      <c r="C55" s="105">
        <f>+C56+C66+C75+C84+C93+C102+C96+C99</f>
        <v>1519158</v>
      </c>
      <c r="D55" s="106">
        <f>+C55-B55</f>
        <v>78658</v>
      </c>
    </row>
    <row r="56" spans="1:22" outlineLevel="1">
      <c r="A56" s="44" t="s">
        <v>48</v>
      </c>
      <c r="B56" s="107">
        <f>SUM(B57:B65)*1.34</f>
        <v>506520.00000000006</v>
      </c>
      <c r="C56" s="107">
        <f>SUM(C57:C65)*1.34</f>
        <v>569634</v>
      </c>
      <c r="D56" s="108">
        <f>+C56-B56</f>
        <v>63113.999999999942</v>
      </c>
    </row>
    <row r="57" spans="1:22" outlineLevel="2">
      <c r="A57" s="132" t="str">
        <f>+A4</f>
        <v>psych. s. 1 - NÁGLOVÁ</v>
      </c>
      <c r="B57" s="93">
        <v>60000</v>
      </c>
      <c r="C57" s="93">
        <v>62550</v>
      </c>
      <c r="D57" s="109">
        <f t="shared" ref="D57:D74" si="35">+C57-B57</f>
        <v>2550</v>
      </c>
      <c r="F57" s="16"/>
      <c r="G57" s="40"/>
    </row>
    <row r="58" spans="1:22" outlineLevel="2">
      <c r="A58" s="132" t="str">
        <f t="shared" ref="A58:A74" si="36">+A5</f>
        <v>psych. s. 2 - HAJASOVÁ</v>
      </c>
      <c r="B58" s="93">
        <v>47000</v>
      </c>
      <c r="C58" s="93">
        <f t="shared" ref="C58:C62" si="37">+B58</f>
        <v>47000</v>
      </c>
      <c r="D58" s="109">
        <f t="shared" si="35"/>
        <v>0</v>
      </c>
      <c r="F58" s="16"/>
      <c r="G58" s="40"/>
    </row>
    <row r="59" spans="1:22" outlineLevel="2">
      <c r="A59" s="132" t="str">
        <f t="shared" si="36"/>
        <v>psych. s. 3 -  KAŠPÁRKOVÁ/Pekárová</v>
      </c>
      <c r="B59" s="93">
        <v>65000</v>
      </c>
      <c r="C59" s="93">
        <f>+B59+44550</f>
        <v>109550</v>
      </c>
      <c r="D59" s="109">
        <f t="shared" si="35"/>
        <v>44550</v>
      </c>
      <c r="F59" s="16"/>
      <c r="G59" s="40"/>
    </row>
    <row r="60" spans="1:22" s="78" customFormat="1" outlineLevel="2">
      <c r="A60" s="165" t="str">
        <f t="shared" si="36"/>
        <v>psych. s. 4 -  HANZLÍKOVÁ</v>
      </c>
      <c r="B60" s="166">
        <v>65000</v>
      </c>
      <c r="C60" s="166">
        <f t="shared" si="37"/>
        <v>65000</v>
      </c>
      <c r="D60" s="167">
        <f t="shared" si="35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2" outlineLevel="2">
      <c r="A61" s="132" t="str">
        <f t="shared" si="36"/>
        <v>psychiatr - GÁBEL 0,2</v>
      </c>
      <c r="B61" s="93">
        <v>16000</v>
      </c>
      <c r="C61" s="93">
        <f t="shared" si="37"/>
        <v>16000</v>
      </c>
      <c r="D61" s="109">
        <f t="shared" si="35"/>
        <v>0</v>
      </c>
      <c r="F61" s="16"/>
      <c r="G61" s="40"/>
      <c r="J61" s="82"/>
    </row>
    <row r="62" spans="1:22" outlineLevel="2">
      <c r="A62" s="132" t="str">
        <f t="shared" si="36"/>
        <v>psychiatr - PFEIFFER 0,5</v>
      </c>
      <c r="B62" s="93">
        <v>85000</v>
      </c>
      <c r="C62" s="93">
        <f t="shared" si="37"/>
        <v>85000</v>
      </c>
      <c r="D62" s="109">
        <f t="shared" si="35"/>
        <v>0</v>
      </c>
      <c r="F62" s="16"/>
      <c r="G62" s="40"/>
      <c r="J62" s="82"/>
    </row>
    <row r="63" spans="1:22" outlineLevel="2">
      <c r="A63" s="134" t="str">
        <f t="shared" si="36"/>
        <v>psychiatr  3</v>
      </c>
      <c r="B63" s="155">
        <v>0</v>
      </c>
      <c r="C63" s="155">
        <v>0</v>
      </c>
      <c r="D63" s="156">
        <f t="shared" si="35"/>
        <v>0</v>
      </c>
      <c r="F63" s="16"/>
      <c r="G63" s="40"/>
      <c r="J63" s="82"/>
    </row>
    <row r="64" spans="1:22" s="175" customFormat="1" outlineLevel="2">
      <c r="A64" s="132" t="str">
        <f t="shared" si="36"/>
        <v>psycholog 1 - Dr. Balko 0,5</v>
      </c>
      <c r="B64" s="166">
        <v>40000</v>
      </c>
      <c r="C64" s="166">
        <f>+B64</f>
        <v>40000</v>
      </c>
      <c r="D64" s="167">
        <f t="shared" si="35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>
      <c r="A65" s="134" t="str">
        <f t="shared" si="36"/>
        <v xml:space="preserve">psycholog 2 </v>
      </c>
      <c r="B65" s="155">
        <v>0</v>
      </c>
      <c r="C65" s="155">
        <v>0</v>
      </c>
      <c r="D65" s="156">
        <f t="shared" si="35"/>
        <v>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>
      <c r="A66" s="58" t="s">
        <v>52</v>
      </c>
      <c r="B66" s="111">
        <f>SUM(B67:B74)*1.34</f>
        <v>402000</v>
      </c>
      <c r="C66" s="111">
        <f>SUM(C67:C74)*1.34</f>
        <v>406020</v>
      </c>
      <c r="D66" s="112">
        <f>+C66-B66</f>
        <v>4020</v>
      </c>
      <c r="F66" s="16"/>
      <c r="G66" s="40"/>
      <c r="J66" s="82"/>
    </row>
    <row r="67" spans="1:22" outlineLevel="2">
      <c r="A67" s="132" t="str">
        <f t="shared" si="36"/>
        <v>psych. s 1 - Blažková</v>
      </c>
      <c r="B67" s="93">
        <v>55000</v>
      </c>
      <c r="C67" s="93">
        <v>56500</v>
      </c>
      <c r="D67" s="109">
        <f t="shared" si="35"/>
        <v>1500</v>
      </c>
      <c r="F67" s="16"/>
      <c r="G67" s="40"/>
      <c r="J67" s="82"/>
    </row>
    <row r="68" spans="1:22" s="175" customFormat="1" outlineLevel="2">
      <c r="A68" s="132" t="str">
        <f t="shared" si="36"/>
        <v xml:space="preserve">psych. s 2 - Pátková </v>
      </c>
      <c r="B68" s="166">
        <v>60000</v>
      </c>
      <c r="C68" s="166">
        <v>61500</v>
      </c>
      <c r="D68" s="167">
        <f t="shared" si="35"/>
        <v>1500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>
      <c r="A69" s="165" t="str">
        <f t="shared" si="36"/>
        <v>psych. s 3 - Jurášová</v>
      </c>
      <c r="B69" s="166">
        <v>50000</v>
      </c>
      <c r="C69" s="166">
        <v>50000</v>
      </c>
      <c r="D69" s="167">
        <f t="shared" si="35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>
      <c r="A70" s="165" t="str">
        <f t="shared" si="36"/>
        <v>psych. s 4 - Mašková</v>
      </c>
      <c r="B70" s="166">
        <v>0</v>
      </c>
      <c r="C70" s="166">
        <v>0</v>
      </c>
      <c r="D70" s="167">
        <f t="shared" si="35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>
      <c r="A71" s="165" t="str">
        <f t="shared" si="36"/>
        <v>psychiatr - Dr. Suchánková 0,5</v>
      </c>
      <c r="B71" s="166">
        <f>160000*0.5</f>
        <v>80000</v>
      </c>
      <c r="C71" s="166">
        <f>+B71</f>
        <v>80000</v>
      </c>
      <c r="D71" s="167">
        <f t="shared" si="35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>
      <c r="A72" s="134" t="str">
        <f t="shared" si="36"/>
        <v>psychiatr 2</v>
      </c>
      <c r="B72" s="155">
        <v>0</v>
      </c>
      <c r="C72" s="155">
        <v>0</v>
      </c>
      <c r="D72" s="156">
        <f t="shared" si="35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>
      <c r="A73" s="165" t="str">
        <f t="shared" si="36"/>
        <v>psycholog 1 - Mgr. Eva Suchopová  0,4</v>
      </c>
      <c r="B73" s="166">
        <v>40000</v>
      </c>
      <c r="C73" s="166">
        <f>+B73</f>
        <v>40000</v>
      </c>
      <c r="D73" s="167">
        <f t="shared" si="35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>
      <c r="A74" s="165" t="str">
        <f t="shared" si="36"/>
        <v>psycholog 2 - Mgr. Iva Červenková  0,2</v>
      </c>
      <c r="B74" s="166">
        <v>15000</v>
      </c>
      <c r="C74" s="166">
        <v>15000</v>
      </c>
      <c r="D74" s="167">
        <f t="shared" si="35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>
      <c r="A75" s="57" t="s">
        <v>58</v>
      </c>
      <c r="B75" s="113">
        <f>SUM(B76:B83)*1.34</f>
        <v>439520</v>
      </c>
      <c r="C75" s="113">
        <f>SUM(C76:C83)*1.34</f>
        <v>446220</v>
      </c>
      <c r="D75" s="114">
        <f>+C75-B75</f>
        <v>6700</v>
      </c>
      <c r="F75" s="16"/>
      <c r="G75" s="40"/>
      <c r="J75" s="82"/>
    </row>
    <row r="76" spans="1:22" outlineLevel="2">
      <c r="A76" s="165" t="str">
        <f>+A23</f>
        <v>psych. s 1 - ZELENKOVÁ</v>
      </c>
      <c r="B76" s="93">
        <v>65000</v>
      </c>
      <c r="C76" s="93">
        <v>67000</v>
      </c>
      <c r="D76" s="109">
        <f t="shared" ref="D76:D83" si="38">+C76-B76</f>
        <v>2000</v>
      </c>
      <c r="F76" s="16"/>
      <c r="G76" s="40"/>
      <c r="J76" s="83"/>
    </row>
    <row r="77" spans="1:22" s="175" customFormat="1" outlineLevel="2">
      <c r="A77" s="165" t="str">
        <f>+A24</f>
        <v>psych. s 2 - Vondráčková</v>
      </c>
      <c r="B77" s="166">
        <v>58000</v>
      </c>
      <c r="C77" s="166">
        <v>61000</v>
      </c>
      <c r="D77" s="167">
        <f t="shared" si="38"/>
        <v>3000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>
      <c r="A78" s="165" t="str">
        <f>+A25</f>
        <v>psych. s 3 - Nováková</v>
      </c>
      <c r="B78" s="166">
        <v>55000</v>
      </c>
      <c r="C78" s="166">
        <f>+B78</f>
        <v>55000</v>
      </c>
      <c r="D78" s="167">
        <f t="shared" si="38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>
      <c r="A79" s="165" t="str">
        <f>+A26</f>
        <v>všeob. s 4 - Dušková</v>
      </c>
      <c r="B79" s="166">
        <v>55000</v>
      </c>
      <c r="C79" s="166">
        <f>+B79</f>
        <v>55000</v>
      </c>
      <c r="D79" s="167">
        <f t="shared" si="38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>
      <c r="A80" s="165" t="str">
        <f>+A27</f>
        <v>psychiatr - Dr. Suchánková 0,5</v>
      </c>
      <c r="B80" s="166">
        <f>160000*0.5</f>
        <v>80000</v>
      </c>
      <c r="C80" s="166">
        <f>+B80</f>
        <v>80000</v>
      </c>
      <c r="D80" s="167">
        <f t="shared" si="38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>
      <c r="A81" s="134" t="str">
        <f t="shared" ref="A81:A97" si="39">+A28</f>
        <v>psychiatr 2</v>
      </c>
      <c r="B81" s="95">
        <v>0</v>
      </c>
      <c r="C81" s="95">
        <v>0</v>
      </c>
      <c r="D81" s="110">
        <f t="shared" si="38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>
      <c r="A82" s="165" t="str">
        <f t="shared" si="39"/>
        <v>psycholog 1 - Lichtenbergová 0,5</v>
      </c>
      <c r="B82" s="166">
        <v>15000</v>
      </c>
      <c r="C82" s="166">
        <v>15000</v>
      </c>
      <c r="D82" s="167">
        <f t="shared" si="38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>
      <c r="A83" s="134" t="str">
        <f t="shared" si="39"/>
        <v>psycholog 2</v>
      </c>
      <c r="B83" s="95">
        <v>0</v>
      </c>
      <c r="C83" s="95">
        <v>0</v>
      </c>
      <c r="D83" s="110">
        <f t="shared" si="38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>
      <c r="A84" s="50" t="s">
        <v>60</v>
      </c>
      <c r="B84" s="115">
        <f>SUM(B85:B92)*1.34</f>
        <v>0</v>
      </c>
      <c r="C84" s="115">
        <f>SUM(C85:C92)*1.34</f>
        <v>0</v>
      </c>
      <c r="D84" s="116">
        <f>+C84-B84</f>
        <v>0</v>
      </c>
      <c r="F84" s="16"/>
      <c r="G84" s="40"/>
    </row>
    <row r="85" spans="1:22" s="175" customFormat="1" outlineLevel="2">
      <c r="A85" s="165" t="str">
        <f t="shared" si="39"/>
        <v xml:space="preserve">psych. s 1 - </v>
      </c>
      <c r="B85" s="166">
        <v>0</v>
      </c>
      <c r="C85" s="166">
        <v>0</v>
      </c>
      <c r="D85" s="167">
        <f t="shared" ref="D85:D104" si="40">+C85-B85</f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175" customFormat="1" outlineLevel="2">
      <c r="A86" s="134" t="str">
        <f t="shared" si="39"/>
        <v>psych. s 2</v>
      </c>
      <c r="B86" s="95">
        <v>0</v>
      </c>
      <c r="C86" s="95">
        <v>0</v>
      </c>
      <c r="D86" s="110">
        <f t="shared" si="40"/>
        <v>0</v>
      </c>
      <c r="E86" s="168"/>
      <c r="F86" s="168"/>
      <c r="G86" s="169"/>
      <c r="H86" s="170"/>
      <c r="I86" s="171"/>
      <c r="J86" s="228"/>
      <c r="K86" s="170"/>
      <c r="L86" s="172"/>
      <c r="M86" s="173"/>
      <c r="N86" s="170"/>
      <c r="O86" s="172"/>
      <c r="P86" s="174"/>
      <c r="Q86" s="170"/>
      <c r="R86" s="172"/>
      <c r="S86" s="174"/>
      <c r="T86" s="170"/>
      <c r="U86" s="172"/>
      <c r="V86" s="174"/>
    </row>
    <row r="87" spans="1:22" s="175" customFormat="1" outlineLevel="2">
      <c r="A87" s="134" t="str">
        <f t="shared" si="39"/>
        <v>psych. s 3</v>
      </c>
      <c r="B87" s="95">
        <v>0</v>
      </c>
      <c r="C87" s="95">
        <v>0</v>
      </c>
      <c r="D87" s="110">
        <f t="shared" si="40"/>
        <v>0</v>
      </c>
      <c r="E87" s="168"/>
      <c r="F87" s="168"/>
      <c r="G87" s="169"/>
      <c r="H87" s="170"/>
      <c r="I87" s="171"/>
      <c r="J87" s="228"/>
      <c r="K87" s="170"/>
      <c r="L87" s="172"/>
      <c r="M87" s="173"/>
      <c r="N87" s="170"/>
      <c r="O87" s="172"/>
      <c r="P87" s="174"/>
      <c r="Q87" s="170"/>
      <c r="R87" s="172"/>
      <c r="S87" s="174"/>
      <c r="T87" s="170"/>
      <c r="U87" s="172"/>
      <c r="V87" s="174"/>
    </row>
    <row r="88" spans="1:22" s="175" customFormat="1" outlineLevel="2">
      <c r="A88" s="134" t="str">
        <f t="shared" si="39"/>
        <v>psych. s 4</v>
      </c>
      <c r="B88" s="95">
        <v>0</v>
      </c>
      <c r="C88" s="95">
        <v>0</v>
      </c>
      <c r="D88" s="110">
        <f t="shared" si="40"/>
        <v>0</v>
      </c>
      <c r="E88" s="168"/>
      <c r="F88" s="168"/>
      <c r="G88" s="169"/>
      <c r="H88" s="170"/>
      <c r="I88" s="171"/>
      <c r="J88" s="228"/>
      <c r="K88" s="170"/>
      <c r="L88" s="172"/>
      <c r="M88" s="173"/>
      <c r="N88" s="170"/>
      <c r="O88" s="172"/>
      <c r="P88" s="174"/>
      <c r="Q88" s="170"/>
      <c r="R88" s="172"/>
      <c r="S88" s="174"/>
      <c r="T88" s="170"/>
      <c r="U88" s="172"/>
      <c r="V88" s="174"/>
    </row>
    <row r="89" spans="1:22" s="175" customFormat="1" outlineLevel="2">
      <c r="A89" s="134" t="str">
        <f t="shared" si="39"/>
        <v xml:space="preserve">psychiatr 1 - 0,5 </v>
      </c>
      <c r="B89" s="95">
        <v>0</v>
      </c>
      <c r="C89" s="95">
        <v>0</v>
      </c>
      <c r="D89" s="110">
        <f t="shared" si="40"/>
        <v>0</v>
      </c>
      <c r="E89" s="168"/>
      <c r="F89" s="168"/>
      <c r="G89" s="169"/>
      <c r="H89" s="170"/>
      <c r="I89" s="171"/>
      <c r="J89" s="228"/>
      <c r="K89" s="170"/>
      <c r="L89" s="172"/>
      <c r="M89" s="173"/>
      <c r="N89" s="170"/>
      <c r="O89" s="172"/>
      <c r="P89" s="174"/>
      <c r="Q89" s="170"/>
      <c r="R89" s="172"/>
      <c r="S89" s="174"/>
      <c r="T89" s="170"/>
      <c r="U89" s="172"/>
      <c r="V89" s="174"/>
    </row>
    <row r="90" spans="1:22" s="78" customFormat="1" outlineLevel="2">
      <c r="A90" s="134" t="str">
        <f t="shared" si="39"/>
        <v>psychiatr 2</v>
      </c>
      <c r="B90" s="95">
        <v>0</v>
      </c>
      <c r="C90" s="95">
        <v>0</v>
      </c>
      <c r="D90" s="110">
        <f t="shared" si="40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175" customFormat="1" outlineLevel="2">
      <c r="A91" s="134" t="str">
        <f t="shared" si="39"/>
        <v>psycholog 1 - 0,5</v>
      </c>
      <c r="B91" s="95">
        <v>0</v>
      </c>
      <c r="C91" s="95">
        <v>0</v>
      </c>
      <c r="D91" s="110">
        <f t="shared" si="40"/>
        <v>0</v>
      </c>
      <c r="E91" s="168"/>
      <c r="F91" s="168"/>
      <c r="G91" s="169"/>
      <c r="H91" s="170"/>
      <c r="I91" s="171"/>
      <c r="J91" s="228"/>
      <c r="K91" s="170"/>
      <c r="L91" s="172"/>
      <c r="M91" s="173"/>
      <c r="N91" s="170"/>
      <c r="O91" s="172"/>
      <c r="P91" s="174"/>
      <c r="Q91" s="170"/>
      <c r="R91" s="172"/>
      <c r="S91" s="174"/>
      <c r="T91" s="170"/>
      <c r="U91" s="172"/>
      <c r="V91" s="174"/>
    </row>
    <row r="92" spans="1:22" s="78" customFormat="1" outlineLevel="2">
      <c r="A92" s="134" t="str">
        <f t="shared" si="39"/>
        <v>psycholog 2</v>
      </c>
      <c r="B92" s="95">
        <v>0</v>
      </c>
      <c r="C92" s="95">
        <v>0</v>
      </c>
      <c r="D92" s="110">
        <f t="shared" si="40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40"/>
        <v>0</v>
      </c>
      <c r="F93" s="16"/>
      <c r="G93" s="40"/>
    </row>
    <row r="94" spans="1:22" outlineLevel="2">
      <c r="A94" s="134" t="str">
        <f t="shared" si="39"/>
        <v xml:space="preserve">psych. s 1 - </v>
      </c>
      <c r="B94" s="155">
        <v>0</v>
      </c>
      <c r="C94" s="155">
        <v>0</v>
      </c>
      <c r="D94" s="156">
        <f t="shared" si="40"/>
        <v>0</v>
      </c>
      <c r="F94" s="16"/>
      <c r="G94" s="40"/>
    </row>
    <row r="95" spans="1:22" s="78" customFormat="1" outlineLevel="2">
      <c r="A95" s="134" t="str">
        <f t="shared" si="39"/>
        <v>psych. s 2</v>
      </c>
      <c r="B95" s="95">
        <v>0</v>
      </c>
      <c r="C95" s="95">
        <v>0</v>
      </c>
      <c r="D95" s="110">
        <f t="shared" si="40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>
      <c r="A96" s="136" t="s">
        <v>63</v>
      </c>
      <c r="B96" s="120">
        <f>SUM(B97:B98)*1.34</f>
        <v>73700</v>
      </c>
      <c r="C96" s="120">
        <f>SUM(C97:C98)*1.34</f>
        <v>76380</v>
      </c>
      <c r="D96" s="121">
        <f t="shared" si="40"/>
        <v>2680</v>
      </c>
      <c r="F96" s="16"/>
      <c r="G96" s="40"/>
    </row>
    <row r="97" spans="1:22" outlineLevel="2">
      <c r="A97" s="165" t="str">
        <f t="shared" si="39"/>
        <v>psych. s 1 Prajzová</v>
      </c>
      <c r="B97" s="93">
        <v>55000</v>
      </c>
      <c r="C97" s="93">
        <v>57000</v>
      </c>
      <c r="D97" s="119">
        <f t="shared" si="40"/>
        <v>2000</v>
      </c>
      <c r="F97" s="16"/>
      <c r="G97" s="40"/>
    </row>
    <row r="98" spans="1:22" s="78" customFormat="1" outlineLevel="2">
      <c r="A98" s="134" t="str">
        <f t="shared" ref="A98:A101" si="41">+A45</f>
        <v>psych. s 2</v>
      </c>
      <c r="B98" s="95">
        <v>0</v>
      </c>
      <c r="C98" s="95">
        <v>0</v>
      </c>
      <c r="D98" s="110">
        <f t="shared" si="40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40"/>
        <v>0</v>
      </c>
      <c r="F99" s="16"/>
      <c r="G99" s="40"/>
    </row>
    <row r="100" spans="1:22" s="78" customFormat="1" outlineLevel="2">
      <c r="A100" s="134" t="str">
        <f t="shared" si="41"/>
        <v xml:space="preserve">psych. s 1 </v>
      </c>
      <c r="B100" s="95">
        <v>0</v>
      </c>
      <c r="C100" s="95">
        <v>0</v>
      </c>
      <c r="D100" s="110">
        <f t="shared" si="40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>
      <c r="A101" s="134" t="str">
        <f t="shared" si="41"/>
        <v>psych. s 2</v>
      </c>
      <c r="B101" s="95">
        <v>0</v>
      </c>
      <c r="C101" s="95">
        <v>0</v>
      </c>
      <c r="D101" s="110">
        <f t="shared" si="40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>
      <c r="A102" s="202" t="s">
        <v>65</v>
      </c>
      <c r="B102" s="203">
        <f>SUM(B103:B104)*1.34</f>
        <v>18760</v>
      </c>
      <c r="C102" s="203">
        <f>SUM(C103:C104)*1.34</f>
        <v>20904</v>
      </c>
      <c r="D102" s="204">
        <f t="shared" si="40"/>
        <v>2144</v>
      </c>
      <c r="F102" s="16"/>
      <c r="G102" s="40"/>
    </row>
    <row r="103" spans="1:22" s="78" customFormat="1" outlineLevel="2">
      <c r="A103" s="165" t="str">
        <f t="shared" ref="A103" si="42">+A50</f>
        <v>psych. s 1  - Skokanová</v>
      </c>
      <c r="B103" s="216">
        <v>14000</v>
      </c>
      <c r="C103" s="216">
        <v>15600</v>
      </c>
      <c r="D103" s="119">
        <f t="shared" si="40"/>
        <v>1600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>
      <c r="A104" s="134" t="str">
        <f t="shared" ref="A104" si="43">+A51</f>
        <v>psych. s 2</v>
      </c>
      <c r="B104" s="95">
        <v>0</v>
      </c>
      <c r="C104" s="95">
        <v>0</v>
      </c>
      <c r="D104" s="110">
        <f t="shared" si="40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>
      <c r="A105" s="89" t="s">
        <v>66</v>
      </c>
      <c r="B105" s="122">
        <f>SUM(B106:B113)</f>
        <v>473250</v>
      </c>
      <c r="C105" s="122">
        <f>SUM(C106:C113)</f>
        <v>366995.21400000004</v>
      </c>
      <c r="D105" s="123">
        <f>+C105-B105</f>
        <v>-106254.78599999996</v>
      </c>
    </row>
    <row r="106" spans="1:22" outlineLevel="1">
      <c r="A106" s="44" t="s">
        <v>67</v>
      </c>
      <c r="B106" s="141">
        <f>+B3*0.15</f>
        <v>164250</v>
      </c>
      <c r="C106" s="141">
        <f>+C3*0.15</f>
        <v>120346.398</v>
      </c>
      <c r="D106" s="142">
        <f t="shared" ref="D106:D131" si="44">+C106-B106</f>
        <v>-43903.601999999999</v>
      </c>
    </row>
    <row r="107" spans="1:22" outlineLevel="1">
      <c r="A107" s="58" t="s">
        <v>68</v>
      </c>
      <c r="B107" s="141">
        <f>+B13*0.15</f>
        <v>129750</v>
      </c>
      <c r="C107" s="141">
        <f>+C13*0.15</f>
        <v>104944.41000000002</v>
      </c>
      <c r="D107" s="142">
        <f t="shared" si="44"/>
        <v>-24805.589999999982</v>
      </c>
    </row>
    <row r="108" spans="1:22" outlineLevel="1">
      <c r="A108" s="57" t="s">
        <v>69</v>
      </c>
      <c r="B108" s="141">
        <f>+B22*0.15</f>
        <v>153750</v>
      </c>
      <c r="C108" s="141">
        <f>+C22*0.15</f>
        <v>126297.62999999999</v>
      </c>
      <c r="D108" s="142">
        <f t="shared" si="44"/>
        <v>-27452.37000000001</v>
      </c>
    </row>
    <row r="109" spans="1:22" outlineLevel="1">
      <c r="A109" s="50" t="s">
        <v>70</v>
      </c>
      <c r="B109" s="141">
        <f>+B31*0.15</f>
        <v>0</v>
      </c>
      <c r="C109" s="141">
        <f>+C31*0.15</f>
        <v>0</v>
      </c>
      <c r="D109" s="142">
        <f t="shared" si="44"/>
        <v>0</v>
      </c>
    </row>
    <row r="110" spans="1:22" outlineLevel="1">
      <c r="A110" s="67" t="s">
        <v>71</v>
      </c>
      <c r="B110" s="141">
        <f>+B40*0.15</f>
        <v>0</v>
      </c>
      <c r="C110" s="141">
        <f>+C40*0.15</f>
        <v>0</v>
      </c>
      <c r="D110" s="142">
        <f t="shared" si="44"/>
        <v>0</v>
      </c>
    </row>
    <row r="111" spans="1:22" outlineLevel="1">
      <c r="A111" s="47" t="s">
        <v>72</v>
      </c>
      <c r="B111" s="141">
        <f>+B43*0.15</f>
        <v>25500</v>
      </c>
      <c r="C111" s="141">
        <f>+C43*0.15</f>
        <v>15406.775999999998</v>
      </c>
      <c r="D111" s="142">
        <f t="shared" si="44"/>
        <v>-10093.224000000002</v>
      </c>
    </row>
    <row r="112" spans="1:22" outlineLevel="1">
      <c r="A112" s="198" t="s">
        <v>73</v>
      </c>
      <c r="B112" s="141">
        <f>+B46*0.15</f>
        <v>0</v>
      </c>
      <c r="C112" s="141">
        <f>+C46*0.15</f>
        <v>0</v>
      </c>
      <c r="D112" s="142">
        <f t="shared" si="44"/>
        <v>0</v>
      </c>
    </row>
    <row r="113" spans="1:4" outlineLevel="1">
      <c r="A113" s="198" t="s">
        <v>74</v>
      </c>
      <c r="B113" s="141">
        <f>+B49*0.15</f>
        <v>0</v>
      </c>
      <c r="C113" s="141">
        <f>+C49*0.15</f>
        <v>0</v>
      </c>
      <c r="D113" s="142">
        <f t="shared" si="44"/>
        <v>0</v>
      </c>
    </row>
    <row r="114" spans="1:4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>
      <c r="A115" s="44" t="s">
        <v>76</v>
      </c>
      <c r="B115" s="111">
        <v>30000</v>
      </c>
      <c r="C115" s="111">
        <f>+B115</f>
        <v>30000</v>
      </c>
      <c r="D115" s="112">
        <f t="shared" si="44"/>
        <v>0</v>
      </c>
    </row>
    <row r="116" spans="1:4" outlineLevel="1">
      <c r="A116" s="58" t="s">
        <v>77</v>
      </c>
      <c r="B116" s="111">
        <v>20000</v>
      </c>
      <c r="C116" s="111">
        <f t="shared" ref="C116:C122" si="45">+B116</f>
        <v>20000</v>
      </c>
      <c r="D116" s="112">
        <f t="shared" si="44"/>
        <v>0</v>
      </c>
    </row>
    <row r="117" spans="1:4" outlineLevel="1">
      <c r="A117" s="57" t="s">
        <v>78</v>
      </c>
      <c r="B117" s="111">
        <v>20000</v>
      </c>
      <c r="C117" s="111">
        <f t="shared" si="45"/>
        <v>20000</v>
      </c>
      <c r="D117" s="111">
        <f t="shared" si="44"/>
        <v>0</v>
      </c>
    </row>
    <row r="118" spans="1:4" outlineLevel="1">
      <c r="A118" s="50" t="s">
        <v>79</v>
      </c>
      <c r="B118" s="111">
        <v>0</v>
      </c>
      <c r="C118" s="111">
        <f t="shared" si="45"/>
        <v>0</v>
      </c>
      <c r="D118" s="111">
        <f t="shared" si="44"/>
        <v>0</v>
      </c>
    </row>
    <row r="119" spans="1:4" outlineLevel="1">
      <c r="A119" s="67" t="s">
        <v>80</v>
      </c>
      <c r="B119" s="111">
        <v>0</v>
      </c>
      <c r="C119" s="111">
        <f t="shared" si="45"/>
        <v>0</v>
      </c>
      <c r="D119" s="111">
        <f t="shared" si="44"/>
        <v>0</v>
      </c>
    </row>
    <row r="120" spans="1:4" outlineLevel="1">
      <c r="A120" s="47" t="s">
        <v>81</v>
      </c>
      <c r="B120" s="111">
        <v>0</v>
      </c>
      <c r="C120" s="111">
        <f t="shared" si="45"/>
        <v>0</v>
      </c>
      <c r="D120" s="111">
        <f t="shared" si="44"/>
        <v>0</v>
      </c>
    </row>
    <row r="121" spans="1:4" outlineLevel="1">
      <c r="A121" s="198" t="s">
        <v>82</v>
      </c>
      <c r="B121" s="111">
        <v>0</v>
      </c>
      <c r="C121" s="111">
        <f t="shared" si="45"/>
        <v>0</v>
      </c>
      <c r="D121" s="111">
        <f t="shared" si="44"/>
        <v>0</v>
      </c>
    </row>
    <row r="122" spans="1:4" outlineLevel="1">
      <c r="A122" s="198" t="s">
        <v>83</v>
      </c>
      <c r="B122" s="111">
        <v>0</v>
      </c>
      <c r="C122" s="111">
        <f t="shared" si="45"/>
        <v>0</v>
      </c>
      <c r="D122" s="111">
        <f t="shared" si="44"/>
        <v>0</v>
      </c>
    </row>
    <row r="123" spans="1:4">
      <c r="A123" s="150" t="s">
        <v>84</v>
      </c>
      <c r="B123" s="151">
        <f>SUM(B124:B131)</f>
        <v>315500</v>
      </c>
      <c r="C123" s="151">
        <f t="shared" ref="C123" si="46">SUM(C124:C131)</f>
        <v>244663.47600000002</v>
      </c>
      <c r="D123" s="151">
        <f>+C123-B123</f>
        <v>-70836.523999999976</v>
      </c>
    </row>
    <row r="124" spans="1:4" outlineLevel="1">
      <c r="A124" s="44" t="s">
        <v>85</v>
      </c>
      <c r="B124" s="152">
        <f>+B3/10</f>
        <v>109500</v>
      </c>
      <c r="C124" s="152">
        <f>+C3/10</f>
        <v>80230.932000000001</v>
      </c>
      <c r="D124" s="153">
        <f t="shared" si="44"/>
        <v>-29269.067999999999</v>
      </c>
    </row>
    <row r="125" spans="1:4" outlineLevel="1">
      <c r="A125" s="58" t="s">
        <v>86</v>
      </c>
      <c r="B125" s="152">
        <f>+B13/10</f>
        <v>86500</v>
      </c>
      <c r="C125" s="152">
        <f>+C13/10</f>
        <v>69962.940000000017</v>
      </c>
      <c r="D125" s="153">
        <f t="shared" si="44"/>
        <v>-16537.059999999983</v>
      </c>
    </row>
    <row r="126" spans="1:4" outlineLevel="1">
      <c r="A126" s="57" t="s">
        <v>87</v>
      </c>
      <c r="B126" s="152">
        <f>+B22/10</f>
        <v>102500</v>
      </c>
      <c r="C126" s="152">
        <f>+C22/10</f>
        <v>84198.42</v>
      </c>
      <c r="D126" s="152">
        <f t="shared" si="44"/>
        <v>-18301.580000000002</v>
      </c>
    </row>
    <row r="127" spans="1:4" outlineLevel="1">
      <c r="A127" s="50" t="s">
        <v>88</v>
      </c>
      <c r="B127" s="152">
        <f>+B31/10</f>
        <v>0</v>
      </c>
      <c r="C127" s="152">
        <f>+C31/10</f>
        <v>0</v>
      </c>
      <c r="D127" s="152">
        <f t="shared" si="44"/>
        <v>0</v>
      </c>
    </row>
    <row r="128" spans="1:4" outlineLevel="1">
      <c r="A128" s="67" t="s">
        <v>89</v>
      </c>
      <c r="B128" s="152">
        <f>+B40/10</f>
        <v>0</v>
      </c>
      <c r="C128" s="152">
        <f>+C40/10</f>
        <v>0</v>
      </c>
      <c r="D128" s="152">
        <f t="shared" si="44"/>
        <v>0</v>
      </c>
    </row>
    <row r="129" spans="1:7" outlineLevel="1">
      <c r="A129" s="47" t="s">
        <v>90</v>
      </c>
      <c r="B129" s="152">
        <f>+B43/10</f>
        <v>17000</v>
      </c>
      <c r="C129" s="152">
        <f>+C43/10</f>
        <v>10271.183999999999</v>
      </c>
      <c r="D129" s="152">
        <f t="shared" si="44"/>
        <v>-6728.8160000000007</v>
      </c>
    </row>
    <row r="130" spans="1:7" outlineLevel="1">
      <c r="A130" s="198" t="s">
        <v>91</v>
      </c>
      <c r="B130" s="152">
        <f>+B46/10</f>
        <v>0</v>
      </c>
      <c r="C130" s="152">
        <f>+C46/10</f>
        <v>0</v>
      </c>
      <c r="D130" s="152">
        <f t="shared" si="44"/>
        <v>0</v>
      </c>
    </row>
    <row r="131" spans="1:7" outlineLevel="1">
      <c r="A131" s="198" t="s">
        <v>92</v>
      </c>
      <c r="B131" s="152">
        <f>+B49/10</f>
        <v>0</v>
      </c>
      <c r="C131" s="152">
        <f>+C49/10</f>
        <v>0</v>
      </c>
      <c r="D131" s="152">
        <f t="shared" si="44"/>
        <v>0</v>
      </c>
    </row>
    <row r="132" spans="1:7" ht="18">
      <c r="A132" s="139" t="s">
        <v>93</v>
      </c>
      <c r="B132" s="126">
        <f t="shared" ref="B132:D133" si="47">+B114+B105+B55+B123</f>
        <v>2299250</v>
      </c>
      <c r="C132" s="126">
        <f t="shared" si="47"/>
        <v>2200816.6900000004</v>
      </c>
      <c r="D132" s="126">
        <f t="shared" si="47"/>
        <v>-98433.309999999939</v>
      </c>
      <c r="E132" s="15"/>
      <c r="F132" s="10"/>
      <c r="G132" s="41"/>
    </row>
    <row r="133" spans="1:7" outlineLevel="1">
      <c r="A133" s="44" t="s">
        <v>94</v>
      </c>
      <c r="B133" s="140">
        <f t="shared" si="47"/>
        <v>810270</v>
      </c>
      <c r="C133" s="140">
        <f t="shared" si="47"/>
        <v>800211.33000000007</v>
      </c>
      <c r="D133" s="140">
        <f t="shared" si="47"/>
        <v>-10058.670000000056</v>
      </c>
      <c r="E133" s="15"/>
      <c r="F133" s="10"/>
      <c r="G133" s="41"/>
    </row>
    <row r="134" spans="1:7" outlineLevel="1">
      <c r="A134" s="58" t="s">
        <v>95</v>
      </c>
      <c r="B134" s="140">
        <f>+B116+B107+B66+B125</f>
        <v>638250</v>
      </c>
      <c r="C134" s="140">
        <f>+C116+C107+C66+C125</f>
        <v>600927.35000000009</v>
      </c>
      <c r="D134" s="140">
        <f>+D116+D107+D66+D125</f>
        <v>-37322.649999999965</v>
      </c>
      <c r="E134" s="15"/>
      <c r="F134" s="10"/>
      <c r="G134" s="41"/>
    </row>
    <row r="135" spans="1:7" outlineLevel="1">
      <c r="A135" s="57" t="s">
        <v>96</v>
      </c>
      <c r="B135" s="140">
        <f>+B117+B108+B75+B126</f>
        <v>715770</v>
      </c>
      <c r="C135" s="140">
        <f>+C117+C108+C75+C126</f>
        <v>676716.05</v>
      </c>
      <c r="D135" s="140">
        <f>+D117+D108+D75+D126</f>
        <v>-39053.950000000012</v>
      </c>
      <c r="E135" s="15"/>
      <c r="F135" s="10"/>
      <c r="G135" s="41"/>
    </row>
    <row r="136" spans="1:7" outlineLevel="1">
      <c r="A136" s="50" t="s">
        <v>97</v>
      </c>
      <c r="B136" s="140">
        <f>+B118+B109+B84+B127</f>
        <v>0</v>
      </c>
      <c r="C136" s="140">
        <f>+C118+C109+C84+C127</f>
        <v>0</v>
      </c>
      <c r="D136" s="140">
        <f>+D118+D109+D84+D127</f>
        <v>0</v>
      </c>
      <c r="E136" s="15"/>
      <c r="F136" s="10"/>
      <c r="G136" s="41"/>
    </row>
    <row r="137" spans="1:7" outlineLevel="1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>
      <c r="A138" s="47" t="s">
        <v>99</v>
      </c>
      <c r="B138" s="140">
        <f>+B129+B120+B111+B96</f>
        <v>116200</v>
      </c>
      <c r="C138" s="140">
        <f>+C129+C120+C111+C96</f>
        <v>102057.95999999999</v>
      </c>
      <c r="D138" s="140">
        <f>+D121+D112+D101+D130</f>
        <v>0</v>
      </c>
      <c r="E138" s="15"/>
      <c r="F138" s="10"/>
      <c r="G138" s="41"/>
    </row>
    <row r="139" spans="1:7" outlineLevel="1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>
      <c r="A140" s="198" t="s">
        <v>101</v>
      </c>
      <c r="B140" s="140">
        <f>+B131+B122+B113+B102</f>
        <v>18760</v>
      </c>
      <c r="C140" s="140">
        <f>+C131+C122+C113+C102</f>
        <v>20904</v>
      </c>
      <c r="D140" s="140">
        <f>+D122+D113+D102+D131</f>
        <v>2144</v>
      </c>
      <c r="E140" s="15"/>
      <c r="F140" s="10"/>
      <c r="G140" s="41"/>
    </row>
    <row r="141" spans="1:7">
      <c r="A141" s="7"/>
      <c r="B141" s="127"/>
      <c r="C141" s="127"/>
      <c r="D141" s="128"/>
      <c r="E141" s="15"/>
      <c r="F141" s="10"/>
      <c r="G141" s="41"/>
    </row>
    <row r="142" spans="1:7" ht="15.75">
      <c r="A142" s="177" t="s">
        <v>102</v>
      </c>
      <c r="B142" s="129">
        <f>+B52-B132</f>
        <v>855750</v>
      </c>
      <c r="C142" s="129">
        <f>+C52-C132</f>
        <v>245818.06999999937</v>
      </c>
      <c r="D142" s="129">
        <f>+D52-D132</f>
        <v>-609931.93000000005</v>
      </c>
      <c r="E142" s="19"/>
      <c r="F142" s="20"/>
      <c r="G142" s="42"/>
    </row>
    <row r="143" spans="1:7">
      <c r="A143" s="44" t="s">
        <v>103</v>
      </c>
      <c r="B143" s="178">
        <f>+B3-B133</f>
        <v>284730</v>
      </c>
      <c r="C143" s="178">
        <f>+C3-C133</f>
        <v>2097.9899999999907</v>
      </c>
      <c r="D143" s="178">
        <f>+D3-D133</f>
        <v>-282632.00999999989</v>
      </c>
      <c r="E143" s="19"/>
      <c r="F143" s="20"/>
      <c r="G143" s="42"/>
    </row>
    <row r="144" spans="1:7">
      <c r="A144" s="58" t="s">
        <v>104</v>
      </c>
      <c r="B144" s="178">
        <f>+B13-B134</f>
        <v>226750</v>
      </c>
      <c r="C144" s="178">
        <f>+C13-C134</f>
        <v>98702.050000000047</v>
      </c>
      <c r="D144" s="178">
        <f>+D13-D134</f>
        <v>-128047.95000000004</v>
      </c>
      <c r="E144" s="19"/>
      <c r="F144" s="20"/>
      <c r="G144" s="42"/>
    </row>
    <row r="145" spans="1:7">
      <c r="A145" s="57" t="s">
        <v>105</v>
      </c>
      <c r="B145" s="178">
        <f>+B22-B135</f>
        <v>309230</v>
      </c>
      <c r="C145" s="178">
        <f>+C22-C135</f>
        <v>165268.14999999991</v>
      </c>
      <c r="D145" s="178">
        <f>+D22-D135</f>
        <v>-143961.85000000003</v>
      </c>
      <c r="E145" s="19"/>
      <c r="F145" s="20"/>
      <c r="G145" s="42"/>
    </row>
    <row r="146" spans="1:7">
      <c r="A146" s="50" t="s">
        <v>106</v>
      </c>
      <c r="B146" s="178">
        <f>+B31-B136</f>
        <v>0</v>
      </c>
      <c r="C146" s="178">
        <f>+C31-C136</f>
        <v>0</v>
      </c>
      <c r="D146" s="178">
        <f>+D31-D136</f>
        <v>0</v>
      </c>
      <c r="E146" s="19"/>
      <c r="F146" s="20"/>
      <c r="G146" s="42"/>
    </row>
    <row r="147" spans="1:7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>
      <c r="A148" s="62" t="s">
        <v>108</v>
      </c>
      <c r="B148" s="178">
        <f>+B43-B138</f>
        <v>53800</v>
      </c>
      <c r="C148" s="178">
        <f>+C43-C138</f>
        <v>653.88000000000466</v>
      </c>
      <c r="D148" s="178">
        <f>+D48-D139</f>
        <v>0</v>
      </c>
      <c r="E148" s="19"/>
      <c r="F148" s="20"/>
      <c r="G148" s="42"/>
    </row>
    <row r="149" spans="1:7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>
      <c r="A150" s="201" t="s">
        <v>110</v>
      </c>
      <c r="B150" s="178">
        <f>+B49-B140</f>
        <v>-18760</v>
      </c>
      <c r="C150" s="178">
        <f>+C49-C140</f>
        <v>-20904</v>
      </c>
      <c r="D150" s="178">
        <f>+D49-D140</f>
        <v>-2144</v>
      </c>
      <c r="E150" s="19"/>
      <c r="F150" s="20"/>
      <c r="G150" s="42"/>
    </row>
    <row r="151" spans="1:7">
      <c r="D151" s="131"/>
      <c r="E151" s="21"/>
      <c r="F151" s="22"/>
      <c r="G151" s="43"/>
    </row>
    <row r="152" spans="1:7">
      <c r="A152" s="179" t="s">
        <v>111</v>
      </c>
      <c r="B152" s="180">
        <f>+B52/B132-1</f>
        <v>0.37218658258127646</v>
      </c>
      <c r="C152" s="180">
        <f>+C52/C132-1</f>
        <v>0.11169402300379661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1" priority="2" operator="lessThan">
      <formula>0</formula>
    </cfRule>
    <cfRule type="cellIs" dxfId="10" priority="3" operator="greaterThan">
      <formula>0</formula>
    </cfRule>
  </conditionalFormatting>
  <conditionalFormatting sqref="D4:D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{054EE881-023A-4E41-994C-B79B6C0E4609}</x14:id>
        </ext>
      </extLst>
    </cfRule>
  </conditionalFormatting>
  <conditionalFormatting sqref="D14:D2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{E29CBB46-4B9C-41E9-A53C-F0256B0D2F2F}</x14:id>
        </ext>
      </extLst>
    </cfRule>
  </conditionalFormatting>
  <conditionalFormatting sqref="D23:D3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{A8D4A66C-1E4E-492C-BF55-9CFF024F948F}</x14:id>
        </ext>
      </extLst>
    </cfRule>
  </conditionalFormatting>
  <conditionalFormatting sqref="D32:D3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{EE65B819-8FA5-4730-97DA-4886F3E27C3D}</x14:id>
        </ext>
      </extLst>
    </cfRule>
  </conditionalFormatting>
  <conditionalFormatting sqref="D36:D3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{9CF9A161-9A42-4BC8-9A3F-D46D9B664C57}</x14:id>
        </ext>
      </extLst>
    </cfRule>
  </conditionalFormatting>
  <conditionalFormatting sqref="D41:D4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{C5E83E44-BED7-417C-8FB4-B2C5BDD6852B}</x14:id>
        </ext>
      </extLst>
    </cfRule>
  </conditionalFormatting>
  <conditionalFormatting sqref="D44:D4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{B80B477C-7D66-4A1C-997C-4EFD3A3FD023}</x14:id>
        </ext>
      </extLst>
    </cfRule>
  </conditionalFormatting>
  <conditionalFormatting sqref="D47:D4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{D29435BA-1F29-4008-AACF-D889E44DE765}</x14:id>
        </ext>
      </extLst>
    </cfRule>
  </conditionalFormatting>
  <conditionalFormatting sqref="D50:D5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{457D5B04-BE14-496D-9EF4-2B268720EDAF}</x14:id>
        </ext>
      </extLst>
    </cfRule>
  </conditionalFormatting>
  <pageMargins left="0.7" right="0.7" top="0.78740157499999996" bottom="0.78740157499999996" header="0.3" footer="0.3"/>
  <pageSetup paperSize="8" fitToHeight="0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4EE881-023A-4E41-994C-B79B6C0E46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E29CBB46-4B9C-41E9-A53C-F0256B0D2F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A8D4A66C-1E4E-492C-BF55-9CFF024F94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EE65B819-8FA5-4730-97DA-4886F3E27C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9CF9A161-9A42-4BC8-9A3F-D46D9B66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C5E83E44-BED7-417C-8FB4-B2C5BDD685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B80B477C-7D66-4A1C-997C-4EFD3A3FD0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D29435BA-1F29-4008-AACF-D889E44DE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457D5B04-BE14-496D-9EF4-2B268720ED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52"/>
  <sheetViews>
    <sheetView zoomScale="90" zoomScaleNormal="90" workbookViewId="0">
      <pane ySplit="2" topLeftCell="A30" activePane="bottomLeft" state="frozen"/>
      <selection pane="bottomLeft"/>
    </sheetView>
  </sheetViews>
  <sheetFormatPr defaultRowHeight="14.25" outlineLevelRow="2"/>
  <cols>
    <col min="1" max="1" width="36.7109375" customWidth="1"/>
    <col min="2" max="4" width="14.85546875" style="130" customWidth="1"/>
    <col min="5" max="5" width="8.7109375" style="16" customWidth="1"/>
    <col min="6" max="6" width="8.7109375" style="17" customWidth="1"/>
    <col min="7" max="7" width="3.7109375" style="34" customWidth="1"/>
    <col min="8" max="8" width="13.28515625" style="6" customWidth="1"/>
    <col min="9" max="9" width="10" style="26" customWidth="1"/>
    <col min="10" max="10" width="10" style="27" customWidth="1"/>
    <col min="11" max="11" width="13.28515625" style="6" customWidth="1"/>
    <col min="12" max="12" width="10" style="30" customWidth="1"/>
    <col min="13" max="13" width="10" style="31" customWidth="1"/>
    <col min="14" max="14" width="13.28515625" style="6" customWidth="1"/>
    <col min="15" max="15" width="10" style="30" customWidth="1"/>
    <col min="16" max="16" width="10" style="32" customWidth="1"/>
    <col min="17" max="17" width="13.28515625" style="6" customWidth="1"/>
    <col min="18" max="18" width="10" style="30" customWidth="1"/>
    <col min="19" max="19" width="10" style="32" customWidth="1"/>
    <col min="20" max="20" width="13.28515625" style="6" customWidth="1"/>
    <col min="21" max="21" width="10" style="30" customWidth="1"/>
    <col min="22" max="22" width="10" style="32" customWidth="1"/>
  </cols>
  <sheetData>
    <row r="1" spans="1:22" s="66" customFormat="1" ht="21" customHeight="1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3.25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>
      <c r="A3" s="44" t="s">
        <v>13</v>
      </c>
      <c r="B3" s="91">
        <f>SUM(B4:B12)</f>
        <v>1095000</v>
      </c>
      <c r="C3" s="91">
        <f>SUM(C4:C12)</f>
        <v>305430.48000000004</v>
      </c>
      <c r="D3" s="91">
        <f>SUM(D4:D12)</f>
        <v>-789569.5199999999</v>
      </c>
      <c r="E3" s="46">
        <f>SUM(E4:E12)</f>
        <v>282</v>
      </c>
      <c r="F3" s="46">
        <f>SUM(F4:F12)</f>
        <v>15.666666666666666</v>
      </c>
      <c r="G3" s="36"/>
      <c r="H3" s="45">
        <f t="shared" ref="H3:V3" si="0">SUM(H4:H12)</f>
        <v>163788.47999999998</v>
      </c>
      <c r="I3" s="46">
        <f t="shared" si="0"/>
        <v>163</v>
      </c>
      <c r="J3" s="46">
        <f t="shared" si="0"/>
        <v>8.4861111111111107</v>
      </c>
      <c r="K3" s="45">
        <f t="shared" si="0"/>
        <v>141642</v>
      </c>
      <c r="L3" s="46">
        <f t="shared" si="0"/>
        <v>119</v>
      </c>
      <c r="M3" s="46">
        <f t="shared" si="0"/>
        <v>7.1805555555555554</v>
      </c>
      <c r="N3" s="45">
        <f t="shared" si="0"/>
        <v>0</v>
      </c>
      <c r="O3" s="46">
        <f t="shared" si="0"/>
        <v>0</v>
      </c>
      <c r="P3" s="46">
        <f t="shared" si="0"/>
        <v>0</v>
      </c>
      <c r="Q3" s="45">
        <f t="shared" si="0"/>
        <v>0</v>
      </c>
      <c r="R3" s="46">
        <f t="shared" si="0"/>
        <v>0</v>
      </c>
      <c r="S3" s="46">
        <f t="shared" si="0"/>
        <v>0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>
      <c r="A4" s="132" t="s">
        <v>14</v>
      </c>
      <c r="B4" s="92">
        <v>200000</v>
      </c>
      <c r="C4" s="92">
        <f>+H4+K4+N4+Q4+T4</f>
        <v>80953.56</v>
      </c>
      <c r="D4" s="93">
        <f t="shared" ref="D4:D10" si="1">+C4-B4</f>
        <v>-119046.44</v>
      </c>
      <c r="E4" s="18">
        <f>+I4+L4+O4+R4+U4</f>
        <v>83</v>
      </c>
      <c r="F4" s="18">
        <f>+J4+M4+P4+S4+V4</f>
        <v>4.9930555555555554</v>
      </c>
      <c r="G4" s="37"/>
      <c r="H4" s="181">
        <v>42736.68</v>
      </c>
      <c r="I4" s="182">
        <v>43</v>
      </c>
      <c r="J4" s="183">
        <v>2.6180555555555554</v>
      </c>
      <c r="K4" s="184">
        <v>38216.879999999997</v>
      </c>
      <c r="L4" s="185">
        <v>40</v>
      </c>
      <c r="M4" s="186">
        <v>2.375</v>
      </c>
      <c r="N4" s="184"/>
      <c r="O4" s="185"/>
      <c r="P4" s="186"/>
      <c r="Q4" s="187"/>
      <c r="R4" s="185"/>
      <c r="S4" s="186"/>
      <c r="T4" s="187"/>
      <c r="U4" s="185"/>
      <c r="V4" s="186"/>
    </row>
    <row r="5" spans="1:22" outlineLevel="2">
      <c r="A5" s="133" t="s">
        <v>15</v>
      </c>
      <c r="B5" s="92">
        <v>200000</v>
      </c>
      <c r="C5" s="92">
        <f t="shared" ref="C5:C10" si="2">+H5+K5+N5+Q5+T5</f>
        <v>0</v>
      </c>
      <c r="D5" s="93">
        <f t="shared" si="1"/>
        <v>-200000</v>
      </c>
      <c r="E5" s="18">
        <f t="shared" ref="E5:F12" si="3">+I5+L5+O5+R5+U5</f>
        <v>0</v>
      </c>
      <c r="F5" s="18">
        <f t="shared" si="3"/>
        <v>0</v>
      </c>
      <c r="G5" s="37"/>
      <c r="H5" s="181"/>
      <c r="I5" s="182"/>
      <c r="J5" s="183"/>
      <c r="K5" s="184"/>
      <c r="L5" s="185"/>
      <c r="M5" s="186"/>
      <c r="N5" s="184"/>
      <c r="O5" s="185"/>
      <c r="P5" s="186"/>
      <c r="Q5" s="187"/>
      <c r="R5" s="185"/>
      <c r="S5" s="186"/>
      <c r="T5" s="187"/>
      <c r="U5" s="185"/>
      <c r="V5" s="186"/>
    </row>
    <row r="6" spans="1:22" outlineLevel="2">
      <c r="A6" s="133" t="s">
        <v>16</v>
      </c>
      <c r="B6" s="92">
        <v>200000</v>
      </c>
      <c r="C6" s="92">
        <f t="shared" si="2"/>
        <v>32870.879999999997</v>
      </c>
      <c r="D6" s="93">
        <f t="shared" si="1"/>
        <v>-167129.12</v>
      </c>
      <c r="E6" s="18">
        <f t="shared" si="3"/>
        <v>36</v>
      </c>
      <c r="F6" s="18">
        <f t="shared" si="3"/>
        <v>2.1111111111111112</v>
      </c>
      <c r="G6" s="37"/>
      <c r="H6" s="181">
        <v>21386.16</v>
      </c>
      <c r="I6" s="182">
        <v>27</v>
      </c>
      <c r="J6" s="183">
        <v>1.3611111111111112</v>
      </c>
      <c r="K6" s="184">
        <v>11484.72</v>
      </c>
      <c r="L6" s="185">
        <v>9</v>
      </c>
      <c r="M6" s="186">
        <v>0.75</v>
      </c>
      <c r="N6" s="184"/>
      <c r="O6" s="185"/>
      <c r="P6" s="186"/>
      <c r="Q6" s="187"/>
      <c r="R6" s="185"/>
      <c r="S6" s="186"/>
      <c r="T6" s="187"/>
      <c r="U6" s="185"/>
      <c r="V6" s="186"/>
    </row>
    <row r="7" spans="1:22" s="78" customFormat="1" outlineLevel="2">
      <c r="A7" s="362" t="s">
        <v>148</v>
      </c>
      <c r="B7" s="92">
        <v>200000</v>
      </c>
      <c r="C7" s="94">
        <f t="shared" si="2"/>
        <v>45416.160000000003</v>
      </c>
      <c r="D7" s="95">
        <f t="shared" si="1"/>
        <v>-154583.84</v>
      </c>
      <c r="E7" s="69">
        <f t="shared" si="3"/>
        <v>62</v>
      </c>
      <c r="F7" s="69">
        <f t="shared" si="3"/>
        <v>2.5694444444444446</v>
      </c>
      <c r="G7" s="70"/>
      <c r="H7" s="195">
        <v>31491.72</v>
      </c>
      <c r="I7" s="182">
        <v>42</v>
      </c>
      <c r="J7" s="183">
        <v>1.7708333333333333</v>
      </c>
      <c r="K7" s="305">
        <v>13924.44</v>
      </c>
      <c r="L7" s="306">
        <v>20</v>
      </c>
      <c r="M7" s="307">
        <v>0.79861111111111116</v>
      </c>
      <c r="N7" s="191"/>
      <c r="O7" s="192"/>
      <c r="P7" s="193"/>
      <c r="Q7" s="194"/>
      <c r="R7" s="192"/>
      <c r="S7" s="193"/>
      <c r="T7" s="194"/>
      <c r="U7" s="192"/>
      <c r="V7" s="193"/>
    </row>
    <row r="8" spans="1:22" outlineLevel="2">
      <c r="A8" s="132" t="s">
        <v>18</v>
      </c>
      <c r="B8" s="92">
        <v>30000</v>
      </c>
      <c r="C8" s="92">
        <f t="shared" si="2"/>
        <v>6116.04</v>
      </c>
      <c r="D8" s="216">
        <f t="shared" si="1"/>
        <v>-23883.96</v>
      </c>
      <c r="E8" s="18">
        <f t="shared" si="3"/>
        <v>14</v>
      </c>
      <c r="F8" s="18">
        <f t="shared" si="3"/>
        <v>0.25694444444444448</v>
      </c>
      <c r="G8" s="37"/>
      <c r="H8" s="195">
        <v>1368.36</v>
      </c>
      <c r="I8" s="182">
        <v>7</v>
      </c>
      <c r="J8" s="183">
        <v>4.8611111111111112E-2</v>
      </c>
      <c r="K8" s="184">
        <v>4747.68</v>
      </c>
      <c r="L8" s="185">
        <v>7</v>
      </c>
      <c r="M8" s="186">
        <v>0.20833333333333334</v>
      </c>
      <c r="N8" s="184"/>
      <c r="O8" s="185"/>
      <c r="P8" s="186"/>
      <c r="Q8" s="187"/>
      <c r="R8" s="185"/>
      <c r="S8" s="186"/>
      <c r="T8" s="187"/>
      <c r="U8" s="185"/>
      <c r="V8" s="186"/>
    </row>
    <row r="9" spans="1:22" outlineLevel="2">
      <c r="A9" s="132" t="s">
        <v>49</v>
      </c>
      <c r="B9" s="92">
        <f>450000*0.5</f>
        <v>225000</v>
      </c>
      <c r="C9" s="92">
        <f t="shared" si="2"/>
        <v>113605.20000000001</v>
      </c>
      <c r="D9" s="93">
        <f t="shared" si="1"/>
        <v>-111394.79999999999</v>
      </c>
      <c r="E9" s="18">
        <f t="shared" si="3"/>
        <v>67</v>
      </c>
      <c r="F9" s="18">
        <f t="shared" si="3"/>
        <v>4.6527777777777777</v>
      </c>
      <c r="G9" s="37"/>
      <c r="H9" s="195">
        <v>56768.04</v>
      </c>
      <c r="I9" s="182">
        <v>38</v>
      </c>
      <c r="J9" s="183">
        <v>2.3125</v>
      </c>
      <c r="K9" s="184">
        <v>56837.16</v>
      </c>
      <c r="L9" s="185">
        <v>29</v>
      </c>
      <c r="M9" s="186">
        <v>2.3402777777777777</v>
      </c>
      <c r="N9" s="184"/>
      <c r="O9" s="185"/>
      <c r="P9" s="186"/>
      <c r="Q9" s="187"/>
      <c r="R9" s="185"/>
      <c r="S9" s="186"/>
      <c r="T9" s="187"/>
      <c r="U9" s="185"/>
      <c r="V9" s="186"/>
    </row>
    <row r="10" spans="1:22" outlineLevel="2">
      <c r="A10" s="134" t="s">
        <v>144</v>
      </c>
      <c r="B10" s="94">
        <v>0</v>
      </c>
      <c r="C10" s="215">
        <f t="shared" si="2"/>
        <v>0</v>
      </c>
      <c r="D10" s="93">
        <f t="shared" si="1"/>
        <v>0</v>
      </c>
      <c r="E10" s="18">
        <f t="shared" si="3"/>
        <v>0</v>
      </c>
      <c r="F10" s="18">
        <f t="shared" si="3"/>
        <v>0</v>
      </c>
      <c r="G10" s="37"/>
      <c r="H10" s="195"/>
      <c r="I10" s="182"/>
      <c r="J10" s="183"/>
      <c r="K10" s="184"/>
      <c r="L10" s="185"/>
      <c r="M10" s="186"/>
      <c r="N10" s="184"/>
      <c r="O10" s="185"/>
      <c r="P10" s="186"/>
      <c r="Q10" s="187"/>
      <c r="R10" s="185"/>
      <c r="S10" s="186"/>
      <c r="T10" s="187"/>
      <c r="U10" s="185"/>
      <c r="V10" s="186"/>
    </row>
    <row r="11" spans="1:22" s="78" customFormat="1" outlineLevel="2">
      <c r="A11" s="165" t="s">
        <v>132</v>
      </c>
      <c r="B11" s="215">
        <v>40000</v>
      </c>
      <c r="C11" s="215">
        <f>+H11+K11+N11+Q11+T11</f>
        <v>26468.639999999999</v>
      </c>
      <c r="D11" s="216">
        <f>+C11-B11</f>
        <v>-13531.36</v>
      </c>
      <c r="E11" s="217">
        <f t="shared" si="3"/>
        <v>20</v>
      </c>
      <c r="F11" s="217">
        <f t="shared" si="3"/>
        <v>1.0833333333333335</v>
      </c>
      <c r="G11" s="70"/>
      <c r="H11" s="195">
        <v>10037.52</v>
      </c>
      <c r="I11" s="182">
        <v>6</v>
      </c>
      <c r="J11" s="183">
        <v>0.375</v>
      </c>
      <c r="K11" s="305">
        <v>16431.12</v>
      </c>
      <c r="L11" s="306">
        <v>14</v>
      </c>
      <c r="M11" s="307">
        <v>0.70833333333333337</v>
      </c>
      <c r="N11" s="191"/>
      <c r="O11" s="192"/>
      <c r="P11" s="193"/>
      <c r="Q11" s="194"/>
      <c r="R11" s="192"/>
      <c r="S11" s="193"/>
      <c r="T11" s="194"/>
      <c r="U11" s="192"/>
      <c r="V11" s="193"/>
    </row>
    <row r="12" spans="1:22" s="78" customFormat="1" outlineLevel="2">
      <c r="A12" s="308" t="s">
        <v>133</v>
      </c>
      <c r="B12" s="330">
        <v>0</v>
      </c>
      <c r="C12" s="330">
        <f>+H12+K12+N12+Q12+T12</f>
        <v>0</v>
      </c>
      <c r="D12" s="95">
        <f>+C12-B12</f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2">
      <c r="A13" s="58" t="s">
        <v>22</v>
      </c>
      <c r="B13" s="96">
        <f>SUM(B14:B21)</f>
        <v>1065000</v>
      </c>
      <c r="C13" s="96">
        <f>SUM(C14:C21)</f>
        <v>398731.68</v>
      </c>
      <c r="D13" s="96">
        <f>SUM(D14:D21)</f>
        <v>-666268.48</v>
      </c>
      <c r="E13" s="54">
        <f>SUM(E14:E21)</f>
        <v>351</v>
      </c>
      <c r="F13" s="54">
        <f>SUM(F14:F21)</f>
        <v>25.343750000000004</v>
      </c>
      <c r="G13" s="37"/>
      <c r="H13" s="53">
        <f t="shared" ref="H13:V13" si="4">SUM(H14:H21)</f>
        <v>217742.04</v>
      </c>
      <c r="I13" s="54">
        <f t="shared" si="4"/>
        <v>167</v>
      </c>
      <c r="J13" s="54">
        <f t="shared" si="4"/>
        <v>11.888888888888889</v>
      </c>
      <c r="K13" s="53">
        <f t="shared" si="4"/>
        <v>247884.84</v>
      </c>
      <c r="L13" s="54">
        <f t="shared" si="4"/>
        <v>184</v>
      </c>
      <c r="M13" s="54">
        <f t="shared" si="4"/>
        <v>13.454861111111111</v>
      </c>
      <c r="N13" s="53">
        <f t="shared" si="4"/>
        <v>0</v>
      </c>
      <c r="O13" s="54">
        <f t="shared" si="4"/>
        <v>0</v>
      </c>
      <c r="P13" s="54">
        <f t="shared" si="4"/>
        <v>0</v>
      </c>
      <c r="Q13" s="53">
        <f t="shared" si="4"/>
        <v>0</v>
      </c>
      <c r="R13" s="54">
        <f t="shared" si="4"/>
        <v>0</v>
      </c>
      <c r="S13" s="54">
        <f t="shared" si="4"/>
        <v>0</v>
      </c>
      <c r="T13" s="53">
        <f t="shared" si="4"/>
        <v>0</v>
      </c>
      <c r="U13" s="54">
        <f t="shared" si="4"/>
        <v>0</v>
      </c>
      <c r="V13" s="54">
        <f t="shared" si="4"/>
        <v>0</v>
      </c>
    </row>
    <row r="14" spans="1:22" outlineLevel="2">
      <c r="A14" s="133" t="s">
        <v>23</v>
      </c>
      <c r="B14" s="97">
        <v>200000</v>
      </c>
      <c r="C14" s="92">
        <f t="shared" ref="C14:C51" si="5">+H14+K14+N14+Q14+T14</f>
        <v>86196.959999999992</v>
      </c>
      <c r="D14" s="93">
        <f t="shared" ref="D14:D21" si="6">+C14-B14</f>
        <v>-113803.04000000001</v>
      </c>
      <c r="E14" s="18">
        <f t="shared" ref="E14:F21" si="7">+I14+L14+O14+R14+U14</f>
        <v>85</v>
      </c>
      <c r="F14" s="18">
        <f t="shared" si="7"/>
        <v>5.1875</v>
      </c>
      <c r="G14" s="37"/>
      <c r="H14" s="181">
        <v>40289.4</v>
      </c>
      <c r="I14" s="182">
        <v>40</v>
      </c>
      <c r="J14" s="183">
        <v>2.4131944444444446</v>
      </c>
      <c r="K14" s="184">
        <v>45907.56</v>
      </c>
      <c r="L14" s="185">
        <v>45</v>
      </c>
      <c r="M14" s="186">
        <v>2.7743055555555554</v>
      </c>
      <c r="N14" s="184"/>
      <c r="O14" s="185"/>
      <c r="P14" s="186"/>
      <c r="Q14" s="187"/>
      <c r="R14" s="185"/>
      <c r="S14" s="186"/>
      <c r="T14" s="187"/>
      <c r="U14" s="185"/>
      <c r="V14" s="186"/>
    </row>
    <row r="15" spans="1:22" s="226" customFormat="1" outlineLevel="2">
      <c r="A15" s="165" t="s">
        <v>141</v>
      </c>
      <c r="B15" s="97">
        <v>200000</v>
      </c>
      <c r="C15" s="215">
        <f t="shared" si="5"/>
        <v>80051.760000000009</v>
      </c>
      <c r="D15" s="216">
        <f t="shared" si="6"/>
        <v>-119948.23999999999</v>
      </c>
      <c r="E15" s="217">
        <f t="shared" si="7"/>
        <v>78</v>
      </c>
      <c r="F15" s="217">
        <f t="shared" si="7"/>
        <v>4.9027777777777777</v>
      </c>
      <c r="G15" s="218"/>
      <c r="H15" s="219">
        <v>34565.4</v>
      </c>
      <c r="I15" s="220">
        <v>34</v>
      </c>
      <c r="J15" s="221">
        <v>2.0763888888888888</v>
      </c>
      <c r="K15" s="222">
        <v>45486.36</v>
      </c>
      <c r="L15" s="223">
        <v>44</v>
      </c>
      <c r="M15" s="224">
        <v>2.8263888888888888</v>
      </c>
      <c r="N15" s="222"/>
      <c r="O15" s="223"/>
      <c r="P15" s="224"/>
      <c r="Q15" s="225"/>
      <c r="R15" s="223"/>
      <c r="S15" s="224"/>
      <c r="T15" s="225"/>
      <c r="U15" s="223"/>
      <c r="V15" s="224"/>
    </row>
    <row r="16" spans="1:22" s="226" customFormat="1" outlineLevel="2">
      <c r="A16" s="165" t="s">
        <v>149</v>
      </c>
      <c r="B16" s="97">
        <v>200000</v>
      </c>
      <c r="C16" s="215">
        <v>32834.160000000003</v>
      </c>
      <c r="D16" s="216">
        <v>-167166</v>
      </c>
      <c r="E16" s="217">
        <f t="shared" si="7"/>
        <v>34</v>
      </c>
      <c r="F16" s="217">
        <f t="shared" si="7"/>
        <v>4.145833333333333</v>
      </c>
      <c r="G16" s="218"/>
      <c r="H16" s="219">
        <v>32834.160000000003</v>
      </c>
      <c r="I16" s="220">
        <v>17</v>
      </c>
      <c r="J16" s="221">
        <v>2.0555555555555554</v>
      </c>
      <c r="K16" s="222">
        <v>32957.279999999999</v>
      </c>
      <c r="L16" s="223">
        <v>17</v>
      </c>
      <c r="M16" s="224">
        <v>2.0902777777777777</v>
      </c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2" s="226" customFormat="1" outlineLevel="2">
      <c r="A17" s="165" t="s">
        <v>150</v>
      </c>
      <c r="B17" s="97">
        <v>200000</v>
      </c>
      <c r="C17" s="215">
        <v>32187.24</v>
      </c>
      <c r="D17" s="216">
        <f t="shared" si="6"/>
        <v>-167812.76</v>
      </c>
      <c r="E17" s="217">
        <f t="shared" ref="E17" si="8">+I17+L17+O17+R17+U17</f>
        <v>39</v>
      </c>
      <c r="F17" s="217">
        <f t="shared" ref="F17" si="9">+J17+M17+P17+S17+V17</f>
        <v>4.1979166666666661</v>
      </c>
      <c r="G17" s="218"/>
      <c r="H17" s="219">
        <v>32187.24</v>
      </c>
      <c r="I17" s="220">
        <v>18</v>
      </c>
      <c r="J17" s="221">
        <v>2.03125</v>
      </c>
      <c r="K17" s="222">
        <v>33937.919999999998</v>
      </c>
      <c r="L17" s="223">
        <v>21</v>
      </c>
      <c r="M17" s="224">
        <v>2.1666666666666665</v>
      </c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2" s="226" customFormat="1" outlineLevel="2">
      <c r="A18" s="165" t="s">
        <v>125</v>
      </c>
      <c r="B18" s="215">
        <f>450000/2</f>
        <v>225000</v>
      </c>
      <c r="C18" s="215">
        <f t="shared" si="5"/>
        <v>127131.12</v>
      </c>
      <c r="D18" s="216">
        <f t="shared" si="6"/>
        <v>-97868.88</v>
      </c>
      <c r="E18" s="217">
        <f t="shared" si="7"/>
        <v>82</v>
      </c>
      <c r="F18" s="217">
        <f t="shared" si="7"/>
        <v>5.1180555555555554</v>
      </c>
      <c r="G18" s="218"/>
      <c r="H18" s="219">
        <v>60956.28</v>
      </c>
      <c r="I18" s="220">
        <v>43</v>
      </c>
      <c r="J18" s="221">
        <v>2.5625</v>
      </c>
      <c r="K18" s="222">
        <v>66174.84</v>
      </c>
      <c r="L18" s="223">
        <v>39</v>
      </c>
      <c r="M18" s="224">
        <v>2.5555555555555554</v>
      </c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2" s="78" customFormat="1" outlineLevel="2">
      <c r="A19" s="134" t="s">
        <v>28</v>
      </c>
      <c r="B19" s="94">
        <v>0</v>
      </c>
      <c r="C19" s="94">
        <f t="shared" si="5"/>
        <v>0</v>
      </c>
      <c r="D19" s="95">
        <f t="shared" si="6"/>
        <v>0</v>
      </c>
      <c r="E19" s="69">
        <f t="shared" si="7"/>
        <v>0</v>
      </c>
      <c r="F19" s="69">
        <f t="shared" si="7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2" s="226" customFormat="1" outlineLevel="2">
      <c r="A20" s="165" t="s">
        <v>146</v>
      </c>
      <c r="B20" s="215">
        <v>40000</v>
      </c>
      <c r="C20" s="215">
        <f t="shared" si="5"/>
        <v>40330.44</v>
      </c>
      <c r="D20" s="216">
        <f t="shared" si="6"/>
        <v>330.44000000000233</v>
      </c>
      <c r="E20" s="217">
        <f t="shared" si="7"/>
        <v>33</v>
      </c>
      <c r="F20" s="217">
        <f t="shared" si="7"/>
        <v>1.7916666666666667</v>
      </c>
      <c r="G20" s="218"/>
      <c r="H20" s="219">
        <v>16909.560000000001</v>
      </c>
      <c r="I20" s="220">
        <v>15</v>
      </c>
      <c r="J20" s="221">
        <v>0.75</v>
      </c>
      <c r="K20" s="222">
        <v>23420.880000000001</v>
      </c>
      <c r="L20" s="223">
        <v>18</v>
      </c>
      <c r="M20" s="224">
        <v>1.0416666666666667</v>
      </c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2" s="78" customFormat="1" outlineLevel="2">
      <c r="A21" s="165" t="s">
        <v>147</v>
      </c>
      <c r="B21" s="215">
        <v>0</v>
      </c>
      <c r="C21" s="94">
        <f t="shared" si="5"/>
        <v>0</v>
      </c>
      <c r="D21" s="95">
        <f t="shared" si="6"/>
        <v>0</v>
      </c>
      <c r="E21" s="69">
        <f t="shared" si="7"/>
        <v>0</v>
      </c>
      <c r="F21" s="69">
        <f t="shared" si="7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2">
      <c r="A22" s="57" t="s">
        <v>29</v>
      </c>
      <c r="B22" s="98">
        <f>SUM(B23:B30)</f>
        <v>1025000</v>
      </c>
      <c r="C22" s="98">
        <f>SUM(C23:C30)</f>
        <v>562051.43999999994</v>
      </c>
      <c r="D22" s="98">
        <f>SUM(D23:D30)</f>
        <v>-462948.56000000006</v>
      </c>
      <c r="E22" s="56">
        <f>SUM(E23:E30)</f>
        <v>489</v>
      </c>
      <c r="F22" s="56">
        <f>SUM(F23:F30)</f>
        <v>30.142361111111114</v>
      </c>
      <c r="G22" s="37"/>
      <c r="H22" s="55">
        <f t="shared" ref="H22:V22" si="10">SUM(H23:H30)</f>
        <v>299739.95999999996</v>
      </c>
      <c r="I22" s="56">
        <f t="shared" si="10"/>
        <v>251</v>
      </c>
      <c r="J22" s="56">
        <f t="shared" si="10"/>
        <v>15.711805555555554</v>
      </c>
      <c r="K22" s="55">
        <f t="shared" si="10"/>
        <v>262311.48</v>
      </c>
      <c r="L22" s="56">
        <f t="shared" si="10"/>
        <v>238</v>
      </c>
      <c r="M22" s="56">
        <f t="shared" si="10"/>
        <v>14.430555555555555</v>
      </c>
      <c r="N22" s="55">
        <f t="shared" si="10"/>
        <v>0</v>
      </c>
      <c r="O22" s="56">
        <f t="shared" si="10"/>
        <v>0</v>
      </c>
      <c r="P22" s="56">
        <f t="shared" si="10"/>
        <v>0</v>
      </c>
      <c r="Q22" s="55">
        <f t="shared" si="10"/>
        <v>0</v>
      </c>
      <c r="R22" s="56">
        <f t="shared" si="10"/>
        <v>0</v>
      </c>
      <c r="S22" s="56">
        <f t="shared" si="10"/>
        <v>0</v>
      </c>
      <c r="T22" s="55">
        <f t="shared" si="10"/>
        <v>0</v>
      </c>
      <c r="U22" s="56">
        <f t="shared" si="10"/>
        <v>0</v>
      </c>
      <c r="V22" s="56">
        <f t="shared" si="10"/>
        <v>0</v>
      </c>
    </row>
    <row r="23" spans="1:22" s="226" customFormat="1" outlineLevel="2">
      <c r="A23" s="165" t="s">
        <v>30</v>
      </c>
      <c r="B23" s="215">
        <f>200000</f>
        <v>200000</v>
      </c>
      <c r="C23" s="215">
        <f t="shared" si="5"/>
        <v>115508.16</v>
      </c>
      <c r="D23" s="216">
        <f t="shared" ref="D23:D51" si="11">+C23-B23</f>
        <v>-84491.839999999997</v>
      </c>
      <c r="E23" s="217">
        <f t="shared" ref="E23:F30" si="12">+I23+L23+O23+R23+U23</f>
        <v>110</v>
      </c>
      <c r="F23" s="217">
        <f t="shared" si="12"/>
        <v>6.8541666666666661</v>
      </c>
      <c r="G23" s="218"/>
      <c r="H23" s="219">
        <v>58836.24</v>
      </c>
      <c r="I23" s="220">
        <v>60</v>
      </c>
      <c r="J23" s="221">
        <v>3.4930555555555554</v>
      </c>
      <c r="K23" s="222">
        <v>56671.92</v>
      </c>
      <c r="L23" s="223">
        <v>50</v>
      </c>
      <c r="M23" s="224">
        <v>3.3611111111111112</v>
      </c>
      <c r="N23" s="222"/>
      <c r="O23" s="223"/>
      <c r="P23" s="224"/>
      <c r="Q23" s="225"/>
      <c r="R23" s="223"/>
      <c r="S23" s="224"/>
      <c r="T23" s="225"/>
      <c r="U23" s="223"/>
      <c r="V23" s="224"/>
    </row>
    <row r="24" spans="1:22" s="226" customFormat="1" outlineLevel="2">
      <c r="A24" s="165" t="s">
        <v>117</v>
      </c>
      <c r="B24" s="215">
        <f t="shared" ref="B24:B26" si="13">200000</f>
        <v>200000</v>
      </c>
      <c r="C24" s="215">
        <f t="shared" si="5"/>
        <v>78706.080000000002</v>
      </c>
      <c r="D24" s="216">
        <f t="shared" si="11"/>
        <v>-121293.92</v>
      </c>
      <c r="E24" s="217">
        <f t="shared" si="12"/>
        <v>90</v>
      </c>
      <c r="F24" s="217">
        <f t="shared" si="12"/>
        <v>4.6631944444444446</v>
      </c>
      <c r="G24" s="218"/>
      <c r="H24" s="219">
        <v>41534.639999999999</v>
      </c>
      <c r="I24" s="220">
        <v>47</v>
      </c>
      <c r="J24" s="221">
        <v>2.4479166666666665</v>
      </c>
      <c r="K24" s="222">
        <v>37171.440000000002</v>
      </c>
      <c r="L24" s="223">
        <v>43</v>
      </c>
      <c r="M24" s="224">
        <v>2.2152777777777777</v>
      </c>
      <c r="N24" s="222"/>
      <c r="O24" s="223"/>
      <c r="P24" s="224"/>
      <c r="Q24" s="225"/>
      <c r="R24" s="223"/>
      <c r="S24" s="224"/>
      <c r="T24" s="225"/>
      <c r="U24" s="223"/>
      <c r="V24" s="224"/>
    </row>
    <row r="25" spans="1:22" s="226" customFormat="1" outlineLevel="2">
      <c r="A25" s="165" t="s">
        <v>118</v>
      </c>
      <c r="B25" s="215">
        <f t="shared" si="13"/>
        <v>200000</v>
      </c>
      <c r="C25" s="215">
        <f t="shared" si="5"/>
        <v>119403.72</v>
      </c>
      <c r="D25" s="216">
        <f t="shared" si="11"/>
        <v>-80596.28</v>
      </c>
      <c r="E25" s="217">
        <f t="shared" si="12"/>
        <v>120</v>
      </c>
      <c r="F25" s="217">
        <f t="shared" si="12"/>
        <v>7.0277777777777777</v>
      </c>
      <c r="G25" s="218"/>
      <c r="H25" s="219">
        <v>60500.52</v>
      </c>
      <c r="I25" s="220">
        <v>61</v>
      </c>
      <c r="J25" s="221">
        <v>3.5416666666666665</v>
      </c>
      <c r="K25" s="222">
        <v>58903.199999999997</v>
      </c>
      <c r="L25" s="223">
        <v>59</v>
      </c>
      <c r="M25" s="224">
        <v>3.4861111111111112</v>
      </c>
      <c r="N25" s="222"/>
      <c r="O25" s="223"/>
      <c r="P25" s="224"/>
      <c r="Q25" s="225"/>
      <c r="R25" s="223"/>
      <c r="S25" s="224"/>
      <c r="T25" s="225"/>
      <c r="U25" s="223"/>
      <c r="V25" s="224"/>
    </row>
    <row r="26" spans="1:22" s="226" customFormat="1" outlineLevel="2">
      <c r="A26" s="165" t="s">
        <v>33</v>
      </c>
      <c r="B26" s="215">
        <f t="shared" si="13"/>
        <v>200000</v>
      </c>
      <c r="C26" s="215">
        <f t="shared" si="5"/>
        <v>88174.44</v>
      </c>
      <c r="D26" s="216">
        <f t="shared" si="11"/>
        <v>-111825.56</v>
      </c>
      <c r="E26" s="217">
        <f t="shared" si="12"/>
        <v>91</v>
      </c>
      <c r="F26" s="217">
        <f t="shared" si="12"/>
        <v>5.2569444444444446</v>
      </c>
      <c r="G26" s="218"/>
      <c r="H26" s="219">
        <v>37942.559999999998</v>
      </c>
      <c r="I26" s="220">
        <v>38</v>
      </c>
      <c r="J26" s="221">
        <v>2.2777777777777777</v>
      </c>
      <c r="K26" s="222">
        <v>50231.88</v>
      </c>
      <c r="L26" s="223">
        <v>53</v>
      </c>
      <c r="M26" s="224">
        <v>2.9791666666666665</v>
      </c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2" s="226" customFormat="1" outlineLevel="2">
      <c r="A27" s="165" t="s">
        <v>125</v>
      </c>
      <c r="B27" s="92">
        <f>450000*0.5</f>
        <v>225000</v>
      </c>
      <c r="C27" s="215">
        <f t="shared" si="5"/>
        <v>160259.04</v>
      </c>
      <c r="D27" s="216">
        <f t="shared" si="11"/>
        <v>-64740.959999999992</v>
      </c>
      <c r="E27" s="217">
        <f t="shared" si="12"/>
        <v>78</v>
      </c>
      <c r="F27" s="217">
        <f t="shared" si="12"/>
        <v>6.3402777777777777</v>
      </c>
      <c r="G27" s="218"/>
      <c r="H27" s="219">
        <v>100926</v>
      </c>
      <c r="I27" s="220">
        <v>45</v>
      </c>
      <c r="J27" s="221">
        <v>3.9513888888888888</v>
      </c>
      <c r="K27" s="222">
        <v>59333.04</v>
      </c>
      <c r="L27" s="223">
        <v>33</v>
      </c>
      <c r="M27" s="224">
        <v>2.3888888888888888</v>
      </c>
      <c r="N27" s="222"/>
      <c r="O27" s="223"/>
      <c r="P27" s="224"/>
      <c r="Q27" s="225"/>
      <c r="R27" s="223"/>
      <c r="S27" s="224"/>
      <c r="T27" s="225"/>
      <c r="U27" s="223"/>
      <c r="V27" s="224"/>
    </row>
    <row r="28" spans="1:22" s="78" customFormat="1" outlineLevel="2">
      <c r="A28" s="134" t="s">
        <v>28</v>
      </c>
      <c r="B28" s="94">
        <v>0</v>
      </c>
      <c r="C28" s="94">
        <f t="shared" si="5"/>
        <v>0</v>
      </c>
      <c r="D28" s="95">
        <f t="shared" si="11"/>
        <v>0</v>
      </c>
      <c r="E28" s="69">
        <f t="shared" si="12"/>
        <v>0</v>
      </c>
      <c r="F28" s="69">
        <f t="shared" si="12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2" s="226" customFormat="1" outlineLevel="2">
      <c r="A29" s="165" t="s">
        <v>142</v>
      </c>
      <c r="B29" s="215">
        <v>0</v>
      </c>
      <c r="C29" s="215">
        <f t="shared" si="5"/>
        <v>0</v>
      </c>
      <c r="D29" s="216">
        <f t="shared" si="11"/>
        <v>0</v>
      </c>
      <c r="E29" s="217">
        <f t="shared" si="12"/>
        <v>0</v>
      </c>
      <c r="F29" s="217">
        <f t="shared" si="12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2" s="78" customFormat="1" outlineLevel="2">
      <c r="A30" s="134" t="s">
        <v>21</v>
      </c>
      <c r="B30" s="94">
        <v>0</v>
      </c>
      <c r="C30" s="94">
        <f t="shared" si="5"/>
        <v>0</v>
      </c>
      <c r="D30" s="95">
        <f t="shared" si="11"/>
        <v>0</v>
      </c>
      <c r="E30" s="69">
        <f t="shared" si="12"/>
        <v>0</v>
      </c>
      <c r="F30" s="69">
        <f t="shared" si="12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2">
      <c r="A31" s="50" t="s">
        <v>34</v>
      </c>
      <c r="B31" s="99">
        <f>SUM(B32:B39)</f>
        <v>898700</v>
      </c>
      <c r="C31" s="99">
        <f t="shared" ref="C31:D31" si="14">SUM(C32:C39)</f>
        <v>0</v>
      </c>
      <c r="D31" s="99">
        <f t="shared" si="14"/>
        <v>-898700</v>
      </c>
      <c r="E31" s="52">
        <f>SUM(E32:E39)</f>
        <v>0</v>
      </c>
      <c r="F31" s="52">
        <f>SUM(F32:F39)</f>
        <v>0</v>
      </c>
      <c r="G31" s="37"/>
      <c r="H31" s="51">
        <f t="shared" ref="H31" si="15">SUM(H32:H39)</f>
        <v>0</v>
      </c>
      <c r="I31" s="52">
        <f>SUM(I32:I39)</f>
        <v>0</v>
      </c>
      <c r="J31" s="52">
        <f>SUM(J32:J39)</f>
        <v>0</v>
      </c>
      <c r="K31" s="51">
        <f t="shared" ref="K31" si="16">SUM(K32:K39)</f>
        <v>0</v>
      </c>
      <c r="L31" s="52">
        <f>SUM(L32:L39)</f>
        <v>0</v>
      </c>
      <c r="M31" s="52">
        <f>SUM(M32:M39)</f>
        <v>0</v>
      </c>
      <c r="N31" s="51">
        <f t="shared" ref="N31" si="17">SUM(N32:N39)</f>
        <v>0</v>
      </c>
      <c r="O31" s="52">
        <f>SUM(O32:O39)</f>
        <v>0</v>
      </c>
      <c r="P31" s="52">
        <f>SUM(P32:P39)</f>
        <v>0</v>
      </c>
      <c r="Q31" s="51">
        <f t="shared" ref="Q31" si="18">SUM(Q32:Q39)</f>
        <v>0</v>
      </c>
      <c r="R31" s="52">
        <f>SUM(R32:R39)</f>
        <v>0</v>
      </c>
      <c r="S31" s="52">
        <f>SUM(S32:S39)</f>
        <v>0</v>
      </c>
      <c r="T31" s="51">
        <f t="shared" ref="T31" si="19">SUM(T32:T39)</f>
        <v>0</v>
      </c>
      <c r="U31" s="52">
        <f>SUM(U32:U39)</f>
        <v>0</v>
      </c>
      <c r="V31" s="52">
        <f>SUM(V32:V39)</f>
        <v>0</v>
      </c>
    </row>
    <row r="32" spans="1:22" s="226" customFormat="1" outlineLevel="2">
      <c r="A32" s="165" t="s">
        <v>130</v>
      </c>
      <c r="B32" s="215">
        <v>0</v>
      </c>
      <c r="C32" s="215">
        <f t="shared" si="5"/>
        <v>0</v>
      </c>
      <c r="D32" s="216">
        <f t="shared" si="11"/>
        <v>0</v>
      </c>
      <c r="E32" s="217">
        <f t="shared" ref="E32:F39" si="20">+I32+L32+O32+R32+U32</f>
        <v>0</v>
      </c>
      <c r="F32" s="217">
        <f t="shared" si="20"/>
        <v>0</v>
      </c>
      <c r="G32" s="218"/>
      <c r="H32" s="219"/>
      <c r="I32" s="220"/>
      <c r="J32" s="221"/>
      <c r="K32" s="222"/>
      <c r="L32" s="223"/>
      <c r="M32" s="224"/>
      <c r="N32" s="222"/>
      <c r="O32" s="223"/>
      <c r="P32" s="224"/>
      <c r="Q32" s="225"/>
      <c r="R32" s="223"/>
      <c r="S32" s="224"/>
      <c r="T32" s="225"/>
      <c r="U32" s="223"/>
      <c r="V32" s="224"/>
    </row>
    <row r="33" spans="1:22" s="226" customFormat="1" outlineLevel="2">
      <c r="A33" s="165" t="s">
        <v>36</v>
      </c>
      <c r="B33" s="215">
        <f t="shared" ref="B33:B35" si="21">200000</f>
        <v>200000</v>
      </c>
      <c r="C33" s="215">
        <f t="shared" si="5"/>
        <v>0</v>
      </c>
      <c r="D33" s="216">
        <f t="shared" si="11"/>
        <v>-200000</v>
      </c>
      <c r="E33" s="217">
        <f t="shared" si="20"/>
        <v>0</v>
      </c>
      <c r="F33" s="217">
        <f t="shared" si="20"/>
        <v>0</v>
      </c>
      <c r="G33" s="218"/>
      <c r="H33" s="219"/>
      <c r="I33" s="220"/>
      <c r="J33" s="221"/>
      <c r="K33" s="222"/>
      <c r="L33" s="223"/>
      <c r="M33" s="224"/>
      <c r="N33" s="222"/>
      <c r="O33" s="223"/>
      <c r="P33" s="224"/>
      <c r="Q33" s="225"/>
      <c r="R33" s="223"/>
      <c r="S33" s="224"/>
      <c r="T33" s="225"/>
      <c r="U33" s="223"/>
      <c r="V33" s="224"/>
    </row>
    <row r="34" spans="1:22" s="226" customFormat="1" outlineLevel="2">
      <c r="A34" s="165" t="s">
        <v>25</v>
      </c>
      <c r="B34" s="215">
        <f t="shared" si="21"/>
        <v>200000</v>
      </c>
      <c r="C34" s="215">
        <f t="shared" si="5"/>
        <v>0</v>
      </c>
      <c r="D34" s="216">
        <f t="shared" si="11"/>
        <v>-200000</v>
      </c>
      <c r="E34" s="217">
        <f t="shared" si="20"/>
        <v>0</v>
      </c>
      <c r="F34" s="217">
        <f t="shared" si="20"/>
        <v>0</v>
      </c>
      <c r="G34" s="218"/>
      <c r="H34" s="219"/>
      <c r="I34" s="220"/>
      <c r="J34" s="221"/>
      <c r="K34" s="222"/>
      <c r="L34" s="223"/>
      <c r="M34" s="224"/>
      <c r="N34" s="222"/>
      <c r="O34" s="223"/>
      <c r="P34" s="224"/>
      <c r="Q34" s="225"/>
      <c r="R34" s="223"/>
      <c r="S34" s="224"/>
      <c r="T34" s="225"/>
      <c r="U34" s="223"/>
      <c r="V34" s="224"/>
    </row>
    <row r="35" spans="1:22" s="226" customFormat="1" outlineLevel="2">
      <c r="A35" s="165" t="s">
        <v>26</v>
      </c>
      <c r="B35" s="215">
        <f t="shared" si="21"/>
        <v>200000</v>
      </c>
      <c r="C35" s="215">
        <f t="shared" si="5"/>
        <v>0</v>
      </c>
      <c r="D35" s="216">
        <f t="shared" si="11"/>
        <v>-200000</v>
      </c>
      <c r="E35" s="217">
        <f t="shared" si="20"/>
        <v>0</v>
      </c>
      <c r="F35" s="217">
        <f t="shared" si="20"/>
        <v>0</v>
      </c>
      <c r="G35" s="218"/>
      <c r="H35" s="219"/>
      <c r="I35" s="220"/>
      <c r="J35" s="221"/>
      <c r="K35" s="222"/>
      <c r="L35" s="223"/>
      <c r="M35" s="224"/>
      <c r="N35" s="222"/>
      <c r="O35" s="223"/>
      <c r="P35" s="224"/>
      <c r="Q35" s="225"/>
      <c r="R35" s="223"/>
      <c r="S35" s="224"/>
      <c r="T35" s="225"/>
      <c r="U35" s="223"/>
      <c r="V35" s="224"/>
    </row>
    <row r="36" spans="1:22" s="226" customFormat="1" outlineLevel="2">
      <c r="A36" s="165" t="s">
        <v>37</v>
      </c>
      <c r="B36" s="92">
        <f>450000*0.5</f>
        <v>225000</v>
      </c>
      <c r="C36" s="215">
        <f t="shared" si="5"/>
        <v>0</v>
      </c>
      <c r="D36" s="216">
        <f t="shared" si="11"/>
        <v>-225000</v>
      </c>
      <c r="E36" s="217">
        <f t="shared" si="20"/>
        <v>0</v>
      </c>
      <c r="F36" s="217">
        <f t="shared" si="20"/>
        <v>0</v>
      </c>
      <c r="G36" s="218"/>
      <c r="H36" s="219"/>
      <c r="I36" s="220"/>
      <c r="J36" s="221"/>
      <c r="K36" s="222"/>
      <c r="L36" s="223"/>
      <c r="M36" s="224"/>
      <c r="N36" s="222"/>
      <c r="O36" s="223"/>
      <c r="P36" s="224"/>
      <c r="Q36" s="225"/>
      <c r="R36" s="223"/>
      <c r="S36" s="224"/>
      <c r="T36" s="225"/>
      <c r="U36" s="223"/>
      <c r="V36" s="224"/>
    </row>
    <row r="37" spans="1:22" s="78" customFormat="1" outlineLevel="2">
      <c r="A37" s="134" t="s">
        <v>28</v>
      </c>
      <c r="B37" s="94">
        <v>0</v>
      </c>
      <c r="C37" s="94">
        <f t="shared" si="5"/>
        <v>0</v>
      </c>
      <c r="D37" s="95">
        <f t="shared" si="11"/>
        <v>0</v>
      </c>
      <c r="E37" s="69">
        <f t="shared" si="20"/>
        <v>0</v>
      </c>
      <c r="F37" s="69">
        <f t="shared" si="20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2" s="226" customFormat="1" outlineLevel="2">
      <c r="A38" s="165" t="s">
        <v>20</v>
      </c>
      <c r="B38" s="215">
        <f>55000*1.34</f>
        <v>73700</v>
      </c>
      <c r="C38" s="215">
        <f t="shared" si="5"/>
        <v>0</v>
      </c>
      <c r="D38" s="216">
        <f t="shared" si="11"/>
        <v>-73700</v>
      </c>
      <c r="E38" s="217">
        <f t="shared" si="20"/>
        <v>0</v>
      </c>
      <c r="F38" s="217">
        <f t="shared" si="20"/>
        <v>0</v>
      </c>
      <c r="G38" s="218"/>
      <c r="H38" s="219"/>
      <c r="I38" s="220"/>
      <c r="J38" s="221"/>
      <c r="K38" s="222"/>
      <c r="L38" s="223"/>
      <c r="M38" s="224"/>
      <c r="N38" s="222"/>
      <c r="O38" s="223"/>
      <c r="P38" s="224"/>
      <c r="Q38" s="225"/>
      <c r="R38" s="223"/>
      <c r="S38" s="224"/>
      <c r="T38" s="225"/>
      <c r="U38" s="223"/>
      <c r="V38" s="224"/>
    </row>
    <row r="39" spans="1:22" s="78" customFormat="1" outlineLevel="2">
      <c r="A39" s="134" t="s">
        <v>21</v>
      </c>
      <c r="B39" s="94">
        <v>0</v>
      </c>
      <c r="C39" s="94">
        <f t="shared" si="5"/>
        <v>0</v>
      </c>
      <c r="D39" s="95">
        <f t="shared" si="11"/>
        <v>0</v>
      </c>
      <c r="E39" s="69">
        <f t="shared" si="20"/>
        <v>0</v>
      </c>
      <c r="F39" s="69">
        <f t="shared" si="20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2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2">SUM(H41:H42)</f>
        <v>0</v>
      </c>
      <c r="I40" s="60">
        <f t="shared" si="22"/>
        <v>0</v>
      </c>
      <c r="J40" s="60">
        <f t="shared" si="22"/>
        <v>0</v>
      </c>
      <c r="K40" s="59">
        <f t="shared" si="22"/>
        <v>0</v>
      </c>
      <c r="L40" s="60">
        <f t="shared" si="22"/>
        <v>0</v>
      </c>
      <c r="M40" s="60">
        <f t="shared" si="22"/>
        <v>0</v>
      </c>
      <c r="N40" s="59">
        <f t="shared" si="22"/>
        <v>0</v>
      </c>
      <c r="O40" s="60">
        <f t="shared" si="22"/>
        <v>0</v>
      </c>
      <c r="P40" s="60">
        <f t="shared" si="22"/>
        <v>0</v>
      </c>
      <c r="Q40" s="59">
        <f t="shared" si="22"/>
        <v>0</v>
      </c>
      <c r="R40" s="60">
        <f t="shared" si="22"/>
        <v>0</v>
      </c>
      <c r="S40" s="60">
        <f t="shared" si="22"/>
        <v>0</v>
      </c>
      <c r="T40" s="59">
        <f t="shared" si="22"/>
        <v>0</v>
      </c>
      <c r="U40" s="60">
        <f t="shared" si="22"/>
        <v>0</v>
      </c>
      <c r="V40" s="60">
        <f t="shared" si="22"/>
        <v>0</v>
      </c>
    </row>
    <row r="41" spans="1:22" outlineLevel="2">
      <c r="A41" s="134" t="s">
        <v>43</v>
      </c>
      <c r="B41" s="94">
        <v>0</v>
      </c>
      <c r="C41" s="94">
        <f t="shared" si="5"/>
        <v>0</v>
      </c>
      <c r="D41" s="95">
        <f t="shared" si="11"/>
        <v>0</v>
      </c>
      <c r="E41" s="69">
        <f t="shared" ref="E41:F42" si="23">+I41+L41+O41+R41+U41</f>
        <v>0</v>
      </c>
      <c r="F41" s="69">
        <f t="shared" si="23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2" s="78" customFormat="1" outlineLevel="2">
      <c r="A42" s="134" t="s">
        <v>36</v>
      </c>
      <c r="B42" s="94">
        <v>0</v>
      </c>
      <c r="C42" s="94">
        <f t="shared" si="5"/>
        <v>0</v>
      </c>
      <c r="D42" s="95">
        <f t="shared" si="11"/>
        <v>0</v>
      </c>
      <c r="E42" s="69">
        <f t="shared" si="23"/>
        <v>0</v>
      </c>
      <c r="F42" s="69">
        <f t="shared" si="23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2">
      <c r="A43" s="47" t="s">
        <v>40</v>
      </c>
      <c r="B43" s="101">
        <f>SUM(B44:B45)</f>
        <v>170000</v>
      </c>
      <c r="C43" s="101">
        <f>SUM(C44:C45)</f>
        <v>13118.28</v>
      </c>
      <c r="D43" s="101">
        <f>SUM(D44:D45)</f>
        <v>-156881.72</v>
      </c>
      <c r="E43" s="49">
        <f>SUM(E44:E45)</f>
        <v>16</v>
      </c>
      <c r="F43" s="49">
        <f>SUM(F44:F45)</f>
        <v>0.95833333333333337</v>
      </c>
      <c r="G43" s="37"/>
      <c r="H43" s="48">
        <f t="shared" ref="H43:V43" si="24">SUM(H44:H45)</f>
        <v>0</v>
      </c>
      <c r="I43" s="49">
        <f t="shared" si="24"/>
        <v>0</v>
      </c>
      <c r="J43" s="49">
        <f t="shared" si="24"/>
        <v>0</v>
      </c>
      <c r="K43" s="48">
        <f t="shared" si="24"/>
        <v>13118.28</v>
      </c>
      <c r="L43" s="49">
        <f t="shared" si="24"/>
        <v>16</v>
      </c>
      <c r="M43" s="49">
        <f t="shared" si="24"/>
        <v>0.95833333333333337</v>
      </c>
      <c r="N43" s="48">
        <f t="shared" si="24"/>
        <v>0</v>
      </c>
      <c r="O43" s="49">
        <f t="shared" si="24"/>
        <v>0</v>
      </c>
      <c r="P43" s="49">
        <f t="shared" si="24"/>
        <v>0</v>
      </c>
      <c r="Q43" s="48">
        <f t="shared" si="24"/>
        <v>0</v>
      </c>
      <c r="R43" s="49">
        <f t="shared" si="24"/>
        <v>0</v>
      </c>
      <c r="S43" s="49">
        <f t="shared" si="24"/>
        <v>0</v>
      </c>
      <c r="T43" s="48">
        <f t="shared" si="24"/>
        <v>0</v>
      </c>
      <c r="U43" s="49">
        <f t="shared" si="24"/>
        <v>0</v>
      </c>
      <c r="V43" s="49">
        <f t="shared" si="24"/>
        <v>0</v>
      </c>
    </row>
    <row r="44" spans="1:22" outlineLevel="2">
      <c r="A44" s="1" t="s">
        <v>139</v>
      </c>
      <c r="B44" s="97">
        <f>200000*0.85</f>
        <v>170000</v>
      </c>
      <c r="C44" s="92">
        <f t="shared" si="5"/>
        <v>13118.28</v>
      </c>
      <c r="D44" s="93">
        <f t="shared" ref="D44:D45" si="25">+C44-B44</f>
        <v>-156881.72</v>
      </c>
      <c r="E44" s="18">
        <f t="shared" ref="E44:F45" si="26">+I44+L44+O44+R44+U44</f>
        <v>16</v>
      </c>
      <c r="F44" s="18">
        <f t="shared" si="26"/>
        <v>0.95833333333333337</v>
      </c>
      <c r="G44" s="37"/>
      <c r="H44" s="181"/>
      <c r="I44" s="182"/>
      <c r="J44" s="183"/>
      <c r="K44" s="184">
        <v>13118.28</v>
      </c>
      <c r="L44" s="185">
        <v>16</v>
      </c>
      <c r="M44" s="186">
        <v>0.95833333333333337</v>
      </c>
      <c r="N44" s="184"/>
      <c r="O44" s="185"/>
      <c r="P44" s="186"/>
      <c r="Q44" s="187"/>
      <c r="R44" s="185"/>
      <c r="S44" s="186"/>
      <c r="T44" s="187"/>
      <c r="U44" s="185"/>
      <c r="V44" s="186"/>
    </row>
    <row r="45" spans="1:22" s="78" customFormat="1" outlineLevel="2">
      <c r="A45" s="68" t="s">
        <v>36</v>
      </c>
      <c r="B45" s="94">
        <v>0</v>
      </c>
      <c r="C45" s="94">
        <f t="shared" si="5"/>
        <v>0</v>
      </c>
      <c r="D45" s="95">
        <f t="shared" si="25"/>
        <v>0</v>
      </c>
      <c r="E45" s="69">
        <f t="shared" si="26"/>
        <v>0</v>
      </c>
      <c r="F45" s="69">
        <f t="shared" si="26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7">SUM(H47:H48)</f>
        <v>0</v>
      </c>
      <c r="I46" s="200">
        <f t="shared" si="27"/>
        <v>0</v>
      </c>
      <c r="J46" s="200">
        <f t="shared" si="27"/>
        <v>0</v>
      </c>
      <c r="K46" s="211">
        <f t="shared" si="27"/>
        <v>0</v>
      </c>
      <c r="L46" s="200">
        <f t="shared" si="27"/>
        <v>0</v>
      </c>
      <c r="M46" s="200">
        <f t="shared" si="27"/>
        <v>0</v>
      </c>
      <c r="N46" s="211">
        <f t="shared" si="27"/>
        <v>0</v>
      </c>
      <c r="O46" s="200">
        <f t="shared" si="27"/>
        <v>0</v>
      </c>
      <c r="P46" s="200">
        <f t="shared" si="27"/>
        <v>0</v>
      </c>
      <c r="Q46" s="211">
        <f t="shared" si="27"/>
        <v>0</v>
      </c>
      <c r="R46" s="200">
        <f t="shared" si="27"/>
        <v>0</v>
      </c>
      <c r="S46" s="200">
        <f t="shared" si="27"/>
        <v>0</v>
      </c>
      <c r="T46" s="211">
        <f t="shared" si="27"/>
        <v>0</v>
      </c>
      <c r="U46" s="200">
        <f t="shared" si="27"/>
        <v>0</v>
      </c>
      <c r="V46" s="200">
        <f t="shared" si="27"/>
        <v>0</v>
      </c>
    </row>
    <row r="47" spans="1:22" s="78" customFormat="1" outlineLevel="2">
      <c r="A47" s="68" t="s">
        <v>43</v>
      </c>
      <c r="B47" s="94">
        <v>0</v>
      </c>
      <c r="C47" s="94">
        <f t="shared" si="5"/>
        <v>0</v>
      </c>
      <c r="D47" s="95">
        <f t="shared" ref="D47:D48" si="28">+C47-B47</f>
        <v>0</v>
      </c>
      <c r="E47" s="69">
        <f t="shared" ref="E47:F48" si="29">+I47+L47+O47+R47+U47</f>
        <v>0</v>
      </c>
      <c r="F47" s="69">
        <f t="shared" si="29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2" s="78" customFormat="1" outlineLevel="2">
      <c r="A48" s="68" t="s">
        <v>36</v>
      </c>
      <c r="B48" s="94">
        <v>0</v>
      </c>
      <c r="C48" s="94">
        <f t="shared" si="5"/>
        <v>0</v>
      </c>
      <c r="D48" s="95">
        <f t="shared" si="28"/>
        <v>0</v>
      </c>
      <c r="E48" s="69">
        <f t="shared" si="29"/>
        <v>0</v>
      </c>
      <c r="F48" s="69">
        <f t="shared" si="29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0">SUM(H50:H51)</f>
        <v>0</v>
      </c>
      <c r="I49" s="200">
        <f t="shared" si="30"/>
        <v>0</v>
      </c>
      <c r="J49" s="200">
        <f t="shared" si="30"/>
        <v>0</v>
      </c>
      <c r="K49" s="211">
        <f t="shared" si="30"/>
        <v>0</v>
      </c>
      <c r="L49" s="200">
        <f t="shared" si="30"/>
        <v>0</v>
      </c>
      <c r="M49" s="200">
        <f t="shared" si="30"/>
        <v>0</v>
      </c>
      <c r="N49" s="211">
        <f t="shared" si="30"/>
        <v>0</v>
      </c>
      <c r="O49" s="200">
        <f t="shared" si="30"/>
        <v>0</v>
      </c>
      <c r="P49" s="200">
        <f t="shared" si="30"/>
        <v>0</v>
      </c>
      <c r="Q49" s="211">
        <f t="shared" si="30"/>
        <v>0</v>
      </c>
      <c r="R49" s="200">
        <f t="shared" si="30"/>
        <v>0</v>
      </c>
      <c r="S49" s="200">
        <f t="shared" si="30"/>
        <v>0</v>
      </c>
      <c r="T49" s="211">
        <f t="shared" si="30"/>
        <v>0</v>
      </c>
      <c r="U49" s="200">
        <f t="shared" si="30"/>
        <v>0</v>
      </c>
      <c r="V49" s="200">
        <f t="shared" si="30"/>
        <v>0</v>
      </c>
    </row>
    <row r="50" spans="1:22" s="78" customFormat="1" outlineLevel="2">
      <c r="A50" s="315" t="s">
        <v>129</v>
      </c>
      <c r="B50" s="94">
        <v>0</v>
      </c>
      <c r="C50" s="94">
        <f t="shared" si="5"/>
        <v>0</v>
      </c>
      <c r="D50" s="95">
        <f t="shared" si="11"/>
        <v>0</v>
      </c>
      <c r="E50" s="69">
        <f t="shared" ref="E50:F51" si="31">+I50+L50+O50+R50+U50</f>
        <v>0</v>
      </c>
      <c r="F50" s="69">
        <f t="shared" si="31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>
      <c r="A51" s="68" t="s">
        <v>36</v>
      </c>
      <c r="B51" s="94">
        <v>0</v>
      </c>
      <c r="C51" s="94">
        <f t="shared" si="5"/>
        <v>0</v>
      </c>
      <c r="D51" s="95">
        <f t="shared" si="11"/>
        <v>0</v>
      </c>
      <c r="E51" s="69">
        <f t="shared" si="31"/>
        <v>0</v>
      </c>
      <c r="F51" s="69">
        <f t="shared" si="31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8">
      <c r="A52" s="138" t="s">
        <v>45</v>
      </c>
      <c r="B52" s="102">
        <f>+B49+B40+B31+B22+B13+B3+B46+B43</f>
        <v>4253700</v>
      </c>
      <c r="C52" s="102">
        <f>+C49+C40+C31+C22+C13+C3+C46+C43</f>
        <v>1279331.8799999999</v>
      </c>
      <c r="D52" s="102">
        <f>+D49+D40+D31+D22+D13+D3+D46+D43</f>
        <v>-2974368.2800000003</v>
      </c>
      <c r="E52" s="90">
        <f>+E49+E40+E31+E22+E13+E3+E46+E43</f>
        <v>1138</v>
      </c>
      <c r="F52" s="90">
        <f>+F49+F40+F31+F22+F13+F3+F46+F43</f>
        <v>72.111111111111114</v>
      </c>
      <c r="G52" s="38"/>
      <c r="H52" s="196">
        <f t="shared" ref="H52:V52" si="32">+H49+H40+H31+H22+H13+H3+H46+H43</f>
        <v>681270.48</v>
      </c>
      <c r="I52" s="197">
        <f t="shared" si="32"/>
        <v>581</v>
      </c>
      <c r="J52" s="197">
        <f t="shared" si="32"/>
        <v>36.086805555555557</v>
      </c>
      <c r="K52" s="196">
        <f t="shared" si="32"/>
        <v>664956.6</v>
      </c>
      <c r="L52" s="197">
        <f t="shared" si="32"/>
        <v>557</v>
      </c>
      <c r="M52" s="197">
        <f t="shared" si="32"/>
        <v>36.024305555555557</v>
      </c>
      <c r="N52" s="196">
        <f t="shared" si="32"/>
        <v>0</v>
      </c>
      <c r="O52" s="197">
        <f t="shared" si="32"/>
        <v>0</v>
      </c>
      <c r="P52" s="197">
        <f t="shared" si="32"/>
        <v>0</v>
      </c>
      <c r="Q52" s="196">
        <f t="shared" si="32"/>
        <v>0</v>
      </c>
      <c r="R52" s="197">
        <f t="shared" si="32"/>
        <v>0</v>
      </c>
      <c r="S52" s="197">
        <f t="shared" si="32"/>
        <v>0</v>
      </c>
      <c r="T52" s="196">
        <f t="shared" si="32"/>
        <v>0</v>
      </c>
      <c r="U52" s="197">
        <f t="shared" si="32"/>
        <v>0</v>
      </c>
      <c r="V52" s="197">
        <f t="shared" si="32"/>
        <v>0</v>
      </c>
    </row>
    <row r="54" spans="1:22" ht="18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>
      <c r="A55" s="87" t="s">
        <v>47</v>
      </c>
      <c r="B55" s="105">
        <f>+B56+B66+B75+B84+B93+B102+B96+B99</f>
        <v>1453900</v>
      </c>
      <c r="C55" s="105">
        <f>+C56+C66+C75+C84+C93+C102+C96+C99</f>
        <v>0</v>
      </c>
      <c r="D55" s="106">
        <f>+C55-B55</f>
        <v>-1453900</v>
      </c>
    </row>
    <row r="56" spans="1:22" outlineLevel="1">
      <c r="A56" s="44" t="s">
        <v>48</v>
      </c>
      <c r="B56" s="107">
        <f>SUM(B57:B65)*1.34</f>
        <v>466320</v>
      </c>
      <c r="C56" s="107">
        <f>SUM(C57:C65)*1.34</f>
        <v>0</v>
      </c>
      <c r="D56" s="108">
        <f>+C56-B56</f>
        <v>-466320</v>
      </c>
    </row>
    <row r="57" spans="1:22" outlineLevel="2">
      <c r="A57" s="132" t="str">
        <f t="shared" ref="A57:A65" si="33">+A4</f>
        <v>psych. s. 1 - NÁGLOVÁ</v>
      </c>
      <c r="B57" s="93">
        <v>60000</v>
      </c>
      <c r="C57" s="93"/>
      <c r="D57" s="109">
        <f t="shared" ref="D57:D74" si="34">+C57-B57</f>
        <v>-60000</v>
      </c>
      <c r="F57" s="16"/>
      <c r="G57" s="40"/>
    </row>
    <row r="58" spans="1:22" outlineLevel="2">
      <c r="A58" s="132" t="str">
        <f t="shared" si="33"/>
        <v>psych. s. 2 - HAJASOVÁ</v>
      </c>
      <c r="B58" s="93">
        <v>47000</v>
      </c>
      <c r="C58" s="93"/>
      <c r="D58" s="109">
        <f t="shared" si="34"/>
        <v>-47000</v>
      </c>
      <c r="F58" s="16"/>
      <c r="G58" s="40"/>
    </row>
    <row r="59" spans="1:22" outlineLevel="2">
      <c r="A59" s="132" t="str">
        <f t="shared" si="33"/>
        <v>psych. s. 3 -  KAŠPÁRKOVÁ/Pekárová</v>
      </c>
      <c r="B59" s="93">
        <v>65000</v>
      </c>
      <c r="C59" s="93"/>
      <c r="D59" s="109">
        <f t="shared" si="34"/>
        <v>-65000</v>
      </c>
      <c r="F59" s="16"/>
      <c r="G59" s="40"/>
    </row>
    <row r="60" spans="1:22" s="78" customFormat="1" outlineLevel="2">
      <c r="A60" s="134" t="str">
        <f t="shared" si="33"/>
        <v>psych. s. 4 -  Hanzlíková</v>
      </c>
      <c r="B60" s="155">
        <v>0</v>
      </c>
      <c r="C60" s="155">
        <v>0</v>
      </c>
      <c r="D60" s="156">
        <f t="shared" si="34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2" outlineLevel="2">
      <c r="A61" s="132" t="str">
        <f t="shared" si="33"/>
        <v>psychiatr - GÁBEL 0,2</v>
      </c>
      <c r="B61" s="93">
        <v>16000</v>
      </c>
      <c r="C61" s="93"/>
      <c r="D61" s="109">
        <f t="shared" si="34"/>
        <v>-16000</v>
      </c>
      <c r="F61" s="16"/>
      <c r="G61" s="40"/>
      <c r="J61" s="82"/>
    </row>
    <row r="62" spans="1:22" outlineLevel="2">
      <c r="A62" s="132" t="str">
        <f t="shared" si="33"/>
        <v>psychiatr - PFEIFFER 0,5</v>
      </c>
      <c r="B62" s="93">
        <v>85000</v>
      </c>
      <c r="C62" s="93"/>
      <c r="D62" s="109">
        <f t="shared" si="34"/>
        <v>-85000</v>
      </c>
      <c r="F62" s="16"/>
      <c r="G62" s="40"/>
      <c r="J62" s="82"/>
    </row>
    <row r="63" spans="1:22" outlineLevel="2">
      <c r="A63" s="134" t="str">
        <f t="shared" si="33"/>
        <v>psychiatr  3</v>
      </c>
      <c r="B63" s="155">
        <v>0</v>
      </c>
      <c r="C63" s="93"/>
      <c r="D63" s="109">
        <f t="shared" si="34"/>
        <v>0</v>
      </c>
      <c r="F63" s="16"/>
      <c r="G63" s="40"/>
      <c r="J63" s="82"/>
    </row>
    <row r="64" spans="1:22" s="175" customFormat="1" outlineLevel="2">
      <c r="A64" s="299" t="str">
        <f t="shared" si="33"/>
        <v>psycholog 1 - Dr. Balko 0,5</v>
      </c>
      <c r="B64" s="298">
        <v>60000</v>
      </c>
      <c r="C64" s="166"/>
      <c r="D64" s="167">
        <f t="shared" si="34"/>
        <v>-60000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>
      <c r="A65" s="165" t="str">
        <f t="shared" si="33"/>
        <v xml:space="preserve">psycholog 2 </v>
      </c>
      <c r="B65" s="166">
        <v>15000</v>
      </c>
      <c r="C65" s="166"/>
      <c r="D65" s="167">
        <f t="shared" si="34"/>
        <v>-15000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>
      <c r="A66" s="58" t="s">
        <v>52</v>
      </c>
      <c r="B66" s="111">
        <f>SUM(B67:B74)*1.34</f>
        <v>422100</v>
      </c>
      <c r="C66" s="111">
        <f>SUM(C67:C74)*1.34</f>
        <v>0</v>
      </c>
      <c r="D66" s="112">
        <f>+C66-B66</f>
        <v>-422100</v>
      </c>
      <c r="F66" s="16"/>
      <c r="G66" s="40"/>
      <c r="J66" s="82"/>
    </row>
    <row r="67" spans="1:22" outlineLevel="2">
      <c r="A67" s="132" t="str">
        <f>+A14</f>
        <v>psych. s 1 - Blažková</v>
      </c>
      <c r="B67" s="93">
        <v>55000</v>
      </c>
      <c r="C67" s="93"/>
      <c r="D67" s="109">
        <f t="shared" si="34"/>
        <v>-55000</v>
      </c>
      <c r="F67" s="16"/>
      <c r="G67" s="40"/>
      <c r="J67" s="82"/>
    </row>
    <row r="68" spans="1:22" s="175" customFormat="1" outlineLevel="2">
      <c r="A68" s="132" t="str">
        <f>+A15</f>
        <v xml:space="preserve">psych. s 2 - Pátková </v>
      </c>
      <c r="B68" s="166">
        <v>60000</v>
      </c>
      <c r="C68" s="166"/>
      <c r="D68" s="167">
        <f t="shared" si="34"/>
        <v>-60000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>
      <c r="A69" s="324" t="str">
        <f>+A16</f>
        <v>všeob. s 3 - Bergmanová</v>
      </c>
      <c r="B69" s="298">
        <v>60000</v>
      </c>
      <c r="C69" s="155">
        <v>0</v>
      </c>
      <c r="D69" s="156">
        <f t="shared" si="34"/>
        <v>-60000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>
      <c r="A70" s="324" t="str">
        <f>+A17</f>
        <v>všeob. s 4 - Vaculínová</v>
      </c>
      <c r="B70" s="298">
        <v>60000</v>
      </c>
      <c r="C70" s="155">
        <v>0</v>
      </c>
      <c r="D70" s="156">
        <f t="shared" si="34"/>
        <v>-60000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>
      <c r="A71" s="165" t="str">
        <f t="shared" ref="A71:A74" si="35">+A18</f>
        <v>psychiatr - Dr. Suchánková 0,5</v>
      </c>
      <c r="B71" s="166">
        <f>160000*0.5</f>
        <v>80000</v>
      </c>
      <c r="C71" s="155">
        <v>0</v>
      </c>
      <c r="D71" s="156">
        <f t="shared" si="34"/>
        <v>-80000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>
      <c r="A72" s="134" t="str">
        <f t="shared" si="35"/>
        <v>psychiatr 2</v>
      </c>
      <c r="B72" s="155">
        <v>0</v>
      </c>
      <c r="C72" s="155">
        <v>0</v>
      </c>
      <c r="D72" s="156">
        <f t="shared" si="34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>
      <c r="A73" s="324" t="str">
        <f t="shared" si="35"/>
        <v>psycholog 1 - Mgr. Eva Suchopová  0,4</v>
      </c>
      <c r="B73" s="298">
        <v>0</v>
      </c>
      <c r="C73" s="155">
        <v>0</v>
      </c>
      <c r="D73" s="156">
        <f t="shared" si="34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>
      <c r="A74" s="324" t="str">
        <f t="shared" si="35"/>
        <v>psycholog 2 - Mgr. Iva Červenková  0,2</v>
      </c>
      <c r="B74" s="298">
        <v>0</v>
      </c>
      <c r="C74" s="95">
        <v>0</v>
      </c>
      <c r="D74" s="110">
        <f t="shared" si="34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>
      <c r="A75" s="57" t="s">
        <v>58</v>
      </c>
      <c r="B75" s="113">
        <f>SUM(B76:B83)*1.34</f>
        <v>419420</v>
      </c>
      <c r="C75" s="113">
        <f>SUM(C76:C83)*1.34</f>
        <v>0</v>
      </c>
      <c r="D75" s="114">
        <f>+C75-B75</f>
        <v>-419420</v>
      </c>
      <c r="F75" s="16"/>
      <c r="G75" s="40"/>
      <c r="J75" s="82"/>
    </row>
    <row r="76" spans="1:22" outlineLevel="2">
      <c r="A76" s="165" t="str">
        <f>+A23</f>
        <v>psych. s 1 - ZELENKOVÁ</v>
      </c>
      <c r="B76" s="93">
        <v>65000</v>
      </c>
      <c r="C76" s="93"/>
      <c r="D76" s="109">
        <f t="shared" ref="D76:D83" si="36">+C76-B76</f>
        <v>-65000</v>
      </c>
      <c r="F76" s="16"/>
      <c r="G76" s="40"/>
      <c r="J76" s="83"/>
    </row>
    <row r="77" spans="1:22" s="175" customFormat="1" outlineLevel="2">
      <c r="A77" s="165" t="str">
        <f>+A24</f>
        <v>psych. s 2 - Vondráčková</v>
      </c>
      <c r="B77" s="166">
        <v>58000</v>
      </c>
      <c r="C77" s="166"/>
      <c r="D77" s="167">
        <f t="shared" si="36"/>
        <v>-58000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>
      <c r="A78" s="165" t="str">
        <f>+A25</f>
        <v>psych. s 3 - Nováková</v>
      </c>
      <c r="B78" s="166">
        <v>55000</v>
      </c>
      <c r="C78" s="166"/>
      <c r="D78" s="167">
        <f t="shared" si="36"/>
        <v>-55000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>
      <c r="A79" s="165" t="str">
        <f>+A26</f>
        <v>všeob. s 4 - Dušková</v>
      </c>
      <c r="B79" s="166">
        <v>55000</v>
      </c>
      <c r="C79" s="166"/>
      <c r="D79" s="167">
        <f t="shared" si="36"/>
        <v>-55000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>
      <c r="A80" s="165" t="str">
        <f>+A27</f>
        <v>psychiatr - Dr. Suchánková 0,5</v>
      </c>
      <c r="B80" s="166">
        <f>160000*0.5</f>
        <v>80000</v>
      </c>
      <c r="C80" s="155">
        <v>0</v>
      </c>
      <c r="D80" s="156">
        <f t="shared" si="36"/>
        <v>-80000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>
      <c r="A81" s="134" t="str">
        <f t="shared" ref="A81:A101" si="37">+A28</f>
        <v>psychiatr 2</v>
      </c>
      <c r="B81" s="95">
        <v>0</v>
      </c>
      <c r="C81" s="95">
        <v>0</v>
      </c>
      <c r="D81" s="110">
        <f t="shared" si="36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>
      <c r="A82" s="324" t="str">
        <f t="shared" si="37"/>
        <v>psycholog 1 - Lichtenbergová 0,5</v>
      </c>
      <c r="B82" s="298">
        <v>0</v>
      </c>
      <c r="C82" s="155">
        <v>0</v>
      </c>
      <c r="D82" s="156">
        <f t="shared" si="36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>
      <c r="A83" s="134" t="str">
        <f t="shared" si="37"/>
        <v>psycholog 2</v>
      </c>
      <c r="B83" s="95">
        <v>0</v>
      </c>
      <c r="C83" s="95">
        <v>0</v>
      </c>
      <c r="D83" s="110">
        <f t="shared" si="36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>
      <c r="A84" s="50" t="s">
        <v>60</v>
      </c>
      <c r="B84" s="115">
        <f>SUM(B85:B92)*1.34</f>
        <v>93800</v>
      </c>
      <c r="C84" s="115">
        <f>SUM(C85:C92)*1.34</f>
        <v>0</v>
      </c>
      <c r="D84" s="116">
        <f>+C84-B84</f>
        <v>-93800</v>
      </c>
      <c r="F84" s="16"/>
      <c r="G84" s="40"/>
    </row>
    <row r="85" spans="1:22" s="175" customFormat="1" outlineLevel="2">
      <c r="A85" s="165" t="str">
        <f t="shared" si="37"/>
        <v>psych. s 1 - Štréblová</v>
      </c>
      <c r="B85" s="166">
        <v>70000</v>
      </c>
      <c r="C85" s="166">
        <v>0</v>
      </c>
      <c r="D85" s="167">
        <f t="shared" ref="D85:D104" si="38">+C85-B85</f>
        <v>-70000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175" customFormat="1" outlineLevel="2">
      <c r="A86" s="134" t="str">
        <f t="shared" si="37"/>
        <v>psych. s 2</v>
      </c>
      <c r="B86" s="95">
        <v>0</v>
      </c>
      <c r="C86" s="95">
        <v>0</v>
      </c>
      <c r="D86" s="110">
        <f t="shared" si="38"/>
        <v>0</v>
      </c>
      <c r="E86" s="168"/>
      <c r="F86" s="168"/>
      <c r="G86" s="169"/>
      <c r="H86" s="170"/>
      <c r="I86" s="171"/>
      <c r="J86" s="228"/>
      <c r="K86" s="170"/>
      <c r="L86" s="172"/>
      <c r="M86" s="173"/>
      <c r="N86" s="170"/>
      <c r="O86" s="172"/>
      <c r="P86" s="174"/>
      <c r="Q86" s="170"/>
      <c r="R86" s="172"/>
      <c r="S86" s="174"/>
      <c r="T86" s="170"/>
      <c r="U86" s="172"/>
      <c r="V86" s="174"/>
    </row>
    <row r="87" spans="1:22" s="175" customFormat="1" outlineLevel="2">
      <c r="A87" s="134" t="str">
        <f t="shared" si="37"/>
        <v>psych. s 3</v>
      </c>
      <c r="B87" s="95">
        <v>0</v>
      </c>
      <c r="C87" s="95">
        <v>0</v>
      </c>
      <c r="D87" s="110">
        <f t="shared" si="38"/>
        <v>0</v>
      </c>
      <c r="E87" s="168"/>
      <c r="F87" s="168"/>
      <c r="G87" s="169"/>
      <c r="H87" s="170"/>
      <c r="I87" s="171"/>
      <c r="J87" s="228"/>
      <c r="K87" s="170"/>
      <c r="L87" s="172"/>
      <c r="M87" s="173"/>
      <c r="N87" s="170"/>
      <c r="O87" s="172"/>
      <c r="P87" s="174"/>
      <c r="Q87" s="170"/>
      <c r="R87" s="172"/>
      <c r="S87" s="174"/>
      <c r="T87" s="170"/>
      <c r="U87" s="172"/>
      <c r="V87" s="174"/>
    </row>
    <row r="88" spans="1:22" s="175" customFormat="1" outlineLevel="2">
      <c r="A88" s="134" t="str">
        <f t="shared" si="37"/>
        <v>psych. s 4</v>
      </c>
      <c r="B88" s="95">
        <v>0</v>
      </c>
      <c r="C88" s="95">
        <v>0</v>
      </c>
      <c r="D88" s="110">
        <f t="shared" si="38"/>
        <v>0</v>
      </c>
      <c r="E88" s="168"/>
      <c r="F88" s="168"/>
      <c r="G88" s="169"/>
      <c r="H88" s="170"/>
      <c r="I88" s="171"/>
      <c r="J88" s="228"/>
      <c r="K88" s="170"/>
      <c r="L88" s="172"/>
      <c r="M88" s="173"/>
      <c r="N88" s="170"/>
      <c r="O88" s="172"/>
      <c r="P88" s="174"/>
      <c r="Q88" s="170"/>
      <c r="R88" s="172"/>
      <c r="S88" s="174"/>
      <c r="T88" s="170"/>
      <c r="U88" s="172"/>
      <c r="V88" s="174"/>
    </row>
    <row r="89" spans="1:22" s="175" customFormat="1" outlineLevel="2">
      <c r="A89" s="134" t="str">
        <f t="shared" si="37"/>
        <v xml:space="preserve">psychiatr 1 - 0,5 </v>
      </c>
      <c r="B89" s="95">
        <v>0</v>
      </c>
      <c r="C89" s="95">
        <v>0</v>
      </c>
      <c r="D89" s="110">
        <f t="shared" si="38"/>
        <v>0</v>
      </c>
      <c r="E89" s="168"/>
      <c r="F89" s="168"/>
      <c r="G89" s="169"/>
      <c r="H89" s="170"/>
      <c r="I89" s="171"/>
      <c r="J89" s="228"/>
      <c r="K89" s="170"/>
      <c r="L89" s="172"/>
      <c r="M89" s="173"/>
      <c r="N89" s="170"/>
      <c r="O89" s="172"/>
      <c r="P89" s="174"/>
      <c r="Q89" s="170"/>
      <c r="R89" s="172"/>
      <c r="S89" s="174"/>
      <c r="T89" s="170"/>
      <c r="U89" s="172"/>
      <c r="V89" s="174"/>
    </row>
    <row r="90" spans="1:22" s="78" customFormat="1" outlineLevel="2">
      <c r="A90" s="134" t="str">
        <f t="shared" si="37"/>
        <v>psychiatr 2</v>
      </c>
      <c r="B90" s="95">
        <v>0</v>
      </c>
      <c r="C90" s="95">
        <v>0</v>
      </c>
      <c r="D90" s="110">
        <f t="shared" si="38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175" customFormat="1" outlineLevel="2">
      <c r="A91" s="134" t="str">
        <f t="shared" si="37"/>
        <v>psycholog 1 - 0,5</v>
      </c>
      <c r="B91" s="95">
        <v>0</v>
      </c>
      <c r="C91" s="95">
        <v>0</v>
      </c>
      <c r="D91" s="110">
        <f t="shared" si="38"/>
        <v>0</v>
      </c>
      <c r="E91" s="168"/>
      <c r="F91" s="168"/>
      <c r="G91" s="169"/>
      <c r="H91" s="170"/>
      <c r="I91" s="171"/>
      <c r="J91" s="228"/>
      <c r="K91" s="170"/>
      <c r="L91" s="172"/>
      <c r="M91" s="173"/>
      <c r="N91" s="170"/>
      <c r="O91" s="172"/>
      <c r="P91" s="174"/>
      <c r="Q91" s="170"/>
      <c r="R91" s="172"/>
      <c r="S91" s="174"/>
      <c r="T91" s="170"/>
      <c r="U91" s="172"/>
      <c r="V91" s="174"/>
    </row>
    <row r="92" spans="1:22" s="78" customFormat="1" outlineLevel="2">
      <c r="A92" s="134" t="str">
        <f t="shared" si="37"/>
        <v>psycholog 2</v>
      </c>
      <c r="B92" s="95">
        <v>0</v>
      </c>
      <c r="C92" s="95">
        <v>0</v>
      </c>
      <c r="D92" s="110">
        <f t="shared" si="38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38"/>
        <v>0</v>
      </c>
      <c r="F93" s="16"/>
      <c r="G93" s="40"/>
    </row>
    <row r="94" spans="1:22" outlineLevel="2">
      <c r="A94" s="134" t="str">
        <f t="shared" si="37"/>
        <v xml:space="preserve">psych. s 1 </v>
      </c>
      <c r="B94" s="155">
        <v>0</v>
      </c>
      <c r="C94" s="155">
        <v>0</v>
      </c>
      <c r="D94" s="156">
        <f t="shared" si="38"/>
        <v>0</v>
      </c>
      <c r="F94" s="16"/>
      <c r="G94" s="40"/>
    </row>
    <row r="95" spans="1:22" s="78" customFormat="1" outlineLevel="2">
      <c r="A95" s="134" t="str">
        <f t="shared" si="37"/>
        <v>psych. s 2</v>
      </c>
      <c r="B95" s="95">
        <v>0</v>
      </c>
      <c r="C95" s="95">
        <v>0</v>
      </c>
      <c r="D95" s="110">
        <f t="shared" si="38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>
      <c r="A96" s="136" t="s">
        <v>63</v>
      </c>
      <c r="B96" s="120">
        <f>SUM(B97:B98)*1.34</f>
        <v>33500</v>
      </c>
      <c r="C96" s="120">
        <f>SUM(C97:C98)*1.34</f>
        <v>0</v>
      </c>
      <c r="D96" s="121">
        <f t="shared" si="38"/>
        <v>-33500</v>
      </c>
      <c r="F96" s="16"/>
      <c r="G96" s="40"/>
    </row>
    <row r="97" spans="1:22" outlineLevel="2">
      <c r="A97" s="165" t="str">
        <f t="shared" si="37"/>
        <v>psych. s 1 Prajzová</v>
      </c>
      <c r="B97" s="93">
        <v>25000</v>
      </c>
      <c r="C97" s="93"/>
      <c r="D97" s="119">
        <f t="shared" si="38"/>
        <v>-25000</v>
      </c>
      <c r="F97" s="16"/>
      <c r="G97" s="40"/>
    </row>
    <row r="98" spans="1:22" s="78" customFormat="1" outlineLevel="2">
      <c r="A98" s="134" t="str">
        <f t="shared" si="37"/>
        <v>psych. s 2</v>
      </c>
      <c r="B98" s="95">
        <v>0</v>
      </c>
      <c r="C98" s="95">
        <v>0</v>
      </c>
      <c r="D98" s="110">
        <f t="shared" si="38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8"/>
        <v>0</v>
      </c>
      <c r="F99" s="16"/>
      <c r="G99" s="40"/>
    </row>
    <row r="100" spans="1:22" s="78" customFormat="1" outlineLevel="2">
      <c r="A100" s="134" t="str">
        <f t="shared" si="37"/>
        <v xml:space="preserve">psych. s 1 </v>
      </c>
      <c r="B100" s="95">
        <v>0</v>
      </c>
      <c r="C100" s="95">
        <v>0</v>
      </c>
      <c r="D100" s="110">
        <f t="shared" si="38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>
      <c r="A101" s="134" t="str">
        <f t="shared" si="37"/>
        <v>psych. s 2</v>
      </c>
      <c r="B101" s="95">
        <v>0</v>
      </c>
      <c r="C101" s="95">
        <v>0</v>
      </c>
      <c r="D101" s="110">
        <f t="shared" si="38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38"/>
        <v>-18760</v>
      </c>
      <c r="F102" s="16"/>
      <c r="G102" s="40"/>
    </row>
    <row r="103" spans="1:22" s="78" customFormat="1" outlineLevel="2">
      <c r="A103" s="165" t="str">
        <f t="shared" ref="A103:A104" si="39">+A50</f>
        <v>psych. s 1  - Skokanová</v>
      </c>
      <c r="B103" s="216">
        <v>14000</v>
      </c>
      <c r="C103" s="216"/>
      <c r="D103" s="119">
        <f t="shared" si="38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>
      <c r="A104" s="134" t="str">
        <f t="shared" si="39"/>
        <v>psych. s 2</v>
      </c>
      <c r="B104" s="95">
        <v>0</v>
      </c>
      <c r="C104" s="95">
        <v>0</v>
      </c>
      <c r="D104" s="110">
        <f t="shared" si="38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>
      <c r="A105" s="89" t="s">
        <v>66</v>
      </c>
      <c r="B105" s="122">
        <f>SUM(B106:B113)</f>
        <v>638055</v>
      </c>
      <c r="C105" s="122">
        <f>SUM(C106:C113)</f>
        <v>191899.78199999998</v>
      </c>
      <c r="D105" s="123">
        <f>+C105-B105</f>
        <v>-446155.21799999999</v>
      </c>
    </row>
    <row r="106" spans="1:22" outlineLevel="1">
      <c r="A106" s="44" t="s">
        <v>67</v>
      </c>
      <c r="B106" s="141">
        <f>+B3*0.15</f>
        <v>164250</v>
      </c>
      <c r="C106" s="141">
        <f>+C3*0.15</f>
        <v>45814.572000000007</v>
      </c>
      <c r="D106" s="142">
        <f t="shared" ref="D106:D131" si="40">+C106-B106</f>
        <v>-118435.42799999999</v>
      </c>
    </row>
    <row r="107" spans="1:22" outlineLevel="1">
      <c r="A107" s="58" t="s">
        <v>68</v>
      </c>
      <c r="B107" s="141">
        <f>+B13*0.15</f>
        <v>159750</v>
      </c>
      <c r="C107" s="141">
        <f>+C13*0.15</f>
        <v>59809.751999999993</v>
      </c>
      <c r="D107" s="142">
        <f t="shared" si="40"/>
        <v>-99940.248000000007</v>
      </c>
    </row>
    <row r="108" spans="1:22" outlineLevel="1">
      <c r="A108" s="57" t="s">
        <v>69</v>
      </c>
      <c r="B108" s="141">
        <f>+B22*0.15</f>
        <v>153750</v>
      </c>
      <c r="C108" s="141">
        <f>+C22*0.15</f>
        <v>84307.715999999986</v>
      </c>
      <c r="D108" s="142">
        <f t="shared" si="40"/>
        <v>-69442.284000000014</v>
      </c>
    </row>
    <row r="109" spans="1:22" outlineLevel="1">
      <c r="A109" s="50" t="s">
        <v>70</v>
      </c>
      <c r="B109" s="141">
        <f>+B31*0.15</f>
        <v>134805</v>
      </c>
      <c r="C109" s="141">
        <f>+C31*0.15</f>
        <v>0</v>
      </c>
      <c r="D109" s="142">
        <f t="shared" si="40"/>
        <v>-134805</v>
      </c>
    </row>
    <row r="110" spans="1:22" outlineLevel="1">
      <c r="A110" s="67" t="s">
        <v>71</v>
      </c>
      <c r="B110" s="141">
        <f>+B40*0.15</f>
        <v>0</v>
      </c>
      <c r="C110" s="141">
        <f>+C40*0.15</f>
        <v>0</v>
      </c>
      <c r="D110" s="142">
        <f t="shared" si="40"/>
        <v>0</v>
      </c>
    </row>
    <row r="111" spans="1:22" outlineLevel="1">
      <c r="A111" s="47" t="s">
        <v>72</v>
      </c>
      <c r="B111" s="141">
        <f>+B43*0.15</f>
        <v>25500</v>
      </c>
      <c r="C111" s="141">
        <f>+C43*0.15</f>
        <v>1967.742</v>
      </c>
      <c r="D111" s="142">
        <f t="shared" si="40"/>
        <v>-23532.258000000002</v>
      </c>
    </row>
    <row r="112" spans="1:22" outlineLevel="1">
      <c r="A112" s="198" t="s">
        <v>73</v>
      </c>
      <c r="B112" s="141">
        <f>+B46*0.15</f>
        <v>0</v>
      </c>
      <c r="C112" s="141">
        <f>+C46*0.15</f>
        <v>0</v>
      </c>
      <c r="D112" s="142">
        <f t="shared" si="40"/>
        <v>0</v>
      </c>
    </row>
    <row r="113" spans="1:4" outlineLevel="1">
      <c r="A113" s="198" t="s">
        <v>74</v>
      </c>
      <c r="B113" s="141">
        <f>+B49*0.15</f>
        <v>0</v>
      </c>
      <c r="C113" s="141">
        <f>+C49*0.15</f>
        <v>0</v>
      </c>
      <c r="D113" s="142">
        <f t="shared" si="40"/>
        <v>0</v>
      </c>
    </row>
    <row r="114" spans="1:4">
      <c r="A114" s="88" t="s">
        <v>75</v>
      </c>
      <c r="B114" s="124">
        <f>SUM(B115:B122)</f>
        <v>70000</v>
      </c>
      <c r="C114" s="124">
        <f>SUM(C115:C122)</f>
        <v>0</v>
      </c>
      <c r="D114" s="125">
        <f>+C114-B114</f>
        <v>-70000</v>
      </c>
    </row>
    <row r="115" spans="1:4" outlineLevel="1">
      <c r="A115" s="44" t="s">
        <v>76</v>
      </c>
      <c r="B115" s="111">
        <v>30000</v>
      </c>
      <c r="C115" s="111">
        <v>0</v>
      </c>
      <c r="D115" s="112">
        <f t="shared" si="40"/>
        <v>-30000</v>
      </c>
    </row>
    <row r="116" spans="1:4" outlineLevel="1">
      <c r="A116" s="58" t="s">
        <v>77</v>
      </c>
      <c r="B116" s="111">
        <v>20000</v>
      </c>
      <c r="C116" s="111">
        <v>0</v>
      </c>
      <c r="D116" s="112">
        <f t="shared" si="40"/>
        <v>-20000</v>
      </c>
    </row>
    <row r="117" spans="1:4" outlineLevel="1">
      <c r="A117" s="57" t="s">
        <v>78</v>
      </c>
      <c r="B117" s="111">
        <v>20000</v>
      </c>
      <c r="C117" s="111">
        <v>0</v>
      </c>
      <c r="D117" s="111">
        <f t="shared" si="40"/>
        <v>-20000</v>
      </c>
    </row>
    <row r="118" spans="1:4" outlineLevel="1">
      <c r="A118" s="50" t="s">
        <v>79</v>
      </c>
      <c r="B118" s="111">
        <v>0</v>
      </c>
      <c r="C118" s="111">
        <f t="shared" ref="C118:C122" si="41">+B118</f>
        <v>0</v>
      </c>
      <c r="D118" s="111">
        <f t="shared" si="40"/>
        <v>0</v>
      </c>
    </row>
    <row r="119" spans="1:4" outlineLevel="1">
      <c r="A119" s="67" t="s">
        <v>80</v>
      </c>
      <c r="B119" s="111">
        <v>0</v>
      </c>
      <c r="C119" s="111">
        <f t="shared" si="41"/>
        <v>0</v>
      </c>
      <c r="D119" s="111">
        <f t="shared" si="40"/>
        <v>0</v>
      </c>
    </row>
    <row r="120" spans="1:4" outlineLevel="1">
      <c r="A120" s="47" t="s">
        <v>81</v>
      </c>
      <c r="B120" s="111">
        <v>0</v>
      </c>
      <c r="C120" s="111">
        <f t="shared" si="41"/>
        <v>0</v>
      </c>
      <c r="D120" s="111">
        <f t="shared" si="40"/>
        <v>0</v>
      </c>
    </row>
    <row r="121" spans="1:4" outlineLevel="1">
      <c r="A121" s="198" t="s">
        <v>82</v>
      </c>
      <c r="B121" s="111">
        <v>0</v>
      </c>
      <c r="C121" s="111">
        <f t="shared" si="41"/>
        <v>0</v>
      </c>
      <c r="D121" s="111">
        <f t="shared" si="40"/>
        <v>0</v>
      </c>
    </row>
    <row r="122" spans="1:4" outlineLevel="1">
      <c r="A122" s="198" t="s">
        <v>83</v>
      </c>
      <c r="B122" s="111">
        <v>0</v>
      </c>
      <c r="C122" s="111">
        <f t="shared" si="41"/>
        <v>0</v>
      </c>
      <c r="D122" s="111">
        <f t="shared" si="40"/>
        <v>0</v>
      </c>
    </row>
    <row r="123" spans="1:4">
      <c r="A123" s="150" t="s">
        <v>84</v>
      </c>
      <c r="B123" s="151">
        <f>SUM(B124:B131)</f>
        <v>425370</v>
      </c>
      <c r="C123" s="151">
        <f t="shared" ref="C123" si="42">SUM(C124:C131)</f>
        <v>127933.18799999998</v>
      </c>
      <c r="D123" s="151">
        <f>+C123-B123</f>
        <v>-297436.81200000003</v>
      </c>
    </row>
    <row r="124" spans="1:4" outlineLevel="1">
      <c r="A124" s="44" t="s">
        <v>85</v>
      </c>
      <c r="B124" s="152">
        <f>+B3/10</f>
        <v>109500</v>
      </c>
      <c r="C124" s="152">
        <f>+C3/10</f>
        <v>30543.048000000003</v>
      </c>
      <c r="D124" s="153">
        <f t="shared" si="40"/>
        <v>-78956.95199999999</v>
      </c>
    </row>
    <row r="125" spans="1:4" outlineLevel="1">
      <c r="A125" s="58" t="s">
        <v>86</v>
      </c>
      <c r="B125" s="152">
        <f>+B13/10</f>
        <v>106500</v>
      </c>
      <c r="C125" s="152">
        <f>+C13/10</f>
        <v>39873.167999999998</v>
      </c>
      <c r="D125" s="153">
        <f t="shared" si="40"/>
        <v>-66626.831999999995</v>
      </c>
    </row>
    <row r="126" spans="1:4" outlineLevel="1">
      <c r="A126" s="57" t="s">
        <v>87</v>
      </c>
      <c r="B126" s="152">
        <f>+B22/10</f>
        <v>102500</v>
      </c>
      <c r="C126" s="152">
        <f>+C22/10</f>
        <v>56205.143999999993</v>
      </c>
      <c r="D126" s="152">
        <f t="shared" si="40"/>
        <v>-46294.856000000007</v>
      </c>
    </row>
    <row r="127" spans="1:4" outlineLevel="1">
      <c r="A127" s="50" t="s">
        <v>88</v>
      </c>
      <c r="B127" s="152">
        <f>+B31/10</f>
        <v>89870</v>
      </c>
      <c r="C127" s="152">
        <f>+C31/10</f>
        <v>0</v>
      </c>
      <c r="D127" s="152">
        <f t="shared" si="40"/>
        <v>-89870</v>
      </c>
    </row>
    <row r="128" spans="1:4" outlineLevel="1">
      <c r="A128" s="67" t="s">
        <v>89</v>
      </c>
      <c r="B128" s="152">
        <f>+B40/10</f>
        <v>0</v>
      </c>
      <c r="C128" s="152">
        <f>+C40/10</f>
        <v>0</v>
      </c>
      <c r="D128" s="152">
        <f t="shared" si="40"/>
        <v>0</v>
      </c>
    </row>
    <row r="129" spans="1:7" outlineLevel="1">
      <c r="A129" s="47" t="s">
        <v>90</v>
      </c>
      <c r="B129" s="152">
        <f>+B43/10</f>
        <v>17000</v>
      </c>
      <c r="C129" s="152">
        <f>+C43/10</f>
        <v>1311.828</v>
      </c>
      <c r="D129" s="152">
        <f t="shared" si="40"/>
        <v>-15688.172</v>
      </c>
    </row>
    <row r="130" spans="1:7" outlineLevel="1">
      <c r="A130" s="198" t="s">
        <v>91</v>
      </c>
      <c r="B130" s="152">
        <f>+B46/10</f>
        <v>0</v>
      </c>
      <c r="C130" s="152">
        <f>+C46/10</f>
        <v>0</v>
      </c>
      <c r="D130" s="152">
        <f t="shared" si="40"/>
        <v>0</v>
      </c>
    </row>
    <row r="131" spans="1:7" outlineLevel="1">
      <c r="A131" s="198" t="s">
        <v>92</v>
      </c>
      <c r="B131" s="152">
        <f>+B49/10</f>
        <v>0</v>
      </c>
      <c r="C131" s="152">
        <f>+C49/10</f>
        <v>0</v>
      </c>
      <c r="D131" s="152">
        <f t="shared" si="40"/>
        <v>0</v>
      </c>
    </row>
    <row r="132" spans="1:7" ht="18">
      <c r="A132" s="139" t="s">
        <v>93</v>
      </c>
      <c r="B132" s="126">
        <f t="shared" ref="B132:D133" si="43">+B114+B105+B55+B123</f>
        <v>2587325</v>
      </c>
      <c r="C132" s="126">
        <f t="shared" si="43"/>
        <v>319832.96999999997</v>
      </c>
      <c r="D132" s="126">
        <f t="shared" si="43"/>
        <v>-2267492.0299999998</v>
      </c>
      <c r="E132" s="15"/>
      <c r="F132" s="10"/>
      <c r="G132" s="41"/>
    </row>
    <row r="133" spans="1:7" outlineLevel="1">
      <c r="A133" s="44" t="s">
        <v>94</v>
      </c>
      <c r="B133" s="140">
        <f t="shared" si="43"/>
        <v>770070</v>
      </c>
      <c r="C133" s="140">
        <f t="shared" si="43"/>
        <v>76357.62000000001</v>
      </c>
      <c r="D133" s="140">
        <f t="shared" si="43"/>
        <v>-693712.37999999989</v>
      </c>
      <c r="E133" s="15"/>
      <c r="F133" s="10"/>
      <c r="G133" s="41"/>
    </row>
    <row r="134" spans="1:7" outlineLevel="1">
      <c r="A134" s="58" t="s">
        <v>95</v>
      </c>
      <c r="B134" s="140">
        <f>+B116+B107+B66+B125</f>
        <v>708350</v>
      </c>
      <c r="C134" s="140">
        <f>+C116+C107+C66+C125</f>
        <v>99682.919999999984</v>
      </c>
      <c r="D134" s="140">
        <f>+D116+D107+D66+D125</f>
        <v>-608667.08000000007</v>
      </c>
      <c r="E134" s="15"/>
      <c r="F134" s="10"/>
      <c r="G134" s="41"/>
    </row>
    <row r="135" spans="1:7" outlineLevel="1">
      <c r="A135" s="57" t="s">
        <v>96</v>
      </c>
      <c r="B135" s="140">
        <f>+B117+B108+B75+B126</f>
        <v>695670</v>
      </c>
      <c r="C135" s="140">
        <f>+C117+C108+C75+C126</f>
        <v>140512.85999999999</v>
      </c>
      <c r="D135" s="140">
        <f>+D117+D108+D75+D126</f>
        <v>-555157.14</v>
      </c>
      <c r="E135" s="15"/>
      <c r="F135" s="10"/>
      <c r="G135" s="41"/>
    </row>
    <row r="136" spans="1:7" outlineLevel="1">
      <c r="A136" s="50" t="s">
        <v>97</v>
      </c>
      <c r="B136" s="140">
        <f>+B118+B109+B84+B127</f>
        <v>318475</v>
      </c>
      <c r="C136" s="140">
        <f>+C118+C109+C84+C127</f>
        <v>0</v>
      </c>
      <c r="D136" s="140">
        <f>+D118+D109+D84+D127</f>
        <v>-318475</v>
      </c>
      <c r="E136" s="15"/>
      <c r="F136" s="10"/>
      <c r="G136" s="41"/>
    </row>
    <row r="137" spans="1:7" outlineLevel="1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>
      <c r="A138" s="47" t="s">
        <v>99</v>
      </c>
      <c r="B138" s="140">
        <f>+B129+B120+B111+B96</f>
        <v>76000</v>
      </c>
      <c r="C138" s="140">
        <f>+C129+C120+C111+C96</f>
        <v>3279.5699999999997</v>
      </c>
      <c r="D138" s="140">
        <f>+D121+D112+D101+D130</f>
        <v>0</v>
      </c>
      <c r="E138" s="15"/>
      <c r="F138" s="10"/>
      <c r="G138" s="41"/>
    </row>
    <row r="139" spans="1:7" outlineLevel="1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>
      <c r="A141" s="7"/>
      <c r="B141" s="127"/>
      <c r="C141" s="127"/>
      <c r="D141" s="128"/>
      <c r="E141" s="15"/>
      <c r="F141" s="10"/>
      <c r="G141" s="41"/>
    </row>
    <row r="142" spans="1:7" ht="15.75">
      <c r="A142" s="177" t="s">
        <v>102</v>
      </c>
      <c r="B142" s="129">
        <f>+B52-B132</f>
        <v>1666375</v>
      </c>
      <c r="C142" s="129">
        <f>+C52-C132</f>
        <v>959498.90999999992</v>
      </c>
      <c r="D142" s="129">
        <f>+D52-D132</f>
        <v>-706876.25000000047</v>
      </c>
      <c r="E142" s="19"/>
      <c r="F142" s="20"/>
      <c r="G142" s="42"/>
    </row>
    <row r="143" spans="1:7">
      <c r="A143" s="44" t="s">
        <v>103</v>
      </c>
      <c r="B143" s="178">
        <f>+B3-B133</f>
        <v>324930</v>
      </c>
      <c r="C143" s="178">
        <f>+C3-C133</f>
        <v>229072.86000000004</v>
      </c>
      <c r="D143" s="178">
        <f>+D3-D133</f>
        <v>-95857.140000000014</v>
      </c>
      <c r="E143" s="19"/>
      <c r="F143" s="20"/>
      <c r="G143" s="42"/>
    </row>
    <row r="144" spans="1:7">
      <c r="A144" s="58" t="s">
        <v>104</v>
      </c>
      <c r="B144" s="178">
        <f>+B13-B134</f>
        <v>356650</v>
      </c>
      <c r="C144" s="178">
        <f>+C13-C134</f>
        <v>299048.76</v>
      </c>
      <c r="D144" s="178">
        <f>+D13-D134</f>
        <v>-57601.399999999907</v>
      </c>
      <c r="E144" s="19"/>
      <c r="F144" s="20"/>
      <c r="G144" s="42"/>
    </row>
    <row r="145" spans="1:7">
      <c r="A145" s="57" t="s">
        <v>105</v>
      </c>
      <c r="B145" s="178">
        <f>+B22-B135</f>
        <v>329330</v>
      </c>
      <c r="C145" s="178">
        <f>+C22-C135</f>
        <v>421538.57999999996</v>
      </c>
      <c r="D145" s="178">
        <f>+D22-D135</f>
        <v>92208.579999999958</v>
      </c>
      <c r="E145" s="19"/>
      <c r="F145" s="20"/>
      <c r="G145" s="42"/>
    </row>
    <row r="146" spans="1:7">
      <c r="A146" s="50" t="s">
        <v>106</v>
      </c>
      <c r="B146" s="178">
        <f>+B31-B136</f>
        <v>580225</v>
      </c>
      <c r="C146" s="178">
        <f>+C31-C136</f>
        <v>0</v>
      </c>
      <c r="D146" s="178">
        <f>+D31-D136</f>
        <v>-580225</v>
      </c>
      <c r="E146" s="19"/>
      <c r="F146" s="20"/>
      <c r="G146" s="42"/>
    </row>
    <row r="147" spans="1:7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>
      <c r="A148" s="62" t="s">
        <v>108</v>
      </c>
      <c r="B148" s="178">
        <f>+B43-B138</f>
        <v>94000</v>
      </c>
      <c r="C148" s="178">
        <f>+C43-C138</f>
        <v>9838.7100000000009</v>
      </c>
      <c r="D148" s="178">
        <f>+D48-D139</f>
        <v>0</v>
      </c>
      <c r="E148" s="19"/>
      <c r="F148" s="20"/>
      <c r="G148" s="42"/>
    </row>
    <row r="149" spans="1:7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>
      <c r="D151" s="131"/>
      <c r="E151" s="21"/>
      <c r="F151" s="22"/>
      <c r="G151" s="43"/>
    </row>
    <row r="152" spans="1:7">
      <c r="A152" s="179" t="s">
        <v>111</v>
      </c>
      <c r="B152" s="180">
        <f>+B52/B132-1</f>
        <v>0.64405322099079165</v>
      </c>
      <c r="C152" s="180">
        <f>+C52/C132-1</f>
        <v>3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D4:D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{7129D1AE-079E-403F-AB64-DBD663C8E04A}</x14:id>
        </ext>
      </extLst>
    </cfRule>
  </conditionalFormatting>
  <conditionalFormatting sqref="D11:D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{48876F2F-18AD-45EF-90DA-203FE60BBC1C}</x14:id>
        </ext>
      </extLst>
    </cfRule>
  </conditionalFormatting>
  <conditionalFormatting sqref="D14:D2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{6A5099A0-AFD0-4EF0-81A5-336EA402D7EC}</x14:id>
        </ext>
      </extLst>
    </cfRule>
  </conditionalFormatting>
  <conditionalFormatting sqref="D23:D3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{87FAC3AE-435A-4FF9-BCD8-E7712C437404}</x14:id>
        </ext>
      </extLst>
    </cfRule>
  </conditionalFormatting>
  <conditionalFormatting sqref="D32:D3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{631CDE96-946A-4A37-BED7-81F679F45C58}</x14:id>
        </ext>
      </extLst>
    </cfRule>
  </conditionalFormatting>
  <conditionalFormatting sqref="D36:D3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{D43DE857-ECAD-4CB1-A287-FA75FE39B266}</x14:id>
        </ext>
      </extLst>
    </cfRule>
  </conditionalFormatting>
  <conditionalFormatting sqref="D41:D4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{446C444E-F70E-4786-B148-66769723D65E}</x14:id>
        </ext>
      </extLst>
    </cfRule>
  </conditionalFormatting>
  <conditionalFormatting sqref="D44:D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{58ED0B13-109C-4AB2-B8B3-8DA77ED3732C}</x14:id>
        </ext>
      </extLst>
    </cfRule>
  </conditionalFormatting>
  <conditionalFormatting sqref="D47:D4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{8FC2CC03-9E38-4AA5-AD5F-C07DC693502A}</x14:id>
        </ext>
      </extLst>
    </cfRule>
  </conditionalFormatting>
  <conditionalFormatting sqref="D50:D5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{E3108144-4F42-4095-8B2A-9C7798C6804D}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29D1AE-079E-403F-AB64-DBD663C8E0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D4:D10</xm:sqref>
        </x14:conditionalFormatting>
        <x14:conditionalFormatting xmlns:xm="http://schemas.microsoft.com/office/excel/2006/main">
          <x14:cfRule type="dataBar" id="{48876F2F-18AD-45EF-90DA-203FE60BB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D11:D12</xm:sqref>
        </x14:conditionalFormatting>
        <x14:conditionalFormatting xmlns:xm="http://schemas.microsoft.com/office/excel/2006/main">
          <x14:cfRule type="dataBar" id="{6A5099A0-AFD0-4EF0-81A5-336EA402D7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87FAC3AE-435A-4FF9-BCD8-E7712C4374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631CDE96-946A-4A37-BED7-81F679F45C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D43DE857-ECAD-4CB1-A287-FA75FE39B2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446C444E-F70E-4786-B148-66769723D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58ED0B13-109C-4AB2-B8B3-8DA77ED37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8FC2CC03-9E38-4AA5-AD5F-C07DC69350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E3108144-4F42-4095-8B2A-9C7798C68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Z152"/>
  <sheetViews>
    <sheetView zoomScale="80" zoomScaleNormal="80" workbookViewId="0">
      <pane xSplit="3" ySplit="2" topLeftCell="S120" activePane="bottomRight" state="frozen"/>
      <selection pane="bottomRight" activeCell="S19" sqref="S19"/>
      <selection pane="bottomLeft" activeCell="A3" sqref="A3"/>
      <selection pane="topRight" activeCell="D1" sqref="D1"/>
    </sheetView>
  </sheetViews>
  <sheetFormatPr defaultRowHeight="14.25" outlineLevelRow="2"/>
  <cols>
    <col min="1" max="1" width="30.85546875" customWidth="1"/>
    <col min="2" max="3" width="14.85546875" style="130" customWidth="1"/>
    <col min="4" max="16" width="9.85546875" style="212" customWidth="1"/>
    <col min="17" max="17" width="11.5703125" style="212" customWidth="1"/>
    <col min="18" max="25" width="9.85546875" style="212" customWidth="1"/>
    <col min="26" max="26" width="10.85546875" style="212" customWidth="1"/>
    <col min="27" max="27" width="9.85546875" style="212" customWidth="1"/>
    <col min="28" max="28" width="5.5703125" customWidth="1"/>
    <col min="29" max="29" width="30.5703125" style="336" customWidth="1"/>
    <col min="30" max="30" width="29.28515625" customWidth="1"/>
    <col min="31" max="31" width="12.5703125" customWidth="1"/>
  </cols>
  <sheetData>
    <row r="1" spans="1:104" s="289" customFormat="1" ht="21" customHeight="1">
      <c r="A1" s="290" t="s">
        <v>0</v>
      </c>
      <c r="B1" s="423" t="s">
        <v>151</v>
      </c>
      <c r="C1" s="424"/>
      <c r="D1" s="422" t="s">
        <v>152</v>
      </c>
      <c r="E1" s="422"/>
      <c r="F1" s="422" t="s">
        <v>153</v>
      </c>
      <c r="G1" s="422"/>
      <c r="H1" s="422" t="s">
        <v>154</v>
      </c>
      <c r="I1" s="422"/>
      <c r="J1" s="422" t="s">
        <v>155</v>
      </c>
      <c r="K1" s="422"/>
      <c r="L1" s="422" t="s">
        <v>156</v>
      </c>
      <c r="M1" s="422"/>
      <c r="N1" s="422" t="s">
        <v>157</v>
      </c>
      <c r="O1" s="422"/>
      <c r="P1" s="422" t="s">
        <v>158</v>
      </c>
      <c r="Q1" s="422"/>
      <c r="R1" s="422" t="s">
        <v>159</v>
      </c>
      <c r="S1" s="422"/>
      <c r="T1" s="422" t="s">
        <v>160</v>
      </c>
      <c r="U1" s="422"/>
      <c r="V1" s="422" t="s">
        <v>161</v>
      </c>
      <c r="W1" s="422"/>
      <c r="X1" s="422" t="s">
        <v>162</v>
      </c>
      <c r="Y1" s="422"/>
      <c r="Z1" s="422" t="s">
        <v>163</v>
      </c>
      <c r="AA1" s="422"/>
      <c r="AC1" s="334"/>
    </row>
    <row r="2" spans="1:104" s="23" customFormat="1">
      <c r="A2" s="145" t="s">
        <v>6</v>
      </c>
      <c r="B2" s="146" t="s">
        <v>164</v>
      </c>
      <c r="C2" s="146" t="s">
        <v>165</v>
      </c>
      <c r="D2" s="268" t="s">
        <v>166</v>
      </c>
      <c r="E2" s="268" t="s">
        <v>167</v>
      </c>
      <c r="F2" s="268" t="s">
        <v>166</v>
      </c>
      <c r="G2" s="268" t="s">
        <v>167</v>
      </c>
      <c r="H2" s="268" t="s">
        <v>166</v>
      </c>
      <c r="I2" s="268" t="s">
        <v>167</v>
      </c>
      <c r="J2" s="268" t="s">
        <v>166</v>
      </c>
      <c r="K2" s="268" t="s">
        <v>167</v>
      </c>
      <c r="L2" s="268" t="s">
        <v>166</v>
      </c>
      <c r="M2" s="268" t="s">
        <v>167</v>
      </c>
      <c r="N2" s="268" t="s">
        <v>166</v>
      </c>
      <c r="O2" s="268" t="s">
        <v>167</v>
      </c>
      <c r="P2" s="268" t="s">
        <v>166</v>
      </c>
      <c r="Q2" s="268" t="s">
        <v>167</v>
      </c>
      <c r="R2" s="268" t="s">
        <v>166</v>
      </c>
      <c r="S2" s="268" t="s">
        <v>167</v>
      </c>
      <c r="T2" s="268" t="s">
        <v>166</v>
      </c>
      <c r="U2" s="268" t="s">
        <v>167</v>
      </c>
      <c r="V2" s="268" t="s">
        <v>166</v>
      </c>
      <c r="W2" s="268" t="s">
        <v>167</v>
      </c>
      <c r="X2" s="268" t="s">
        <v>166</v>
      </c>
      <c r="Y2" s="268" t="s">
        <v>167</v>
      </c>
      <c r="Z2" s="268" t="s">
        <v>166</v>
      </c>
      <c r="AA2" s="268" t="s">
        <v>167</v>
      </c>
      <c r="AC2" s="335"/>
      <c r="AD2" s="23" t="s">
        <v>168</v>
      </c>
    </row>
    <row r="3" spans="1:104" s="23" customFormat="1">
      <c r="A3" s="44" t="s">
        <v>13</v>
      </c>
      <c r="B3" s="91">
        <f>+D3+F3+H3+J3+L3+N3+P3+R3+T3+V3+X3+Z3</f>
        <v>15015000</v>
      </c>
      <c r="C3" s="91">
        <f>+E3+G3+I3+K3+M3+O3+Q3+S3+U3+W3+Y3+AA3</f>
        <v>11395445.330000002</v>
      </c>
      <c r="D3" s="269">
        <f>+'leden 2025'!B3</f>
        <v>915000</v>
      </c>
      <c r="E3" s="269">
        <f>+'leden 2025'!C3</f>
        <v>753882</v>
      </c>
      <c r="F3" s="269">
        <f>+'únor 2025'!B3</f>
        <v>915000</v>
      </c>
      <c r="G3" s="269">
        <f>+'únor 2025'!C3</f>
        <v>717986</v>
      </c>
      <c r="H3" s="269">
        <f>+'březen 2025'!B3</f>
        <v>1535000</v>
      </c>
      <c r="I3" s="269">
        <f>+'březen 2025'!C3</f>
        <v>1117149.8400000001</v>
      </c>
      <c r="J3" s="269">
        <f>+'duben 2025'!B3</f>
        <v>1365000</v>
      </c>
      <c r="K3" s="269">
        <f>+'duben 2025'!C3</f>
        <v>926865.96</v>
      </c>
      <c r="L3" s="269">
        <f>+'květen 2025'!B3</f>
        <v>1365000</v>
      </c>
      <c r="M3" s="269">
        <f>+'květen 2025'!C3</f>
        <v>1086204.5999999999</v>
      </c>
      <c r="N3" s="269">
        <f>+'červen 2025'!B3</f>
        <v>1165000</v>
      </c>
      <c r="O3" s="269">
        <f>+'červen 2025'!C3</f>
        <v>1201249.7600000002</v>
      </c>
      <c r="P3" s="269">
        <f>+'červenec 2025'!B3</f>
        <v>1165000</v>
      </c>
      <c r="Q3" s="269">
        <f>+'červenec 2025'!C3</f>
        <v>1039019.41</v>
      </c>
      <c r="R3" s="269">
        <f>+'srpen 2025'!B3</f>
        <v>1390000</v>
      </c>
      <c r="S3" s="269">
        <f>+'srpen 2025'!C3</f>
        <v>981110.87999999989</v>
      </c>
      <c r="T3" s="269">
        <f>+'září 2025'!B3</f>
        <v>1405000</v>
      </c>
      <c r="U3" s="269">
        <f>+'září 2025'!C3</f>
        <v>1217825.28</v>
      </c>
      <c r="V3" s="269">
        <f>+'říjen 2025'!B3</f>
        <v>1605000</v>
      </c>
      <c r="W3" s="269">
        <f>+'říjen 2025'!C3</f>
        <v>1246411.8</v>
      </c>
      <c r="X3" s="269">
        <f>+'listopad 2025'!B3</f>
        <v>1095000</v>
      </c>
      <c r="Y3" s="269">
        <f>+'listopad 2025'!C3</f>
        <v>802309.32000000007</v>
      </c>
      <c r="Z3" s="269">
        <f>+'prosinec 2025'!B3</f>
        <v>1095000</v>
      </c>
      <c r="AA3" s="269">
        <f>+'prosinec 2025'!C3</f>
        <v>305430.48000000004</v>
      </c>
      <c r="AC3" s="335"/>
    </row>
    <row r="4" spans="1:104" outlineLevel="2">
      <c r="A4" s="132" t="s">
        <v>14</v>
      </c>
      <c r="B4" s="229">
        <f t="shared" ref="B4:B52" si="0">+D4+F4+H4+J4+L4+N4+P4+R4+T4+V4+X4+Z4</f>
        <v>2400000</v>
      </c>
      <c r="C4" s="229">
        <f t="shared" ref="C4:C52" si="1">+E4+G4+I4+K4+M4+O4+Q4+S4+U4+W4+Y4+AA4</f>
        <v>2158415.13</v>
      </c>
      <c r="D4" s="270">
        <f>+'leden 2025'!B4</f>
        <v>200000</v>
      </c>
      <c r="E4" s="270">
        <f>+'leden 2025'!C4</f>
        <v>203197</v>
      </c>
      <c r="F4" s="270">
        <f>+'únor 2025'!B4</f>
        <v>200000</v>
      </c>
      <c r="G4" s="270">
        <f>+'únor 2025'!C4</f>
        <v>201098</v>
      </c>
      <c r="H4" s="270">
        <f>+'březen 2025'!B4</f>
        <v>200000</v>
      </c>
      <c r="I4" s="270">
        <f>+'březen 2025'!C4</f>
        <v>208010.16000000003</v>
      </c>
      <c r="J4" s="270">
        <f>+'duben 2025'!B4</f>
        <v>200000</v>
      </c>
      <c r="K4" s="270">
        <f>+'duben 2025'!C4</f>
        <v>179540.28000000003</v>
      </c>
      <c r="L4" s="270">
        <f>+'květen 2025'!B4</f>
        <v>200000</v>
      </c>
      <c r="M4" s="270">
        <f>+'květen 2025'!C4</f>
        <v>188739.71999999997</v>
      </c>
      <c r="N4" s="270">
        <f>+'červen 2025'!B4</f>
        <v>200000</v>
      </c>
      <c r="O4" s="270">
        <f>+'červen 2025'!C4</f>
        <v>205111.76</v>
      </c>
      <c r="P4" s="270">
        <f>+'červenec 2025'!B4</f>
        <v>200000</v>
      </c>
      <c r="Q4" s="270">
        <f>+'červenec 2025'!C4</f>
        <v>186967.45</v>
      </c>
      <c r="R4" s="270">
        <f>+'srpen 2025'!B4</f>
        <v>200000</v>
      </c>
      <c r="S4" s="270">
        <f>+'srpen 2025'!C4</f>
        <v>117443.51999999999</v>
      </c>
      <c r="T4" s="270">
        <f>+'září 2025'!B4</f>
        <v>200000</v>
      </c>
      <c r="U4" s="270">
        <f>+'září 2025'!C4</f>
        <v>205164.36</v>
      </c>
      <c r="V4" s="270">
        <f>+'říjen 2025'!B4</f>
        <v>200000</v>
      </c>
      <c r="W4" s="270">
        <f>+'říjen 2025'!C4</f>
        <v>202143.60000000003</v>
      </c>
      <c r="X4" s="270">
        <f>+'listopad 2025'!B4</f>
        <v>200000</v>
      </c>
      <c r="Y4" s="270">
        <f>+'listopad 2025'!C4</f>
        <v>180045.72</v>
      </c>
      <c r="Z4" s="270">
        <f>+'prosinec 2025'!B4</f>
        <v>200000</v>
      </c>
      <c r="AA4" s="270">
        <f>+'prosinec 2025'!C4</f>
        <v>80953.56</v>
      </c>
      <c r="AC4" s="346" t="str">
        <f>+A4</f>
        <v>psych. s. 1 - NÁGLOVÁ</v>
      </c>
      <c r="AD4" s="93">
        <f>+C4-C57*1.34</f>
        <v>1254250.1299999999</v>
      </c>
    </row>
    <row r="5" spans="1:104" outlineLevel="2">
      <c r="A5" s="133" t="s">
        <v>15</v>
      </c>
      <c r="B5" s="229">
        <f t="shared" si="0"/>
        <v>2400000</v>
      </c>
      <c r="C5" s="229">
        <f t="shared" si="1"/>
        <v>1315145.04</v>
      </c>
      <c r="D5" s="270">
        <f>+'leden 2025'!B5</f>
        <v>200000</v>
      </c>
      <c r="E5" s="270">
        <f>+'leden 2025'!C5</f>
        <v>150551</v>
      </c>
      <c r="F5" s="270">
        <f>+'únor 2025'!B5</f>
        <v>200000</v>
      </c>
      <c r="G5" s="270">
        <f>+'únor 2025'!C5</f>
        <v>94246</v>
      </c>
      <c r="H5" s="270">
        <f>+'březen 2025'!B5</f>
        <v>200000</v>
      </c>
      <c r="I5" s="270">
        <f>+'březen 2025'!C5</f>
        <v>150631.91999999998</v>
      </c>
      <c r="J5" s="270">
        <f>+'duben 2025'!B5</f>
        <v>200000</v>
      </c>
      <c r="K5" s="270">
        <f>+'duben 2025'!C5</f>
        <v>137392.20000000001</v>
      </c>
      <c r="L5" s="270">
        <f>+'květen 2025'!B5</f>
        <v>200000</v>
      </c>
      <c r="M5" s="270">
        <f>+'květen 2025'!C5</f>
        <v>102938.04000000001</v>
      </c>
      <c r="N5" s="270">
        <f>+'červen 2025'!B5</f>
        <v>200000</v>
      </c>
      <c r="O5" s="270">
        <f>+'červen 2025'!C5</f>
        <v>128852.64</v>
      </c>
      <c r="P5" s="270">
        <f>+'červenec 2025'!B5</f>
        <v>200000</v>
      </c>
      <c r="Q5" s="270">
        <f>+'červenec 2025'!C5</f>
        <v>126559.8</v>
      </c>
      <c r="R5" s="270">
        <f>+'srpen 2025'!B5</f>
        <v>200000</v>
      </c>
      <c r="S5" s="270">
        <f>+'srpen 2025'!C5</f>
        <v>57810.239999999998</v>
      </c>
      <c r="T5" s="270">
        <f>+'září 2025'!B5</f>
        <v>200000</v>
      </c>
      <c r="U5" s="270">
        <f>+'září 2025'!C5</f>
        <v>141477.84</v>
      </c>
      <c r="V5" s="270">
        <f>+'říjen 2025'!B5</f>
        <v>200000</v>
      </c>
      <c r="W5" s="270">
        <f>+'říjen 2025'!C5</f>
        <v>156449.88</v>
      </c>
      <c r="X5" s="270">
        <f>+'listopad 2025'!B5</f>
        <v>200000</v>
      </c>
      <c r="Y5" s="270">
        <f>+'listopad 2025'!C5</f>
        <v>68235.48000000001</v>
      </c>
      <c r="Z5" s="270">
        <f>+'prosinec 2025'!B5</f>
        <v>200000</v>
      </c>
      <c r="AA5" s="270">
        <f>+'prosinec 2025'!C5</f>
        <v>0</v>
      </c>
      <c r="AC5" s="346" t="str">
        <f t="shared" ref="AC5:AC20" si="2">+A5</f>
        <v>psych. s. 2 - HAJASOVÁ</v>
      </c>
      <c r="AD5" s="93">
        <f>+C5-C58*1.34</f>
        <v>604141.04</v>
      </c>
    </row>
    <row r="6" spans="1:104" outlineLevel="2">
      <c r="A6" s="133" t="s">
        <v>16</v>
      </c>
      <c r="B6" s="229">
        <f t="shared" si="0"/>
        <v>2400000</v>
      </c>
      <c r="C6" s="229">
        <f t="shared" si="1"/>
        <v>1785391.28</v>
      </c>
      <c r="D6" s="270">
        <f>+'leden 2025'!B6</f>
        <v>200000</v>
      </c>
      <c r="E6" s="270">
        <f>+'leden 2025'!C6</f>
        <v>160581</v>
      </c>
      <c r="F6" s="270">
        <f>+'únor 2025'!B6</f>
        <v>200000</v>
      </c>
      <c r="G6" s="270">
        <f>+'únor 2025'!C6</f>
        <v>195875</v>
      </c>
      <c r="H6" s="270">
        <f>+'březen 2025'!B6</f>
        <v>200000</v>
      </c>
      <c r="I6" s="270">
        <f>+'březen 2025'!C6</f>
        <v>187573.32</v>
      </c>
      <c r="J6" s="270">
        <f>+'duben 2025'!B6</f>
        <v>200000</v>
      </c>
      <c r="K6" s="270">
        <f>+'duben 2025'!C6</f>
        <v>99048.12</v>
      </c>
      <c r="L6" s="270">
        <f>+'květen 2025'!B6</f>
        <v>200000</v>
      </c>
      <c r="M6" s="270">
        <f>+'květen 2025'!C6</f>
        <v>154528.56</v>
      </c>
      <c r="N6" s="270">
        <f>+'červen 2025'!B6</f>
        <v>200000</v>
      </c>
      <c r="O6" s="270">
        <f>+'červen 2025'!C6</f>
        <v>151512.12</v>
      </c>
      <c r="P6" s="270">
        <f>+'červenec 2025'!B6</f>
        <v>200000</v>
      </c>
      <c r="Q6" s="270">
        <f>+'červenec 2025'!C6</f>
        <v>164511</v>
      </c>
      <c r="R6" s="270">
        <f>+'srpen 2025'!B6</f>
        <v>200000</v>
      </c>
      <c r="S6" s="270">
        <f>+'srpen 2025'!C6</f>
        <v>196120.44</v>
      </c>
      <c r="T6" s="270">
        <f>+'září 2025'!B6</f>
        <v>200000</v>
      </c>
      <c r="U6" s="270">
        <f>+'září 2025'!C6</f>
        <v>155206.79999999999</v>
      </c>
      <c r="V6" s="270">
        <f>+'říjen 2025'!B6</f>
        <v>200000</v>
      </c>
      <c r="W6" s="270">
        <f>+'říjen 2025'!C6</f>
        <v>173563.56</v>
      </c>
      <c r="X6" s="270">
        <f>+'listopad 2025'!B6</f>
        <v>200000</v>
      </c>
      <c r="Y6" s="270">
        <f>+'listopad 2025'!C6</f>
        <v>114000.48</v>
      </c>
      <c r="Z6" s="270">
        <f>+'prosinec 2025'!B6</f>
        <v>200000</v>
      </c>
      <c r="AA6" s="270">
        <f>+'prosinec 2025'!C6</f>
        <v>32870.879999999997</v>
      </c>
      <c r="AC6" s="346" t="str">
        <f t="shared" si="2"/>
        <v>psych. s. 3 -  KAŠPÁRKOVÁ/Pekárová</v>
      </c>
      <c r="AD6" s="93">
        <f>+C6-C59*1.34</f>
        <v>794394.27999999991</v>
      </c>
    </row>
    <row r="7" spans="1:104" s="78" customFormat="1" outlineLevel="2">
      <c r="A7" s="134" t="s">
        <v>131</v>
      </c>
      <c r="B7" s="229">
        <f t="shared" si="0"/>
        <v>770000</v>
      </c>
      <c r="C7" s="229">
        <f t="shared" si="1"/>
        <v>289275.83999999997</v>
      </c>
      <c r="D7" s="270">
        <f>+'leden 2025'!B7</f>
        <v>0</v>
      </c>
      <c r="E7" s="270">
        <f>+'leden 2025'!C7</f>
        <v>0</v>
      </c>
      <c r="F7" s="270">
        <f>+'únor 2025'!B7</f>
        <v>0</v>
      </c>
      <c r="G7" s="270">
        <f>+'únor 2025'!C7</f>
        <v>0</v>
      </c>
      <c r="H7" s="270">
        <f>+'březen 2025'!B7</f>
        <v>170000</v>
      </c>
      <c r="I7" s="270">
        <f>+'březen 2025'!C7</f>
        <v>18856.800000000003</v>
      </c>
      <c r="J7" s="270">
        <f>+'duben 2025'!B7</f>
        <v>0</v>
      </c>
      <c r="K7" s="270">
        <f>+'duben 2025'!C7</f>
        <v>0</v>
      </c>
      <c r="L7" s="270">
        <f>+'květen 2025'!B7</f>
        <v>0</v>
      </c>
      <c r="M7" s="270">
        <f>+'květen 2025'!C7</f>
        <v>0</v>
      </c>
      <c r="N7" s="270">
        <f>+'červen 2025'!B7</f>
        <v>0</v>
      </c>
      <c r="O7" s="270">
        <f>+'červen 2025'!C7</f>
        <v>80771.039999999994</v>
      </c>
      <c r="P7" s="270">
        <f>+'červenec 2025'!B7</f>
        <v>0</v>
      </c>
      <c r="Q7" s="270">
        <f>+'červenec 2025'!C7</f>
        <v>0</v>
      </c>
      <c r="R7" s="270">
        <f>+'srpen 2025'!B7</f>
        <v>0</v>
      </c>
      <c r="S7" s="270">
        <f>+'srpen 2025'!C7</f>
        <v>0</v>
      </c>
      <c r="T7" s="270">
        <f>+'září 2025'!B7</f>
        <v>0</v>
      </c>
      <c r="U7" s="270">
        <f>+'září 2025'!C7</f>
        <v>0</v>
      </c>
      <c r="V7" s="270">
        <f>+'říjen 2025'!B7</f>
        <v>200000</v>
      </c>
      <c r="W7" s="270">
        <f>+'říjen 2025'!C7</f>
        <v>0</v>
      </c>
      <c r="X7" s="270">
        <f>+'listopad 2025'!B7</f>
        <v>200000</v>
      </c>
      <c r="Y7" s="270">
        <f>+'listopad 2025'!C7</f>
        <v>144231.84</v>
      </c>
      <c r="Z7" s="270">
        <f>+'prosinec 2025'!B7</f>
        <v>200000</v>
      </c>
      <c r="AA7" s="270">
        <f>+'prosinec 2025'!C7</f>
        <v>45416.160000000003</v>
      </c>
      <c r="AC7" s="336"/>
      <c r="AD7" s="130"/>
    </row>
    <row r="8" spans="1:104" outlineLevel="2">
      <c r="A8" s="132" t="s">
        <v>18</v>
      </c>
      <c r="B8" s="229">
        <f t="shared" si="0"/>
        <v>960000</v>
      </c>
      <c r="C8" s="229">
        <f t="shared" si="1"/>
        <v>123867.76</v>
      </c>
      <c r="D8" s="270">
        <f>+'leden 2025'!B8</f>
        <v>90000</v>
      </c>
      <c r="E8" s="270">
        <f>+'leden 2025'!C8</f>
        <v>7428</v>
      </c>
      <c r="F8" s="270">
        <f>+'únor 2025'!B8</f>
        <v>90000</v>
      </c>
      <c r="G8" s="270">
        <f>+'únor 2025'!C8</f>
        <v>5473</v>
      </c>
      <c r="H8" s="270">
        <f>+'březen 2025'!B8</f>
        <v>90000</v>
      </c>
      <c r="I8" s="270">
        <f>+'březen 2025'!C8</f>
        <v>4887</v>
      </c>
      <c r="J8" s="270">
        <f>+'duben 2025'!B8</f>
        <v>90000</v>
      </c>
      <c r="K8" s="270">
        <f>+'duben 2025'!C8</f>
        <v>4887</v>
      </c>
      <c r="L8" s="270">
        <f>+'květen 2025'!B8</f>
        <v>90000</v>
      </c>
      <c r="M8" s="270">
        <f>+'květen 2025'!C8</f>
        <v>12361.68</v>
      </c>
      <c r="N8" s="270">
        <f>+'červen 2025'!B8</f>
        <v>90000</v>
      </c>
      <c r="O8" s="270">
        <f>+'červen 2025'!C8</f>
        <v>11723.4</v>
      </c>
      <c r="P8" s="270">
        <f>+'červenec 2025'!B8</f>
        <v>90000</v>
      </c>
      <c r="Q8" s="270">
        <f>+'červenec 2025'!C8</f>
        <v>11315.16</v>
      </c>
      <c r="R8" s="270">
        <f>+'srpen 2025'!B8</f>
        <v>90000</v>
      </c>
      <c r="S8" s="270">
        <f>+'srpen 2025'!C8</f>
        <v>8969.4000000000015</v>
      </c>
      <c r="T8" s="270">
        <f>+'září 2025'!B8</f>
        <v>90000</v>
      </c>
      <c r="U8" s="270">
        <f>+'září 2025'!C8</f>
        <v>8365.68</v>
      </c>
      <c r="V8" s="270">
        <f>+'říjen 2025'!B8</f>
        <v>90000</v>
      </c>
      <c r="W8" s="270">
        <f>+'říjen 2025'!C8</f>
        <v>11988</v>
      </c>
      <c r="X8" s="270">
        <f>+'listopad 2025'!B8</f>
        <v>30000</v>
      </c>
      <c r="Y8" s="270">
        <f>+'listopad 2025'!C8</f>
        <v>30353.399999999998</v>
      </c>
      <c r="Z8" s="270">
        <f>+'prosinec 2025'!B8</f>
        <v>30000</v>
      </c>
      <c r="AA8" s="270">
        <f>+'prosinec 2025'!C8</f>
        <v>6116.04</v>
      </c>
      <c r="AC8" s="346" t="str">
        <f t="shared" si="2"/>
        <v>psychiatr - GÁBEL 0,2</v>
      </c>
      <c r="AD8" s="93">
        <f>+C8-C61*1.34</f>
        <v>-111972.24</v>
      </c>
    </row>
    <row r="9" spans="1:104" outlineLevel="2">
      <c r="A9" s="132" t="s">
        <v>49</v>
      </c>
      <c r="B9" s="229">
        <f t="shared" si="0"/>
        <v>2700000</v>
      </c>
      <c r="C9" s="229">
        <f t="shared" si="1"/>
        <v>2277733.4000000004</v>
      </c>
      <c r="D9" s="270">
        <f>+'leden 2025'!B9</f>
        <v>225000</v>
      </c>
      <c r="E9" s="270">
        <f>+'leden 2025'!C9</f>
        <v>232125</v>
      </c>
      <c r="F9" s="270">
        <f>+'únor 2025'!B9</f>
        <v>225000</v>
      </c>
      <c r="G9" s="270">
        <f>+'únor 2025'!C9</f>
        <v>221294</v>
      </c>
      <c r="H9" s="270">
        <f>+'březen 2025'!B9</f>
        <v>225000</v>
      </c>
      <c r="I9" s="270">
        <f>+'březen 2025'!C9</f>
        <v>223206.84</v>
      </c>
      <c r="J9" s="270">
        <f>+'duben 2025'!B9</f>
        <v>225000</v>
      </c>
      <c r="K9" s="270">
        <f>+'duben 2025'!C9</f>
        <v>127490.76</v>
      </c>
      <c r="L9" s="270">
        <f>+'květen 2025'!B9</f>
        <v>225000</v>
      </c>
      <c r="M9" s="270">
        <f>+'květen 2025'!C9</f>
        <v>216265.68000000002</v>
      </c>
      <c r="N9" s="270">
        <f>+'červen 2025'!B9</f>
        <v>225000</v>
      </c>
      <c r="O9" s="270">
        <f>+'červen 2025'!C9</f>
        <v>167688.36000000002</v>
      </c>
      <c r="P9" s="270">
        <f>+'červenec 2025'!B9</f>
        <v>225000</v>
      </c>
      <c r="Q9" s="270">
        <f>+'červenec 2025'!C9</f>
        <v>242778.6</v>
      </c>
      <c r="R9" s="270">
        <f>+'srpen 2025'!B9</f>
        <v>225000</v>
      </c>
      <c r="S9" s="270">
        <f>+'srpen 2025'!C9</f>
        <v>115080.48000000001</v>
      </c>
      <c r="T9" s="270">
        <f>+'září 2025'!B9</f>
        <v>225000</v>
      </c>
      <c r="U9" s="270">
        <f>+'září 2025'!C9</f>
        <v>226947.96</v>
      </c>
      <c r="V9" s="270">
        <f>+'říjen 2025'!B9</f>
        <v>225000</v>
      </c>
      <c r="W9" s="270">
        <f>+'říjen 2025'!C9</f>
        <v>198371.16</v>
      </c>
      <c r="X9" s="270">
        <f>+'listopad 2025'!B9</f>
        <v>225000</v>
      </c>
      <c r="Y9" s="270">
        <f>+'listopad 2025'!C9</f>
        <v>192879.35999999999</v>
      </c>
      <c r="Z9" s="270">
        <f>+'prosinec 2025'!B9</f>
        <v>225000</v>
      </c>
      <c r="AA9" s="270">
        <f>+'prosinec 2025'!C9</f>
        <v>113605.20000000001</v>
      </c>
      <c r="AC9" s="346" t="str">
        <f t="shared" si="2"/>
        <v>psychiatr - PFEIFFER 0,5</v>
      </c>
      <c r="AD9" s="93">
        <f t="shared" ref="AD9:AD15" si="3">+C9-C62*1.34</f>
        <v>1024833.4000000004</v>
      </c>
    </row>
    <row r="10" spans="1:104" outlineLevel="2">
      <c r="A10" s="165" t="s">
        <v>114</v>
      </c>
      <c r="B10" s="229">
        <f t="shared" si="0"/>
        <v>3150000</v>
      </c>
      <c r="C10" s="229">
        <f t="shared" si="1"/>
        <v>3219962.7600000002</v>
      </c>
      <c r="D10" s="270"/>
      <c r="E10" s="270"/>
      <c r="F10" s="270"/>
      <c r="G10" s="270"/>
      <c r="H10" s="270">
        <f>+'březen 2025'!B10</f>
        <v>450000</v>
      </c>
      <c r="I10" s="270">
        <f>+'březen 2025'!C10</f>
        <v>323983.80000000005</v>
      </c>
      <c r="J10" s="270">
        <f>+'duben 2025'!B10</f>
        <v>450000</v>
      </c>
      <c r="K10" s="270">
        <f>+'duben 2025'!C10</f>
        <v>378507.6</v>
      </c>
      <c r="L10" s="270">
        <f>+'květen 2025'!B10</f>
        <v>450000</v>
      </c>
      <c r="M10" s="270">
        <f>+'květen 2025'!C10</f>
        <v>396842.76</v>
      </c>
      <c r="N10" s="270">
        <f>+'červen 2025'!B10</f>
        <v>225000</v>
      </c>
      <c r="O10" s="270">
        <f>+'červen 2025'!C10</f>
        <v>426534.12000000005</v>
      </c>
      <c r="P10" s="270">
        <f>+'červenec 2025'!B10</f>
        <v>225000</v>
      </c>
      <c r="Q10" s="270">
        <f>+'červenec 2025'!C10</f>
        <v>287516.52</v>
      </c>
      <c r="R10" s="270">
        <f>+'srpen 2025'!B10</f>
        <v>450000</v>
      </c>
      <c r="S10" s="270">
        <f>+'srpen 2025'!C10</f>
        <v>467526.6</v>
      </c>
      <c r="T10" s="270">
        <f>+'září 2025'!B10</f>
        <v>450000</v>
      </c>
      <c r="U10" s="270">
        <f>+'září 2025'!C10</f>
        <v>458870.4</v>
      </c>
      <c r="V10" s="270">
        <f>+'říjen 2025'!B10</f>
        <v>450000</v>
      </c>
      <c r="W10" s="270">
        <f>+'říjen 2025'!C10</f>
        <v>480180.96</v>
      </c>
      <c r="X10" s="270">
        <f>+'listopad 2025'!B10</f>
        <v>0</v>
      </c>
      <c r="Y10" s="270">
        <f>+'listopad 2025'!C10</f>
        <v>0</v>
      </c>
      <c r="Z10" s="270">
        <f>+'prosinec 2025'!B10</f>
        <v>0</v>
      </c>
      <c r="AA10" s="270">
        <f>+'prosinec 2025'!C10</f>
        <v>0</v>
      </c>
      <c r="AC10" s="346" t="str">
        <f t="shared" si="2"/>
        <v>psychiatr - Dr. Suchánková 1,0</v>
      </c>
      <c r="AD10" s="93">
        <f>+C10-C63*1.34+Y18-Y71*1.34+Y27-Y80*1.34</f>
        <v>1612973.7600000002</v>
      </c>
    </row>
    <row r="11" spans="1:104" s="78" customFormat="1" outlineLevel="2">
      <c r="A11" s="165" t="s">
        <v>132</v>
      </c>
      <c r="B11" s="229">
        <f t="shared" si="0"/>
        <v>235000</v>
      </c>
      <c r="C11" s="229">
        <f t="shared" si="1"/>
        <v>225654.12</v>
      </c>
      <c r="D11" s="270"/>
      <c r="E11" s="270"/>
      <c r="F11" s="270"/>
      <c r="G11" s="270"/>
      <c r="H11" s="270">
        <f>+'březen 2025'!B11</f>
        <v>0</v>
      </c>
      <c r="I11" s="270">
        <f>+'březen 2025'!C11</f>
        <v>0</v>
      </c>
      <c r="J11" s="270">
        <f>+'duben 2025'!B11</f>
        <v>0</v>
      </c>
      <c r="K11" s="270">
        <f>+'duben 2025'!C11</f>
        <v>0</v>
      </c>
      <c r="L11" s="270">
        <f>+'květen 2025'!B11</f>
        <v>0</v>
      </c>
      <c r="M11" s="270">
        <f>+'květen 2025'!C11</f>
        <v>14528.16</v>
      </c>
      <c r="N11" s="270">
        <f>+'červen 2025'!B11</f>
        <v>25000</v>
      </c>
      <c r="O11" s="270">
        <f>+'červen 2025'!C11</f>
        <v>29056.32</v>
      </c>
      <c r="P11" s="270">
        <f>+'červenec 2025'!B11</f>
        <v>25000</v>
      </c>
      <c r="Q11" s="270">
        <f>+'červenec 2025'!C11</f>
        <v>19370.88</v>
      </c>
      <c r="R11" s="270">
        <f>+'srpen 2025'!B11</f>
        <v>25000</v>
      </c>
      <c r="S11" s="270">
        <f>+'srpen 2025'!C11</f>
        <v>18160.2</v>
      </c>
      <c r="T11" s="270">
        <f>+'září 2025'!B11</f>
        <v>40000</v>
      </c>
      <c r="U11" s="270">
        <f>+'září 2025'!C11</f>
        <v>21792.239999999998</v>
      </c>
      <c r="V11" s="270">
        <f>+'říjen 2025'!B11</f>
        <v>40000</v>
      </c>
      <c r="W11" s="270">
        <f>+'říjen 2025'!C11</f>
        <v>23714.639999999996</v>
      </c>
      <c r="X11" s="270">
        <f>+'listopad 2025'!B11</f>
        <v>40000</v>
      </c>
      <c r="Y11" s="270">
        <f>+'listopad 2025'!C11</f>
        <v>72563.040000000008</v>
      </c>
      <c r="Z11" s="270">
        <f>+'prosinec 2025'!B11</f>
        <v>40000</v>
      </c>
      <c r="AA11" s="270">
        <f>+'prosinec 2025'!C11</f>
        <v>26468.639999999999</v>
      </c>
      <c r="AC11" s="346" t="str">
        <f t="shared" si="2"/>
        <v>psycholog 1 - Dr. Balko 0,5</v>
      </c>
      <c r="AD11" s="93">
        <f t="shared" si="3"/>
        <v>-149545.88</v>
      </c>
    </row>
    <row r="12" spans="1:104" s="78" customFormat="1" outlineLevel="2">
      <c r="A12" s="134" t="s">
        <v>169</v>
      </c>
      <c r="B12" s="229">
        <f t="shared" si="0"/>
        <v>0</v>
      </c>
      <c r="C12" s="229">
        <f t="shared" si="1"/>
        <v>0</v>
      </c>
      <c r="D12" s="270">
        <f>+'leden 2025'!B11</f>
        <v>0</v>
      </c>
      <c r="E12" s="270">
        <f>+'leden 2025'!C11</f>
        <v>0</v>
      </c>
      <c r="F12" s="270">
        <f>+'únor 2025'!B11</f>
        <v>0</v>
      </c>
      <c r="G12" s="270">
        <f>+'únor 2025'!C11</f>
        <v>0</v>
      </c>
      <c r="H12" s="270">
        <f>+'březen 2025'!B11</f>
        <v>0</v>
      </c>
      <c r="I12" s="270">
        <f>+'březen 2025'!C11</f>
        <v>0</v>
      </c>
      <c r="J12" s="270">
        <f>+'duben 2025'!B11</f>
        <v>0</v>
      </c>
      <c r="K12" s="270">
        <f>+'duben 2025'!C11</f>
        <v>0</v>
      </c>
      <c r="L12" s="270">
        <f>+'květen 2025'!B12</f>
        <v>0</v>
      </c>
      <c r="M12" s="270">
        <f>+'květen 2025'!C12</f>
        <v>0</v>
      </c>
      <c r="N12" s="270">
        <f>+'červen 2025'!B12</f>
        <v>0</v>
      </c>
      <c r="O12" s="270">
        <f>+'červen 2025'!C12</f>
        <v>0</v>
      </c>
      <c r="P12" s="270">
        <f>+'červenec 2025'!B12</f>
        <v>0</v>
      </c>
      <c r="Q12" s="270">
        <f>+'červenec 2025'!C12</f>
        <v>0</v>
      </c>
      <c r="R12" s="270">
        <f>+'srpen 2025'!B12</f>
        <v>0</v>
      </c>
      <c r="S12" s="270">
        <f>+'srpen 2025'!C12</f>
        <v>0</v>
      </c>
      <c r="T12" s="270">
        <f>+'září 2025'!B12</f>
        <v>0</v>
      </c>
      <c r="U12" s="270">
        <f>+'září 2025'!C12</f>
        <v>0</v>
      </c>
      <c r="V12" s="270">
        <f>+'říjen 2025'!B12</f>
        <v>0</v>
      </c>
      <c r="W12" s="270">
        <f>+'říjen 2025'!C12</f>
        <v>0</v>
      </c>
      <c r="X12" s="270">
        <f>+'listopad 2025'!B12</f>
        <v>0</v>
      </c>
      <c r="Y12" s="270">
        <f>+'listopad 2025'!C12</f>
        <v>0</v>
      </c>
      <c r="Z12" s="270">
        <f>+'prosinec 2025'!B12</f>
        <v>0</v>
      </c>
      <c r="AA12" s="270">
        <f>+'prosinec 2025'!C12</f>
        <v>0</v>
      </c>
      <c r="AC12" s="346" t="str">
        <f t="shared" si="2"/>
        <v>psycholog 2  - Lichtenbergová</v>
      </c>
      <c r="AD12" s="93">
        <f t="shared" si="3"/>
        <v>-80400</v>
      </c>
    </row>
    <row r="13" spans="1:104" s="242" customFormat="1">
      <c r="A13" s="58" t="s">
        <v>22</v>
      </c>
      <c r="B13" s="96">
        <f t="shared" si="0"/>
        <v>5060000</v>
      </c>
      <c r="C13" s="96">
        <f t="shared" si="1"/>
        <v>3019635.8200000003</v>
      </c>
      <c r="D13" s="271">
        <f>+'leden 2025'!B12</f>
        <v>170000</v>
      </c>
      <c r="E13" s="271">
        <f>+'leden 2025'!C12</f>
        <v>100994</v>
      </c>
      <c r="F13" s="271">
        <f>+'únor 2025'!B12</f>
        <v>170000</v>
      </c>
      <c r="G13" s="271">
        <f>+'únor 2025'!C12</f>
        <v>75476</v>
      </c>
      <c r="H13" s="271">
        <f>+'březen 2025'!B12</f>
        <v>170000</v>
      </c>
      <c r="I13" s="271">
        <f>+'březen 2025'!C12</f>
        <v>106181.04000000001</v>
      </c>
      <c r="J13" s="271">
        <f>+'duben 2025'!B12</f>
        <v>340000</v>
      </c>
      <c r="K13" s="271">
        <f>+'duben 2025'!C12</f>
        <v>159456.78</v>
      </c>
      <c r="L13" s="271">
        <f>+'květen 2025'!B13</f>
        <v>340000</v>
      </c>
      <c r="M13" s="271">
        <f>+'květen 2025'!C13</f>
        <v>210552.02000000002</v>
      </c>
      <c r="N13" s="271">
        <f>+'červen 2025'!B13</f>
        <v>340000</v>
      </c>
      <c r="O13" s="271">
        <f>+'červen 2025'!C13</f>
        <v>246905.12</v>
      </c>
      <c r="P13" s="271">
        <f>+'červenec 2025'!B13</f>
        <v>400000</v>
      </c>
      <c r="Q13" s="271">
        <f>+'červenec 2025'!C13</f>
        <v>224761.03999999998</v>
      </c>
      <c r="R13" s="271">
        <f>+'srpen 2025'!B13</f>
        <v>400000</v>
      </c>
      <c r="S13" s="271">
        <f>+'srpen 2025'!C13</f>
        <v>234926.58</v>
      </c>
      <c r="T13" s="271">
        <f>+'září 2025'!B13</f>
        <v>400000</v>
      </c>
      <c r="U13" s="271">
        <f>+'září 2025'!C13</f>
        <v>288544.33999999997</v>
      </c>
      <c r="V13" s="271">
        <f>+'říjen 2025'!B13</f>
        <v>400000</v>
      </c>
      <c r="W13" s="271">
        <f>+'říjen 2025'!C13</f>
        <v>273477.82</v>
      </c>
      <c r="X13" s="271">
        <f>+'listopad 2025'!B13</f>
        <v>865000</v>
      </c>
      <c r="Y13" s="271">
        <f>+'listopad 2025'!C13</f>
        <v>699629.40000000014</v>
      </c>
      <c r="Z13" s="271">
        <f>+'prosinec 2025'!B13</f>
        <v>1065000</v>
      </c>
      <c r="AA13" s="271">
        <f>+'prosinec 2025'!C13</f>
        <v>398731.68</v>
      </c>
      <c r="AB13"/>
      <c r="AC13" s="336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</row>
    <row r="14" spans="1:104" outlineLevel="2">
      <c r="A14" s="133" t="s">
        <v>23</v>
      </c>
      <c r="B14" s="229">
        <f t="shared" si="0"/>
        <v>2220000</v>
      </c>
      <c r="C14" s="229">
        <f t="shared" si="1"/>
        <v>1445499.96</v>
      </c>
      <c r="D14" s="270">
        <f>+'leden 2025'!B13</f>
        <v>170000</v>
      </c>
      <c r="E14" s="270">
        <f>+'leden 2025'!C13</f>
        <v>100994</v>
      </c>
      <c r="F14" s="270">
        <f>+'únor 2025'!B13</f>
        <v>170000</v>
      </c>
      <c r="G14" s="270">
        <f>+'únor 2025'!C13</f>
        <v>75476</v>
      </c>
      <c r="H14" s="270">
        <f>+'březen 2025'!B13</f>
        <v>170000</v>
      </c>
      <c r="I14" s="270">
        <f>+'březen 2025'!C13</f>
        <v>106181.04000000001</v>
      </c>
      <c r="J14" s="270">
        <f>+'duben 2025'!B13</f>
        <v>170000</v>
      </c>
      <c r="K14" s="270">
        <f>+'duben 2025'!C13</f>
        <v>91110.6</v>
      </c>
      <c r="L14" s="270">
        <f>+'květen 2025'!B14</f>
        <v>170000</v>
      </c>
      <c r="M14" s="270">
        <f>+'květen 2025'!C14</f>
        <v>112071.81999999999</v>
      </c>
      <c r="N14" s="270">
        <f>+'červen 2025'!B14</f>
        <v>170000</v>
      </c>
      <c r="O14" s="270">
        <f>+'červen 2025'!C14</f>
        <v>126470.96</v>
      </c>
      <c r="P14" s="270">
        <f>+'červenec 2025'!B14</f>
        <v>200000</v>
      </c>
      <c r="Q14" s="270">
        <f>+'červenec 2025'!C14</f>
        <v>130747.68</v>
      </c>
      <c r="R14" s="270">
        <f>+'srpen 2025'!B14</f>
        <v>200000</v>
      </c>
      <c r="S14" s="270">
        <f>+'srpen 2025'!C14</f>
        <v>79703.399999999994</v>
      </c>
      <c r="T14" s="270">
        <f>+'září 2025'!B14</f>
        <v>200000</v>
      </c>
      <c r="U14" s="270">
        <f>+'září 2025'!C14</f>
        <v>165539.63999999998</v>
      </c>
      <c r="V14" s="270">
        <f>+'říjen 2025'!B14</f>
        <v>200000</v>
      </c>
      <c r="W14" s="270">
        <f>+'říjen 2025'!C14</f>
        <v>139827.38</v>
      </c>
      <c r="X14" s="270">
        <f>+'listopad 2025'!B14</f>
        <v>200000</v>
      </c>
      <c r="Y14" s="270">
        <f>+'listopad 2025'!C14</f>
        <v>231180.48</v>
      </c>
      <c r="Z14" s="270">
        <f>+'prosinec 2025'!B14</f>
        <v>200000</v>
      </c>
      <c r="AA14" s="270">
        <f>+'prosinec 2025'!C14</f>
        <v>86196.959999999992</v>
      </c>
      <c r="AC14" s="346" t="str">
        <f t="shared" si="2"/>
        <v>psych. s 1 - Blažková</v>
      </c>
      <c r="AD14" s="93">
        <f t="shared" si="3"/>
        <v>620729.96</v>
      </c>
    </row>
    <row r="15" spans="1:104" s="78" customFormat="1" outlineLevel="2">
      <c r="A15" s="165" t="s">
        <v>24</v>
      </c>
      <c r="B15" s="229">
        <f t="shared" si="0"/>
        <v>1710000</v>
      </c>
      <c r="C15" s="229">
        <f t="shared" si="1"/>
        <v>1082566.3</v>
      </c>
      <c r="D15" s="270">
        <f>+'leden 2025'!B14</f>
        <v>0</v>
      </c>
      <c r="E15" s="270">
        <f>+'leden 2025'!C14</f>
        <v>0</v>
      </c>
      <c r="F15" s="270">
        <f>+'únor 2025'!B14</f>
        <v>0</v>
      </c>
      <c r="G15" s="270">
        <f>+'únor 2025'!C14</f>
        <v>0</v>
      </c>
      <c r="H15" s="270">
        <f>+'březen 2025'!B14</f>
        <v>0</v>
      </c>
      <c r="I15" s="270">
        <f>+'březen 2025'!C14</f>
        <v>0</v>
      </c>
      <c r="J15" s="270">
        <f>+'duben 2025'!B14</f>
        <v>170000</v>
      </c>
      <c r="K15" s="270">
        <f>+'duben 2025'!C14</f>
        <v>68346.179999999993</v>
      </c>
      <c r="L15" s="270">
        <f>+'květen 2025'!B15</f>
        <v>170000</v>
      </c>
      <c r="M15" s="270">
        <f>+'květen 2025'!C15</f>
        <v>98480.200000000012</v>
      </c>
      <c r="N15" s="270">
        <f>+'červen 2025'!B15</f>
        <v>170000</v>
      </c>
      <c r="O15" s="270">
        <f>+'červen 2025'!C15</f>
        <v>120434.16</v>
      </c>
      <c r="P15" s="270">
        <f>+'červenec 2025'!B15</f>
        <v>200000</v>
      </c>
      <c r="Q15" s="270">
        <f>+'červenec 2025'!C15</f>
        <v>94013.36</v>
      </c>
      <c r="R15" s="270">
        <f>+'srpen 2025'!B15</f>
        <v>200000</v>
      </c>
      <c r="S15" s="270">
        <f>+'srpen 2025'!C15</f>
        <v>155223.18</v>
      </c>
      <c r="T15" s="270">
        <f>+'září 2025'!B15</f>
        <v>200000</v>
      </c>
      <c r="U15" s="270">
        <f>+'září 2025'!C15</f>
        <v>123004.7</v>
      </c>
      <c r="V15" s="270">
        <f>+'říjen 2025'!B15</f>
        <v>200000</v>
      </c>
      <c r="W15" s="270">
        <f>+'říjen 2025'!C15</f>
        <v>133650.44</v>
      </c>
      <c r="X15" s="270">
        <f>+'listopad 2025'!B15</f>
        <v>200000</v>
      </c>
      <c r="Y15" s="270">
        <f>+'listopad 2025'!C15</f>
        <v>209362.32</v>
      </c>
      <c r="Z15" s="270">
        <f>+'prosinec 2025'!B15</f>
        <v>200000</v>
      </c>
      <c r="AA15" s="270">
        <f>+'prosinec 2025'!C15</f>
        <v>80051.760000000009</v>
      </c>
      <c r="AC15" s="346" t="str">
        <f t="shared" si="2"/>
        <v>psych. s 2 - Pátková od 1.3</v>
      </c>
      <c r="AD15" s="93">
        <f t="shared" si="3"/>
        <v>425966.30000000005</v>
      </c>
    </row>
    <row r="16" spans="1:104" s="78" customFormat="1" outlineLevel="2">
      <c r="A16" s="134" t="s">
        <v>134</v>
      </c>
      <c r="B16" s="229">
        <f t="shared" si="0"/>
        <v>400000</v>
      </c>
      <c r="C16" s="229">
        <f t="shared" si="1"/>
        <v>66776.399999999994</v>
      </c>
      <c r="D16" s="270">
        <f>+'leden 2025'!B15</f>
        <v>0</v>
      </c>
      <c r="E16" s="270">
        <f>+'leden 2025'!C15</f>
        <v>0</v>
      </c>
      <c r="F16" s="270">
        <f>+'únor 2025'!B15</f>
        <v>0</v>
      </c>
      <c r="G16" s="270">
        <f>+'únor 2025'!C15</f>
        <v>0</v>
      </c>
      <c r="H16" s="270">
        <f>+'březen 2025'!B15</f>
        <v>0</v>
      </c>
      <c r="I16" s="270">
        <f>+'březen 2025'!C15</f>
        <v>0</v>
      </c>
      <c r="J16" s="270">
        <f>+'duben 2025'!B15</f>
        <v>0</v>
      </c>
      <c r="K16" s="270">
        <f>+'duben 2025'!C15</f>
        <v>0</v>
      </c>
      <c r="L16" s="270">
        <f>+'květen 2025'!B16</f>
        <v>0</v>
      </c>
      <c r="M16" s="270">
        <f>+'květen 2025'!C16</f>
        <v>0</v>
      </c>
      <c r="N16" s="270">
        <f>+'červen 2025'!B16</f>
        <v>0</v>
      </c>
      <c r="O16" s="270">
        <f>+'červen 2025'!C16</f>
        <v>0</v>
      </c>
      <c r="P16" s="270">
        <f>+'červenec 2025'!B16</f>
        <v>0</v>
      </c>
      <c r="Q16" s="270">
        <f>+'červenec 2025'!C16</f>
        <v>0</v>
      </c>
      <c r="R16" s="270">
        <f>+'srpen 2025'!B16</f>
        <v>0</v>
      </c>
      <c r="S16" s="270">
        <f>+'srpen 2025'!C16</f>
        <v>0</v>
      </c>
      <c r="T16" s="270">
        <f>+'září 2025'!B16</f>
        <v>0</v>
      </c>
      <c r="U16" s="270">
        <f>+'září 2025'!C16</f>
        <v>0</v>
      </c>
      <c r="V16" s="270">
        <f>+'říjen 2025'!B16</f>
        <v>0</v>
      </c>
      <c r="W16" s="270">
        <f>+'říjen 2025'!C16</f>
        <v>0</v>
      </c>
      <c r="X16" s="270">
        <f>+'listopad 2025'!B16</f>
        <v>200000</v>
      </c>
      <c r="Y16" s="270">
        <f>+'listopad 2025'!C16</f>
        <v>33942.239999999998</v>
      </c>
      <c r="Z16" s="270">
        <f>+'prosinec 2025'!B16</f>
        <v>200000</v>
      </c>
      <c r="AA16" s="270">
        <f>+'prosinec 2025'!C16</f>
        <v>32834.160000000003</v>
      </c>
      <c r="AC16" s="336"/>
      <c r="AD16" s="130"/>
    </row>
    <row r="17" spans="1:104" s="78" customFormat="1" outlineLevel="2">
      <c r="A17" s="165" t="s">
        <v>26</v>
      </c>
      <c r="B17" s="229" t="e">
        <f t="shared" si="0"/>
        <v>#REF!</v>
      </c>
      <c r="C17" s="229" t="e">
        <f t="shared" si="1"/>
        <v>#REF!</v>
      </c>
      <c r="D17" s="270">
        <f>+'leden 2025'!B16</f>
        <v>0</v>
      </c>
      <c r="E17" s="270">
        <f>+'leden 2025'!C16</f>
        <v>0</v>
      </c>
      <c r="F17" s="270">
        <f>+'únor 2025'!B16</f>
        <v>0</v>
      </c>
      <c r="G17" s="270">
        <f>+'únor 2025'!C16</f>
        <v>0</v>
      </c>
      <c r="H17" s="270">
        <f>+'březen 2025'!B16</f>
        <v>0</v>
      </c>
      <c r="I17" s="270">
        <f>+'březen 2025'!C16</f>
        <v>0</v>
      </c>
      <c r="J17" s="270">
        <f>+'duben 2025'!B16</f>
        <v>0</v>
      </c>
      <c r="K17" s="270">
        <f>+'duben 2025'!C16</f>
        <v>0</v>
      </c>
      <c r="L17" s="270">
        <f>+'květen 2025'!B17</f>
        <v>0</v>
      </c>
      <c r="M17" s="270">
        <f>+'květen 2025'!C17</f>
        <v>0</v>
      </c>
      <c r="N17" s="270">
        <f>+'červen 2025'!B17</f>
        <v>0</v>
      </c>
      <c r="O17" s="270">
        <f>+'červen 2025'!C17</f>
        <v>0</v>
      </c>
      <c r="P17" s="270">
        <f>+'červenec 2025'!B17</f>
        <v>0</v>
      </c>
      <c r="Q17" s="270">
        <f>+'červenec 2025'!C17</f>
        <v>0</v>
      </c>
      <c r="R17" s="270">
        <f>+'srpen 2025'!B17</f>
        <v>0</v>
      </c>
      <c r="S17" s="270">
        <f>+'srpen 2025'!C17</f>
        <v>0</v>
      </c>
      <c r="T17" s="270">
        <f>+'září 2025'!B17</f>
        <v>0</v>
      </c>
      <c r="U17" s="270">
        <f>+'září 2025'!C17</f>
        <v>0</v>
      </c>
      <c r="V17" s="270">
        <f>+'říjen 2025'!B17</f>
        <v>0</v>
      </c>
      <c r="W17" s="270">
        <f>+'říjen 2025'!C17</f>
        <v>0</v>
      </c>
      <c r="X17" s="270">
        <f>+'listopad 2025'!B17</f>
        <v>0</v>
      </c>
      <c r="Y17" s="270">
        <f>+'listopad 2025'!C17</f>
        <v>0</v>
      </c>
      <c r="Z17" s="270" t="e">
        <f>+'prosinec 2025'!#REF!</f>
        <v>#REF!</v>
      </c>
      <c r="AA17" s="270" t="e">
        <f>+'prosinec 2025'!#REF!</f>
        <v>#REF!</v>
      </c>
      <c r="AC17" s="336"/>
      <c r="AD17" s="130"/>
    </row>
    <row r="18" spans="1:104" s="78" customFormat="1" outlineLevel="2">
      <c r="A18" s="165" t="s">
        <v>135</v>
      </c>
      <c r="B18" s="229">
        <f t="shared" si="0"/>
        <v>450000</v>
      </c>
      <c r="C18" s="229">
        <f t="shared" si="1"/>
        <v>289465.92</v>
      </c>
      <c r="D18" s="270">
        <f>+'leden 2025'!B17</f>
        <v>0</v>
      </c>
      <c r="E18" s="270">
        <f>+'leden 2025'!C17</f>
        <v>0</v>
      </c>
      <c r="F18" s="270">
        <f>+'únor 2025'!B17</f>
        <v>0</v>
      </c>
      <c r="G18" s="270">
        <f>+'únor 2025'!C17</f>
        <v>0</v>
      </c>
      <c r="H18" s="270">
        <f>+'březen 2025'!B17</f>
        <v>0</v>
      </c>
      <c r="I18" s="270">
        <f>+'březen 2025'!C17</f>
        <v>0</v>
      </c>
      <c r="J18" s="270">
        <f>+'duben 2025'!B17</f>
        <v>0</v>
      </c>
      <c r="K18" s="270">
        <f>+'duben 2025'!C17</f>
        <v>0</v>
      </c>
      <c r="L18" s="270">
        <f>+'květen 2025'!B18</f>
        <v>0</v>
      </c>
      <c r="M18" s="270">
        <f>+'květen 2025'!C18</f>
        <v>0</v>
      </c>
      <c r="N18" s="270">
        <f>+'červen 2025'!B18</f>
        <v>0</v>
      </c>
      <c r="O18" s="270">
        <f>+'červen 2025'!C18</f>
        <v>0</v>
      </c>
      <c r="P18" s="270">
        <f>+'červenec 2025'!B18</f>
        <v>0</v>
      </c>
      <c r="Q18" s="270">
        <f>+'červenec 2025'!C18</f>
        <v>0</v>
      </c>
      <c r="R18" s="270">
        <f>+'srpen 2025'!B18</f>
        <v>0</v>
      </c>
      <c r="S18" s="270">
        <f>+'srpen 2025'!C18</f>
        <v>0</v>
      </c>
      <c r="T18" s="270">
        <f>+'září 2025'!B18</f>
        <v>0</v>
      </c>
      <c r="U18" s="270">
        <f>+'září 2025'!C18</f>
        <v>0</v>
      </c>
      <c r="V18" s="270">
        <f>+'říjen 2025'!B18</f>
        <v>0</v>
      </c>
      <c r="W18" s="270">
        <f>+'říjen 2025'!C18</f>
        <v>0</v>
      </c>
      <c r="X18" s="270">
        <f>+'listopad 2025'!B18</f>
        <v>225000</v>
      </c>
      <c r="Y18" s="270">
        <f>+'listopad 2025'!C18</f>
        <v>162334.79999999999</v>
      </c>
      <c r="Z18" s="270">
        <f>+'prosinec 2025'!B18</f>
        <v>225000</v>
      </c>
      <c r="AA18" s="270">
        <f>+'prosinec 2025'!C18</f>
        <v>127131.12</v>
      </c>
      <c r="AC18" s="336"/>
      <c r="AD18" s="130"/>
    </row>
    <row r="19" spans="1:104" s="78" customFormat="1" outlineLevel="2">
      <c r="A19" s="134" t="s">
        <v>28</v>
      </c>
      <c r="B19" s="229">
        <f t="shared" si="0"/>
        <v>0</v>
      </c>
      <c r="C19" s="229">
        <f t="shared" si="1"/>
        <v>0</v>
      </c>
      <c r="D19" s="270">
        <f>+'leden 2025'!B18</f>
        <v>0</v>
      </c>
      <c r="E19" s="270">
        <f>+'leden 2025'!C18</f>
        <v>0</v>
      </c>
      <c r="F19" s="270">
        <f>+'únor 2025'!B18</f>
        <v>0</v>
      </c>
      <c r="G19" s="270">
        <f>+'únor 2025'!C18</f>
        <v>0</v>
      </c>
      <c r="H19" s="270">
        <f>+'březen 2025'!B18</f>
        <v>0</v>
      </c>
      <c r="I19" s="270">
        <f>+'březen 2025'!C18</f>
        <v>0</v>
      </c>
      <c r="J19" s="270">
        <f>+'duben 2025'!B18</f>
        <v>0</v>
      </c>
      <c r="K19" s="270">
        <f>+'duben 2025'!C18</f>
        <v>0</v>
      </c>
      <c r="L19" s="270">
        <f>+'květen 2025'!B19</f>
        <v>0</v>
      </c>
      <c r="M19" s="270">
        <f>+'květen 2025'!C19</f>
        <v>0</v>
      </c>
      <c r="N19" s="270">
        <f>+'červen 2025'!B19</f>
        <v>0</v>
      </c>
      <c r="O19" s="270">
        <f>+'červen 2025'!C19</f>
        <v>0</v>
      </c>
      <c r="P19" s="270">
        <f>+'červenec 2025'!B19</f>
        <v>0</v>
      </c>
      <c r="Q19" s="270">
        <f>+'červenec 2025'!C19</f>
        <v>0</v>
      </c>
      <c r="R19" s="270">
        <f>+'srpen 2025'!B19</f>
        <v>0</v>
      </c>
      <c r="S19" s="270">
        <f>+'srpen 2025'!C19</f>
        <v>0</v>
      </c>
      <c r="T19" s="270">
        <f>+'září 2025'!B19</f>
        <v>0</v>
      </c>
      <c r="U19" s="270">
        <f>+'září 2025'!C19</f>
        <v>0</v>
      </c>
      <c r="V19" s="270">
        <f>+'říjen 2025'!B19</f>
        <v>0</v>
      </c>
      <c r="W19" s="270">
        <f>+'říjen 2025'!C19</f>
        <v>0</v>
      </c>
      <c r="X19" s="270">
        <f>+'listopad 2025'!B19</f>
        <v>0</v>
      </c>
      <c r="Y19" s="270">
        <f>+'listopad 2025'!C19</f>
        <v>0</v>
      </c>
      <c r="Z19" s="270">
        <f>+'prosinec 2025'!B19</f>
        <v>0</v>
      </c>
      <c r="AA19" s="270">
        <f>+'prosinec 2025'!C19</f>
        <v>0</v>
      </c>
      <c r="AC19" s="336"/>
      <c r="AD19" s="130"/>
    </row>
    <row r="20" spans="1:104" s="78" customFormat="1" outlineLevel="2">
      <c r="A20" s="165" t="s">
        <v>136</v>
      </c>
      <c r="B20" s="229">
        <f t="shared" si="0"/>
        <v>80000</v>
      </c>
      <c r="C20" s="229">
        <f t="shared" si="1"/>
        <v>103140</v>
      </c>
      <c r="D20" s="270">
        <f>+'leden 2025'!B19</f>
        <v>0</v>
      </c>
      <c r="E20" s="270">
        <f>+'leden 2025'!C19</f>
        <v>0</v>
      </c>
      <c r="F20" s="270">
        <f>+'únor 2025'!B19</f>
        <v>0</v>
      </c>
      <c r="G20" s="270">
        <f>+'únor 2025'!C19</f>
        <v>0</v>
      </c>
      <c r="H20" s="270">
        <f>+'březen 2025'!B19</f>
        <v>0</v>
      </c>
      <c r="I20" s="270">
        <f>+'březen 2025'!C19</f>
        <v>0</v>
      </c>
      <c r="J20" s="270">
        <f>+'duben 2025'!B19</f>
        <v>0</v>
      </c>
      <c r="K20" s="270">
        <f>+'duben 2025'!C19</f>
        <v>0</v>
      </c>
      <c r="L20" s="270">
        <f>+'květen 2025'!B20</f>
        <v>0</v>
      </c>
      <c r="M20" s="270">
        <f>+'květen 2025'!C20</f>
        <v>0</v>
      </c>
      <c r="N20" s="270">
        <f>+'červen 2025'!B20</f>
        <v>0</v>
      </c>
      <c r="O20" s="270">
        <f>+'červen 2025'!C20</f>
        <v>0</v>
      </c>
      <c r="P20" s="270">
        <f>+'červenec 2025'!B20</f>
        <v>0</v>
      </c>
      <c r="Q20" s="270">
        <f>+'červenec 2025'!C20</f>
        <v>0</v>
      </c>
      <c r="R20" s="270">
        <f>+'srpen 2025'!B20</f>
        <v>0</v>
      </c>
      <c r="S20" s="270">
        <f>+'srpen 2025'!C20</f>
        <v>0</v>
      </c>
      <c r="T20" s="270">
        <f>+'září 2025'!B20</f>
        <v>0</v>
      </c>
      <c r="U20" s="270">
        <f>+'září 2025'!C20</f>
        <v>0</v>
      </c>
      <c r="V20" s="270">
        <f>+'říjen 2025'!B20</f>
        <v>0</v>
      </c>
      <c r="W20" s="270">
        <f>+'říjen 2025'!C20</f>
        <v>0</v>
      </c>
      <c r="X20" s="270">
        <f>+'listopad 2025'!B20</f>
        <v>40000</v>
      </c>
      <c r="Y20" s="270">
        <f>+'listopad 2025'!C20</f>
        <v>62809.560000000005</v>
      </c>
      <c r="Z20" s="270">
        <f>+'prosinec 2025'!B20</f>
        <v>40000</v>
      </c>
      <c r="AA20" s="270">
        <f>+'prosinec 2025'!C20</f>
        <v>40330.44</v>
      </c>
      <c r="AC20" s="346" t="str">
        <f t="shared" si="2"/>
        <v>psycholog 1 - Mgr. Eva Suchopová  0,2</v>
      </c>
      <c r="AD20" s="93">
        <f t="shared" ref="AD20" si="4">+C20-C73*1.34</f>
        <v>-36220</v>
      </c>
    </row>
    <row r="21" spans="1:104" s="78" customFormat="1" outlineLevel="2">
      <c r="A21" s="134" t="s">
        <v>21</v>
      </c>
      <c r="B21" s="229">
        <f t="shared" si="0"/>
        <v>0</v>
      </c>
      <c r="C21" s="229">
        <f t="shared" si="1"/>
        <v>0</v>
      </c>
      <c r="D21" s="270">
        <f>+'leden 2025'!B20</f>
        <v>0</v>
      </c>
      <c r="E21" s="270">
        <f>+'leden 2025'!C20</f>
        <v>0</v>
      </c>
      <c r="F21" s="270">
        <f>+'únor 2025'!B20</f>
        <v>0</v>
      </c>
      <c r="G21" s="270">
        <f>+'únor 2025'!C20</f>
        <v>0</v>
      </c>
      <c r="H21" s="270">
        <f>+'březen 2025'!B20</f>
        <v>0</v>
      </c>
      <c r="I21" s="270">
        <f>+'březen 2025'!C20</f>
        <v>0</v>
      </c>
      <c r="J21" s="270">
        <f>+'duben 2025'!B20</f>
        <v>0</v>
      </c>
      <c r="K21" s="270">
        <f>+'duben 2025'!C20</f>
        <v>0</v>
      </c>
      <c r="L21" s="270">
        <f>+'květen 2025'!B21</f>
        <v>0</v>
      </c>
      <c r="M21" s="270">
        <f>+'květen 2025'!C21</f>
        <v>0</v>
      </c>
      <c r="N21" s="270">
        <f>+'červen 2025'!B21</f>
        <v>0</v>
      </c>
      <c r="O21" s="270">
        <f>+'červen 2025'!C21</f>
        <v>0</v>
      </c>
      <c r="P21" s="270">
        <f>+'červenec 2025'!B21</f>
        <v>0</v>
      </c>
      <c r="Q21" s="270">
        <f>+'červenec 2025'!C21</f>
        <v>0</v>
      </c>
      <c r="R21" s="270">
        <f>+'srpen 2025'!B21</f>
        <v>0</v>
      </c>
      <c r="S21" s="270">
        <f>+'srpen 2025'!C21</f>
        <v>0</v>
      </c>
      <c r="T21" s="270">
        <f>+'září 2025'!B21</f>
        <v>0</v>
      </c>
      <c r="U21" s="270">
        <f>+'září 2025'!C21</f>
        <v>0</v>
      </c>
      <c r="V21" s="270">
        <f>+'říjen 2025'!B21</f>
        <v>0</v>
      </c>
      <c r="W21" s="270">
        <f>+'říjen 2025'!C21</f>
        <v>0</v>
      </c>
      <c r="X21" s="270">
        <f>+'listopad 2025'!B21</f>
        <v>0</v>
      </c>
      <c r="Y21" s="270">
        <f>+'listopad 2025'!C21</f>
        <v>0</v>
      </c>
      <c r="Z21" s="270">
        <f>+'prosinec 2025'!B21</f>
        <v>0</v>
      </c>
      <c r="AA21" s="270">
        <f>+'prosinec 2025'!C21</f>
        <v>0</v>
      </c>
      <c r="AC21" s="336"/>
      <c r="AD21" s="130"/>
    </row>
    <row r="22" spans="1:104" s="259" customFormat="1">
      <c r="A22" s="57" t="s">
        <v>29</v>
      </c>
      <c r="B22" s="98">
        <f t="shared" si="0"/>
        <v>6375000</v>
      </c>
      <c r="C22" s="98">
        <f t="shared" si="1"/>
        <v>4013586.1199999996</v>
      </c>
      <c r="D22" s="272">
        <f>+'leden 2025'!B21</f>
        <v>170000</v>
      </c>
      <c r="E22" s="272">
        <f>+'leden 2025'!C21</f>
        <v>105887</v>
      </c>
      <c r="F22" s="272">
        <f>+'únor 2025'!B21</f>
        <v>170000</v>
      </c>
      <c r="G22" s="272">
        <f>+'únor 2025'!C21</f>
        <v>99147</v>
      </c>
      <c r="H22" s="272">
        <f>+'březen 2025'!B21</f>
        <v>170000</v>
      </c>
      <c r="I22" s="272">
        <f>+'březen 2025'!C21</f>
        <v>109698.26</v>
      </c>
      <c r="J22" s="272">
        <f>+'duben 2025'!B21</f>
        <v>170000</v>
      </c>
      <c r="K22" s="272">
        <f>+'duben 2025'!C21</f>
        <v>109409.16</v>
      </c>
      <c r="L22" s="272">
        <f>+'květen 2025'!B22</f>
        <v>510000</v>
      </c>
      <c r="M22" s="272">
        <f>+'květen 2025'!C22</f>
        <v>299045.03999999998</v>
      </c>
      <c r="N22" s="272">
        <f>+'červen 2025'!B22</f>
        <v>735000</v>
      </c>
      <c r="O22" s="272">
        <f>+'červen 2025'!C22</f>
        <v>353247.12</v>
      </c>
      <c r="P22" s="272">
        <f>+'červenec 2025'!B22</f>
        <v>600000</v>
      </c>
      <c r="Q22" s="272">
        <f>+'červenec 2025'!C22</f>
        <v>344386.7</v>
      </c>
      <c r="R22" s="272">
        <f>+'srpen 2025'!B22</f>
        <v>600000</v>
      </c>
      <c r="S22" s="272">
        <f>+'srpen 2025'!C22</f>
        <v>369955.88</v>
      </c>
      <c r="T22" s="272">
        <f>+'září 2025'!B22</f>
        <v>600000</v>
      </c>
      <c r="U22" s="272">
        <f>+'září 2025'!C22</f>
        <v>403466</v>
      </c>
      <c r="V22" s="272">
        <f>+'říjen 2025'!B22</f>
        <v>600000</v>
      </c>
      <c r="W22" s="272">
        <f>+'říjen 2025'!C22</f>
        <v>415308.32</v>
      </c>
      <c r="X22" s="272">
        <f>+'listopad 2025'!B22</f>
        <v>1025000</v>
      </c>
      <c r="Y22" s="272">
        <f>+'listopad 2025'!C22</f>
        <v>841984.2</v>
      </c>
      <c r="Z22" s="272">
        <f>+'prosinec 2025'!B22</f>
        <v>1025000</v>
      </c>
      <c r="AA22" s="272">
        <f>+'prosinec 2025'!C22</f>
        <v>562051.43999999994</v>
      </c>
      <c r="AB22"/>
      <c r="AC22" s="336"/>
      <c r="AD22" s="130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</row>
    <row r="23" spans="1:104" outlineLevel="2">
      <c r="A23" s="165" t="s">
        <v>30</v>
      </c>
      <c r="B23" s="229">
        <f t="shared" si="0"/>
        <v>2220000</v>
      </c>
      <c r="C23" s="229">
        <f t="shared" si="1"/>
        <v>1508418.24</v>
      </c>
      <c r="D23" s="270">
        <f>+'leden 2025'!B22</f>
        <v>170000</v>
      </c>
      <c r="E23" s="270">
        <f>+'leden 2025'!C22</f>
        <v>105887</v>
      </c>
      <c r="F23" s="270">
        <f>+'únor 2025'!B22</f>
        <v>170000</v>
      </c>
      <c r="G23" s="270">
        <f>+'únor 2025'!C22</f>
        <v>99147</v>
      </c>
      <c r="H23" s="270">
        <f>+'březen 2025'!B22</f>
        <v>170000</v>
      </c>
      <c r="I23" s="270">
        <f>+'březen 2025'!C22</f>
        <v>109698.26</v>
      </c>
      <c r="J23" s="270">
        <f>+'duben 2025'!B22</f>
        <v>170000</v>
      </c>
      <c r="K23" s="270">
        <f>+'duben 2025'!C22</f>
        <v>109409.16</v>
      </c>
      <c r="L23" s="270">
        <f>+'květen 2025'!B23</f>
        <v>170000</v>
      </c>
      <c r="M23" s="270">
        <f>+'květen 2025'!C23</f>
        <v>114920.68000000001</v>
      </c>
      <c r="N23" s="270">
        <f>+'červen 2025'!B23</f>
        <v>170000</v>
      </c>
      <c r="O23" s="270">
        <f>+'červen 2025'!C23</f>
        <v>115967.31999999999</v>
      </c>
      <c r="P23" s="270">
        <f>+'červenec 2025'!B23</f>
        <v>200000</v>
      </c>
      <c r="Q23" s="270">
        <f>+'červenec 2025'!C23</f>
        <v>112259.98000000001</v>
      </c>
      <c r="R23" s="270">
        <f>+'srpen 2025'!B23</f>
        <v>200000</v>
      </c>
      <c r="S23" s="270">
        <f>+'srpen 2025'!C23</f>
        <v>124516.84</v>
      </c>
      <c r="T23" s="270">
        <f>+'září 2025'!B23</f>
        <v>200000</v>
      </c>
      <c r="U23" s="270">
        <f>+'září 2025'!C23</f>
        <v>147243.04</v>
      </c>
      <c r="V23" s="270">
        <f>+'říjen 2025'!B23</f>
        <v>200000</v>
      </c>
      <c r="W23" s="270">
        <f>+'říjen 2025'!C23</f>
        <v>151045.44</v>
      </c>
      <c r="X23" s="270">
        <f>+'listopad 2025'!B23</f>
        <v>200000</v>
      </c>
      <c r="Y23" s="270">
        <f>+'listopad 2025'!C23</f>
        <v>202815.35999999999</v>
      </c>
      <c r="Z23" s="270">
        <f>+'prosinec 2025'!B23</f>
        <v>200000</v>
      </c>
      <c r="AA23" s="270">
        <f>+'prosinec 2025'!C23</f>
        <v>115508.16</v>
      </c>
      <c r="AC23" s="346" t="str">
        <f t="shared" ref="AC23:AC50" si="5">+A23</f>
        <v>psych. s 1 - ZELENKOVÁ</v>
      </c>
      <c r="AD23" s="93">
        <f t="shared" ref="AD23:AD26" si="6">+C23-C76*1.34</f>
        <v>462548.23999999987</v>
      </c>
    </row>
    <row r="24" spans="1:104" s="78" customFormat="1" outlineLevel="2">
      <c r="A24" s="165" t="s">
        <v>117</v>
      </c>
      <c r="B24" s="229">
        <f t="shared" si="0"/>
        <v>1540000</v>
      </c>
      <c r="C24" s="229">
        <f t="shared" si="1"/>
        <v>1001867.82</v>
      </c>
      <c r="D24" s="270">
        <f>+'leden 2025'!B23</f>
        <v>0</v>
      </c>
      <c r="E24" s="270">
        <f>+'leden 2025'!C23</f>
        <v>0</v>
      </c>
      <c r="F24" s="270">
        <f>+'únor 2025'!B23</f>
        <v>0</v>
      </c>
      <c r="G24" s="270">
        <f>+'únor 2025'!C23</f>
        <v>0</v>
      </c>
      <c r="H24" s="270">
        <f>+'březen 2025'!B23</f>
        <v>0</v>
      </c>
      <c r="I24" s="270">
        <f>+'březen 2025'!C23</f>
        <v>0</v>
      </c>
      <c r="J24" s="270">
        <f>+'duben 2025'!B23</f>
        <v>0</v>
      </c>
      <c r="K24" s="270">
        <f>+'duben 2025'!C23</f>
        <v>0</v>
      </c>
      <c r="L24" s="270">
        <f>+'květen 2025'!B24</f>
        <v>170000</v>
      </c>
      <c r="M24" s="270">
        <f>+'květen 2025'!C24</f>
        <v>91253.68</v>
      </c>
      <c r="N24" s="270">
        <f>+'červen 2025'!B24</f>
        <v>170000</v>
      </c>
      <c r="O24" s="270">
        <f>+'červen 2025'!C24</f>
        <v>107606.93999999999</v>
      </c>
      <c r="P24" s="270">
        <f>+'červenec 2025'!B24</f>
        <v>200000</v>
      </c>
      <c r="Q24" s="270">
        <f>+'červenec 2025'!C24</f>
        <v>147903.56</v>
      </c>
      <c r="R24" s="270">
        <f>+'srpen 2025'!B24</f>
        <v>200000</v>
      </c>
      <c r="S24" s="270">
        <f>+'srpen 2025'!C24</f>
        <v>120911.41999999998</v>
      </c>
      <c r="T24" s="270">
        <f>+'září 2025'!B24</f>
        <v>200000</v>
      </c>
      <c r="U24" s="270">
        <f>+'září 2025'!C24</f>
        <v>130083.24</v>
      </c>
      <c r="V24" s="270">
        <f>+'říjen 2025'!B24</f>
        <v>200000</v>
      </c>
      <c r="W24" s="270">
        <f>+'říjen 2025'!C24</f>
        <v>137073.57999999999</v>
      </c>
      <c r="X24" s="270">
        <f>+'listopad 2025'!B24</f>
        <v>200000</v>
      </c>
      <c r="Y24" s="270">
        <f>+'listopad 2025'!C24</f>
        <v>188329.32</v>
      </c>
      <c r="Z24" s="270">
        <f>+'prosinec 2025'!B24</f>
        <v>200000</v>
      </c>
      <c r="AA24" s="270">
        <f>+'prosinec 2025'!C24</f>
        <v>78706.080000000002</v>
      </c>
      <c r="AC24" s="346" t="str">
        <f t="shared" si="5"/>
        <v>psych. s 2 - Vondráčková</v>
      </c>
      <c r="AD24" s="93">
        <f t="shared" si="6"/>
        <v>445767.81999999995</v>
      </c>
    </row>
    <row r="25" spans="1:104" s="78" customFormat="1" outlineLevel="2">
      <c r="A25" s="165" t="s">
        <v>118</v>
      </c>
      <c r="B25" s="229">
        <f t="shared" si="0"/>
        <v>1540000</v>
      </c>
      <c r="C25" s="229">
        <f t="shared" si="1"/>
        <v>942229.1399999999</v>
      </c>
      <c r="D25" s="270">
        <f>+'leden 2025'!B24</f>
        <v>0</v>
      </c>
      <c r="E25" s="270">
        <f>+'leden 2025'!C24</f>
        <v>0</v>
      </c>
      <c r="F25" s="270">
        <f>+'únor 2025'!B24</f>
        <v>0</v>
      </c>
      <c r="G25" s="270">
        <f>+'únor 2025'!C24</f>
        <v>0</v>
      </c>
      <c r="H25" s="270">
        <f>+'březen 2025'!B24</f>
        <v>0</v>
      </c>
      <c r="I25" s="270">
        <f>+'březen 2025'!C24</f>
        <v>0</v>
      </c>
      <c r="J25" s="270">
        <f>+'duben 2025'!B24</f>
        <v>0</v>
      </c>
      <c r="K25" s="270">
        <f>+'duben 2025'!C24</f>
        <v>0</v>
      </c>
      <c r="L25" s="270">
        <f>+'květen 2025'!B25</f>
        <v>170000</v>
      </c>
      <c r="M25" s="270">
        <f>+'květen 2025'!C25</f>
        <v>92870.68</v>
      </c>
      <c r="N25" s="270">
        <f>+'červen 2025'!B25</f>
        <v>170000</v>
      </c>
      <c r="O25" s="270">
        <f>+'červen 2025'!C25</f>
        <v>113784.85999999999</v>
      </c>
      <c r="P25" s="270">
        <f>+'červenec 2025'!B25</f>
        <v>200000</v>
      </c>
      <c r="Q25" s="270">
        <f>+'červenec 2025'!C25</f>
        <v>84223.16</v>
      </c>
      <c r="R25" s="270">
        <f>+'srpen 2025'!B25</f>
        <v>200000</v>
      </c>
      <c r="S25" s="270">
        <f>+'srpen 2025'!C25</f>
        <v>124527.62</v>
      </c>
      <c r="T25" s="270">
        <f>+'září 2025'!B25</f>
        <v>200000</v>
      </c>
      <c r="U25" s="270">
        <f>+'září 2025'!C25</f>
        <v>126139.72</v>
      </c>
      <c r="V25" s="270">
        <f>+'říjen 2025'!B25</f>
        <v>200000</v>
      </c>
      <c r="W25" s="270">
        <f>+'říjen 2025'!C25</f>
        <v>127189.3</v>
      </c>
      <c r="X25" s="270">
        <f>+'listopad 2025'!B25</f>
        <v>200000</v>
      </c>
      <c r="Y25" s="270">
        <f>+'listopad 2025'!C25</f>
        <v>154090.07999999999</v>
      </c>
      <c r="Z25" s="270">
        <f>+'prosinec 2025'!B25</f>
        <v>200000</v>
      </c>
      <c r="AA25" s="270">
        <f>+'prosinec 2025'!C25</f>
        <v>119403.72</v>
      </c>
      <c r="AC25" s="346" t="str">
        <f t="shared" si="5"/>
        <v>psych. s 3 - Nováková</v>
      </c>
      <c r="AD25" s="93">
        <f t="shared" si="6"/>
        <v>419629.13999999984</v>
      </c>
    </row>
    <row r="26" spans="1:104" s="78" customFormat="1" outlineLevel="2">
      <c r="A26" s="165" t="s">
        <v>33</v>
      </c>
      <c r="B26" s="229">
        <f t="shared" si="0"/>
        <v>400000</v>
      </c>
      <c r="C26" s="229">
        <f t="shared" si="1"/>
        <v>222637.68</v>
      </c>
      <c r="D26" s="270">
        <f>+'leden 2025'!B25</f>
        <v>0</v>
      </c>
      <c r="E26" s="270">
        <f>+'leden 2025'!C25</f>
        <v>0</v>
      </c>
      <c r="F26" s="270">
        <f>+'únor 2025'!B25</f>
        <v>0</v>
      </c>
      <c r="G26" s="270">
        <f>+'únor 2025'!C25</f>
        <v>0</v>
      </c>
      <c r="H26" s="270">
        <f>+'březen 2025'!B25</f>
        <v>0</v>
      </c>
      <c r="I26" s="270">
        <f>+'březen 2025'!C25</f>
        <v>0</v>
      </c>
      <c r="J26" s="270">
        <f>+'duben 2025'!B25</f>
        <v>0</v>
      </c>
      <c r="K26" s="270">
        <f>+'duben 2025'!C25</f>
        <v>0</v>
      </c>
      <c r="L26" s="270">
        <f>+'květen 2025'!B26</f>
        <v>0</v>
      </c>
      <c r="M26" s="270">
        <f>+'květen 2025'!C26</f>
        <v>0</v>
      </c>
      <c r="N26" s="270">
        <f>+'červen 2025'!B26</f>
        <v>0</v>
      </c>
      <c r="O26" s="270">
        <f>+'červen 2025'!C26</f>
        <v>0</v>
      </c>
      <c r="P26" s="270">
        <f>+'červenec 2025'!B26</f>
        <v>0</v>
      </c>
      <c r="Q26" s="270">
        <f>+'červenec 2025'!C26</f>
        <v>0</v>
      </c>
      <c r="R26" s="270">
        <f>+'srpen 2025'!B26</f>
        <v>0</v>
      </c>
      <c r="S26" s="270">
        <f>+'srpen 2025'!C26</f>
        <v>0</v>
      </c>
      <c r="T26" s="270">
        <f>+'září 2025'!B26</f>
        <v>0</v>
      </c>
      <c r="U26" s="270">
        <f>+'září 2025'!C26</f>
        <v>0</v>
      </c>
      <c r="V26" s="270">
        <f>+'říjen 2025'!B26</f>
        <v>0</v>
      </c>
      <c r="W26" s="270">
        <f>+'říjen 2025'!C26</f>
        <v>0</v>
      </c>
      <c r="X26" s="270">
        <f>+'listopad 2025'!B26</f>
        <v>200000</v>
      </c>
      <c r="Y26" s="270">
        <f>+'listopad 2025'!C26</f>
        <v>134463.24</v>
      </c>
      <c r="Z26" s="270">
        <f>+'prosinec 2025'!B26</f>
        <v>200000</v>
      </c>
      <c r="AA26" s="270">
        <f>+'prosinec 2025'!C26</f>
        <v>88174.44</v>
      </c>
      <c r="AC26" s="346" t="str">
        <f t="shared" si="5"/>
        <v>všeob. s 4 - Dušková</v>
      </c>
      <c r="AD26" s="93">
        <f t="shared" si="6"/>
        <v>148937.68</v>
      </c>
      <c r="AE26" s="78" t="s">
        <v>170</v>
      </c>
    </row>
    <row r="27" spans="1:104" s="78" customFormat="1" outlineLevel="2">
      <c r="A27" s="134" t="s">
        <v>135</v>
      </c>
      <c r="B27" s="229">
        <f t="shared" si="0"/>
        <v>675000</v>
      </c>
      <c r="C27" s="229">
        <f t="shared" si="1"/>
        <v>338433.24</v>
      </c>
      <c r="D27" s="270">
        <f>+'leden 2025'!B26</f>
        <v>0</v>
      </c>
      <c r="E27" s="270">
        <f>+'leden 2025'!C26</f>
        <v>0</v>
      </c>
      <c r="F27" s="270">
        <f>+'únor 2025'!B26</f>
        <v>0</v>
      </c>
      <c r="G27" s="270">
        <f>+'únor 2025'!C26</f>
        <v>0</v>
      </c>
      <c r="H27" s="270">
        <f>+'březen 2025'!B26</f>
        <v>0</v>
      </c>
      <c r="I27" s="270">
        <f>+'březen 2025'!C26</f>
        <v>0</v>
      </c>
      <c r="J27" s="270">
        <f>+'duben 2025'!B26</f>
        <v>0</v>
      </c>
      <c r="K27" s="270">
        <f>+'duben 2025'!C26</f>
        <v>0</v>
      </c>
      <c r="L27" s="270">
        <f>+'květen 2025'!B27</f>
        <v>0</v>
      </c>
      <c r="M27" s="270">
        <f>+'květen 2025'!C27</f>
        <v>0</v>
      </c>
      <c r="N27" s="270">
        <f>+'červen 2025'!B27</f>
        <v>225000</v>
      </c>
      <c r="O27" s="270">
        <f>+'červen 2025'!C27</f>
        <v>15888</v>
      </c>
      <c r="P27" s="270">
        <f>+'červenec 2025'!B27</f>
        <v>0</v>
      </c>
      <c r="Q27" s="270">
        <f>+'červenec 2025'!C27</f>
        <v>0</v>
      </c>
      <c r="R27" s="270">
        <f>+'srpen 2025'!B27</f>
        <v>0</v>
      </c>
      <c r="S27" s="270">
        <f>+'srpen 2025'!C27</f>
        <v>0</v>
      </c>
      <c r="T27" s="270">
        <f>+'září 2025'!B27</f>
        <v>0</v>
      </c>
      <c r="U27" s="270">
        <f>+'září 2025'!C27</f>
        <v>0</v>
      </c>
      <c r="V27" s="270">
        <f>+'říjen 2025'!B27</f>
        <v>0</v>
      </c>
      <c r="W27" s="270">
        <f>+'říjen 2025'!C27</f>
        <v>0</v>
      </c>
      <c r="X27" s="270">
        <f>+'listopad 2025'!B27</f>
        <v>225000</v>
      </c>
      <c r="Y27" s="270">
        <f>+'listopad 2025'!C27</f>
        <v>162286.19999999998</v>
      </c>
      <c r="Z27" s="270">
        <f>+'prosinec 2025'!B27</f>
        <v>225000</v>
      </c>
      <c r="AA27" s="270">
        <f>+'prosinec 2025'!C27</f>
        <v>160259.04</v>
      </c>
      <c r="AC27" s="336"/>
      <c r="AD27" s="130"/>
    </row>
    <row r="28" spans="1:104" s="78" customFormat="1" outlineLevel="2">
      <c r="A28" s="308" t="s">
        <v>28</v>
      </c>
      <c r="B28" s="229">
        <f t="shared" si="0"/>
        <v>0</v>
      </c>
      <c r="C28" s="229">
        <f t="shared" si="1"/>
        <v>0</v>
      </c>
      <c r="D28" s="270">
        <f>+'leden 2025'!B27</f>
        <v>0</v>
      </c>
      <c r="E28" s="270">
        <f>+'leden 2025'!C27</f>
        <v>0</v>
      </c>
      <c r="F28" s="270">
        <f>+'únor 2025'!B27</f>
        <v>0</v>
      </c>
      <c r="G28" s="270">
        <f>+'únor 2025'!C27</f>
        <v>0</v>
      </c>
      <c r="H28" s="270">
        <f>+'březen 2025'!B27</f>
        <v>0</v>
      </c>
      <c r="I28" s="270">
        <f>+'březen 2025'!C27</f>
        <v>0</v>
      </c>
      <c r="J28" s="270">
        <f>+'duben 2025'!B27</f>
        <v>0</v>
      </c>
      <c r="K28" s="270">
        <f>+'duben 2025'!C27</f>
        <v>0</v>
      </c>
      <c r="L28" s="270">
        <f>+'květen 2025'!B28</f>
        <v>0</v>
      </c>
      <c r="M28" s="270">
        <f>+'květen 2025'!C28</f>
        <v>0</v>
      </c>
      <c r="N28" s="270">
        <f>+'červen 2025'!B28</f>
        <v>0</v>
      </c>
      <c r="O28" s="270">
        <f>+'červen 2025'!C28</f>
        <v>0</v>
      </c>
      <c r="P28" s="270">
        <f>+'červenec 2025'!B28</f>
        <v>0</v>
      </c>
      <c r="Q28" s="270">
        <f>+'červenec 2025'!C28</f>
        <v>0</v>
      </c>
      <c r="R28" s="270">
        <f>+'srpen 2025'!B28</f>
        <v>0</v>
      </c>
      <c r="S28" s="270">
        <f>+'srpen 2025'!C28</f>
        <v>0</v>
      </c>
      <c r="T28" s="270">
        <f>+'září 2025'!B28</f>
        <v>0</v>
      </c>
      <c r="U28" s="270">
        <f>+'září 2025'!C28</f>
        <v>0</v>
      </c>
      <c r="V28" s="270">
        <f>+'říjen 2025'!B28</f>
        <v>0</v>
      </c>
      <c r="W28" s="270">
        <f>+'říjen 2025'!C28</f>
        <v>0</v>
      </c>
      <c r="X28" s="270">
        <f>+'listopad 2025'!B28</f>
        <v>0</v>
      </c>
      <c r="Y28" s="270">
        <f>+'listopad 2025'!C28</f>
        <v>0</v>
      </c>
      <c r="Z28" s="270">
        <f>+'prosinec 2025'!B28</f>
        <v>0</v>
      </c>
      <c r="AA28" s="270">
        <f>+'prosinec 2025'!C28</f>
        <v>0</v>
      </c>
      <c r="AC28" s="336"/>
      <c r="AD28" s="130"/>
    </row>
    <row r="29" spans="1:104" s="78" customFormat="1" outlineLevel="2">
      <c r="A29" s="301" t="s">
        <v>137</v>
      </c>
      <c r="B29" s="229">
        <f t="shared" si="0"/>
        <v>0</v>
      </c>
      <c r="C29" s="229">
        <f t="shared" si="1"/>
        <v>0</v>
      </c>
      <c r="D29" s="270">
        <f>+'leden 2025'!B28</f>
        <v>0</v>
      </c>
      <c r="E29" s="270">
        <f>+'leden 2025'!C28</f>
        <v>0</v>
      </c>
      <c r="F29" s="270">
        <f>+'únor 2025'!B28</f>
        <v>0</v>
      </c>
      <c r="G29" s="270">
        <f>+'únor 2025'!C28</f>
        <v>0</v>
      </c>
      <c r="H29" s="270">
        <f>+'březen 2025'!B28</f>
        <v>0</v>
      </c>
      <c r="I29" s="270">
        <f>+'březen 2025'!C28</f>
        <v>0</v>
      </c>
      <c r="J29" s="270">
        <f>+'duben 2025'!B28</f>
        <v>0</v>
      </c>
      <c r="K29" s="270">
        <f>+'duben 2025'!C28</f>
        <v>0</v>
      </c>
      <c r="L29" s="270">
        <f>+'květen 2025'!B29</f>
        <v>0</v>
      </c>
      <c r="M29" s="270">
        <f>+'květen 2025'!C29</f>
        <v>0</v>
      </c>
      <c r="N29" s="270">
        <f>+'červen 2025'!B29</f>
        <v>0</v>
      </c>
      <c r="O29" s="270">
        <f>+'červen 2025'!C29</f>
        <v>0</v>
      </c>
      <c r="P29" s="270">
        <f>+'červenec 2025'!B29</f>
        <v>0</v>
      </c>
      <c r="Q29" s="270">
        <f>+'červenec 2025'!C29</f>
        <v>0</v>
      </c>
      <c r="R29" s="270">
        <f>+'srpen 2025'!B29</f>
        <v>0</v>
      </c>
      <c r="S29" s="270">
        <f>+'srpen 2025'!C29</f>
        <v>0</v>
      </c>
      <c r="T29" s="270">
        <f>+'září 2025'!B29</f>
        <v>0</v>
      </c>
      <c r="U29" s="270">
        <f>+'září 2025'!C29</f>
        <v>0</v>
      </c>
      <c r="V29" s="270">
        <f>+'říjen 2025'!B29</f>
        <v>0</v>
      </c>
      <c r="W29" s="270">
        <f>+'říjen 2025'!C29</f>
        <v>0</v>
      </c>
      <c r="X29" s="270">
        <f>+'listopad 2025'!B29</f>
        <v>0</v>
      </c>
      <c r="Y29" s="270">
        <f>+'listopad 2025'!C29</f>
        <v>0</v>
      </c>
      <c r="Z29" s="270">
        <f>+'prosinec 2025'!B29</f>
        <v>0</v>
      </c>
      <c r="AA29" s="270">
        <f>+'prosinec 2025'!C29</f>
        <v>0</v>
      </c>
      <c r="AC29" s="346" t="str">
        <f t="shared" si="5"/>
        <v>psycholog 1 - Lichtenbergová</v>
      </c>
      <c r="AD29" s="93">
        <f t="shared" ref="AD29" si="7">+C29-C82*1.34</f>
        <v>-60300</v>
      </c>
    </row>
    <row r="30" spans="1:104" s="78" customFormat="1" outlineLevel="2">
      <c r="A30" s="134" t="s">
        <v>21</v>
      </c>
      <c r="B30" s="229">
        <f t="shared" si="0"/>
        <v>0</v>
      </c>
      <c r="C30" s="229">
        <f t="shared" si="1"/>
        <v>0</v>
      </c>
      <c r="D30" s="270">
        <f>+'leden 2025'!B29</f>
        <v>0</v>
      </c>
      <c r="E30" s="270">
        <f>+'leden 2025'!C29</f>
        <v>0</v>
      </c>
      <c r="F30" s="270">
        <f>+'únor 2025'!B29</f>
        <v>0</v>
      </c>
      <c r="G30" s="270">
        <f>+'únor 2025'!C29</f>
        <v>0</v>
      </c>
      <c r="H30" s="270">
        <f>+'březen 2025'!B29</f>
        <v>0</v>
      </c>
      <c r="I30" s="270">
        <f>+'březen 2025'!C29</f>
        <v>0</v>
      </c>
      <c r="J30" s="270">
        <f>+'duben 2025'!B29</f>
        <v>0</v>
      </c>
      <c r="K30" s="270">
        <f>+'duben 2025'!C29</f>
        <v>0</v>
      </c>
      <c r="L30" s="270">
        <f>+'květen 2025'!B30</f>
        <v>0</v>
      </c>
      <c r="M30" s="270">
        <f>+'květen 2025'!C30</f>
        <v>0</v>
      </c>
      <c r="N30" s="270">
        <f>+'červen 2025'!B30</f>
        <v>0</v>
      </c>
      <c r="O30" s="270">
        <f>+'červen 2025'!C30</f>
        <v>0</v>
      </c>
      <c r="P30" s="270">
        <f>+'červenec 2025'!B30</f>
        <v>0</v>
      </c>
      <c r="Q30" s="270">
        <f>+'červenec 2025'!C30</f>
        <v>0</v>
      </c>
      <c r="R30" s="270">
        <f>+'srpen 2025'!B30</f>
        <v>0</v>
      </c>
      <c r="S30" s="270">
        <f>+'srpen 2025'!C30</f>
        <v>0</v>
      </c>
      <c r="T30" s="270">
        <f>+'září 2025'!B30</f>
        <v>0</v>
      </c>
      <c r="U30" s="270">
        <f>+'září 2025'!C30</f>
        <v>0</v>
      </c>
      <c r="V30" s="270">
        <f>+'říjen 2025'!B30</f>
        <v>0</v>
      </c>
      <c r="W30" s="270">
        <f>+'říjen 2025'!C30</f>
        <v>0</v>
      </c>
      <c r="X30" s="270">
        <f>+'listopad 2025'!B30</f>
        <v>0</v>
      </c>
      <c r="Y30" s="270">
        <f>+'listopad 2025'!C30</f>
        <v>0</v>
      </c>
      <c r="Z30" s="270">
        <f>+'prosinec 2025'!B30</f>
        <v>0</v>
      </c>
      <c r="AA30" s="270">
        <f>+'prosinec 2025'!C30</f>
        <v>0</v>
      </c>
      <c r="AC30" s="336"/>
      <c r="AD30" s="130"/>
    </row>
    <row r="31" spans="1:104">
      <c r="A31" s="50" t="s">
        <v>34</v>
      </c>
      <c r="B31" s="91">
        <f t="shared" si="0"/>
        <v>2046700</v>
      </c>
      <c r="C31" s="91">
        <f t="shared" si="1"/>
        <v>584625.65999999992</v>
      </c>
      <c r="D31" s="269">
        <f>+'leden 2025'!B30</f>
        <v>0</v>
      </c>
      <c r="E31" s="269">
        <f>+'leden 2025'!C30</f>
        <v>0</v>
      </c>
      <c r="F31" s="269">
        <f>+'únor 2025'!B30</f>
        <v>0</v>
      </c>
      <c r="G31" s="269">
        <f>+'únor 2025'!C30</f>
        <v>0</v>
      </c>
      <c r="H31" s="269">
        <f>+'březen 2025'!B30</f>
        <v>34000</v>
      </c>
      <c r="I31" s="269">
        <f>+'březen 2025'!C30</f>
        <v>21388.5</v>
      </c>
      <c r="J31" s="269">
        <f>+'duben 2025'!B30</f>
        <v>34000</v>
      </c>
      <c r="K31" s="269">
        <f>+'duben 2025'!C30</f>
        <v>26756.939999999995</v>
      </c>
      <c r="L31" s="269">
        <f>+'květen 2025'!B31</f>
        <v>170000</v>
      </c>
      <c r="M31" s="269">
        <f>+'květen 2025'!C31</f>
        <v>105996.8</v>
      </c>
      <c r="N31" s="269">
        <f>+'červen 2025'!B31</f>
        <v>170000</v>
      </c>
      <c r="O31" s="269">
        <f>+'červen 2025'!C31</f>
        <v>110984.8</v>
      </c>
      <c r="P31" s="269">
        <f>+'červenec 2025'!B31</f>
        <v>170000</v>
      </c>
      <c r="Q31" s="269">
        <f>+'červenec 2025'!C31</f>
        <v>96626.04</v>
      </c>
      <c r="R31" s="269">
        <f>+'srpen 2025'!B31</f>
        <v>170000</v>
      </c>
      <c r="S31" s="269">
        <f>+'srpen 2025'!C31</f>
        <v>79517.200000000012</v>
      </c>
      <c r="T31" s="269">
        <f>+'září 2025'!B31</f>
        <v>200000</v>
      </c>
      <c r="U31" s="269">
        <f>+'září 2025'!C31</f>
        <v>94874.78</v>
      </c>
      <c r="V31" s="269">
        <f>+'říjen 2025'!B31</f>
        <v>200000</v>
      </c>
      <c r="W31" s="269">
        <f>+'říjen 2025'!C31</f>
        <v>48480.600000000006</v>
      </c>
      <c r="X31" s="269">
        <f>+'listopad 2025'!B31</f>
        <v>0</v>
      </c>
      <c r="Y31" s="269">
        <f>+'listopad 2025'!C31</f>
        <v>0</v>
      </c>
      <c r="Z31" s="269">
        <f>+'prosinec 2025'!B31</f>
        <v>898700</v>
      </c>
      <c r="AA31" s="269">
        <f>+'prosinec 2025'!C31</f>
        <v>0</v>
      </c>
      <c r="AD31" s="130"/>
    </row>
    <row r="32" spans="1:104" s="78" customFormat="1" outlineLevel="2">
      <c r="A32" s="165" t="s">
        <v>130</v>
      </c>
      <c r="B32" s="229">
        <f t="shared" si="0"/>
        <v>1148000</v>
      </c>
      <c r="C32" s="229">
        <f t="shared" si="1"/>
        <v>584625.65999999992</v>
      </c>
      <c r="D32" s="270">
        <f>+'leden 2025'!B31</f>
        <v>0</v>
      </c>
      <c r="E32" s="270">
        <f>+'leden 2025'!C31</f>
        <v>0</v>
      </c>
      <c r="F32" s="270">
        <f>+'únor 2025'!B31</f>
        <v>0</v>
      </c>
      <c r="G32" s="270">
        <f>+'únor 2025'!C31</f>
        <v>0</v>
      </c>
      <c r="H32" s="270">
        <f>+'březen 2025'!B31</f>
        <v>34000</v>
      </c>
      <c r="I32" s="270">
        <f>+'březen 2025'!C31</f>
        <v>21388.5</v>
      </c>
      <c r="J32" s="270">
        <f>+'duben 2025'!B31</f>
        <v>34000</v>
      </c>
      <c r="K32" s="270">
        <f>+'duben 2025'!C31</f>
        <v>26756.939999999995</v>
      </c>
      <c r="L32" s="270">
        <f>+'květen 2025'!B32</f>
        <v>170000</v>
      </c>
      <c r="M32" s="270">
        <f>+'květen 2025'!C32</f>
        <v>105996.8</v>
      </c>
      <c r="N32" s="270">
        <f>+'červen 2025'!B32</f>
        <v>170000</v>
      </c>
      <c r="O32" s="270">
        <f>+'červen 2025'!C32</f>
        <v>110984.8</v>
      </c>
      <c r="P32" s="270">
        <f>+'červenec 2025'!B32</f>
        <v>170000</v>
      </c>
      <c r="Q32" s="270">
        <f>+'červenec 2025'!C32</f>
        <v>96626.04</v>
      </c>
      <c r="R32" s="270">
        <f>+'srpen 2025'!B32</f>
        <v>170000</v>
      </c>
      <c r="S32" s="270">
        <f>+'srpen 2025'!C32</f>
        <v>79517.200000000012</v>
      </c>
      <c r="T32" s="270">
        <f>+'září 2025'!B32</f>
        <v>200000</v>
      </c>
      <c r="U32" s="270">
        <f>+'září 2025'!C32</f>
        <v>94874.78</v>
      </c>
      <c r="V32" s="270">
        <f>+'říjen 2025'!B32</f>
        <v>200000</v>
      </c>
      <c r="W32" s="270">
        <f>+'říjen 2025'!C32</f>
        <v>48480.600000000006</v>
      </c>
      <c r="X32" s="270">
        <f>+'listopad 2025'!B32</f>
        <v>0</v>
      </c>
      <c r="Y32" s="270">
        <f>+'listopad 2025'!C32</f>
        <v>0</v>
      </c>
      <c r="Z32" s="270">
        <f>+'prosinec 2025'!B32</f>
        <v>0</v>
      </c>
      <c r="AA32" s="270">
        <f>+'prosinec 2025'!C32</f>
        <v>0</v>
      </c>
      <c r="AC32" s="346" t="str">
        <f t="shared" si="5"/>
        <v>psych. s 1 - Štréblová</v>
      </c>
      <c r="AD32" s="93">
        <f t="shared" ref="AD32" si="8">+C32-C85*1.34</f>
        <v>-17704.340000000084</v>
      </c>
    </row>
    <row r="33" spans="1:104" s="78" customFormat="1" outlineLevel="2">
      <c r="A33" s="134" t="s">
        <v>36</v>
      </c>
      <c r="B33" s="229">
        <f t="shared" si="0"/>
        <v>200000</v>
      </c>
      <c r="C33" s="229">
        <f t="shared" si="1"/>
        <v>0</v>
      </c>
      <c r="D33" s="270">
        <f>+'leden 2025'!B32</f>
        <v>0</v>
      </c>
      <c r="E33" s="270">
        <f>+'leden 2025'!C32</f>
        <v>0</v>
      </c>
      <c r="F33" s="270">
        <f>+'únor 2025'!B32</f>
        <v>0</v>
      </c>
      <c r="G33" s="270">
        <f>+'únor 2025'!C32</f>
        <v>0</v>
      </c>
      <c r="H33" s="270">
        <f>+'březen 2025'!B32</f>
        <v>0</v>
      </c>
      <c r="I33" s="270">
        <f>+'březen 2025'!C32</f>
        <v>0</v>
      </c>
      <c r="J33" s="270">
        <f>+'duben 2025'!B32</f>
        <v>0</v>
      </c>
      <c r="K33" s="270">
        <f>+'duben 2025'!C32</f>
        <v>0</v>
      </c>
      <c r="L33" s="270">
        <f>+'květen 2025'!B33</f>
        <v>0</v>
      </c>
      <c r="M33" s="270">
        <f>+'květen 2025'!C33</f>
        <v>0</v>
      </c>
      <c r="N33" s="270">
        <f>+'červen 2025'!B33</f>
        <v>0</v>
      </c>
      <c r="O33" s="270">
        <f>+'červen 2025'!C33</f>
        <v>0</v>
      </c>
      <c r="P33" s="270">
        <f>+'červenec 2025'!B33</f>
        <v>0</v>
      </c>
      <c r="Q33" s="270">
        <f>+'červenec 2025'!C33</f>
        <v>0</v>
      </c>
      <c r="R33" s="270">
        <f>+'srpen 2025'!B33</f>
        <v>0</v>
      </c>
      <c r="S33" s="270">
        <f>+'srpen 2025'!C33</f>
        <v>0</v>
      </c>
      <c r="T33" s="270">
        <f>+'září 2025'!B33</f>
        <v>0</v>
      </c>
      <c r="U33" s="270">
        <f>+'září 2025'!C33</f>
        <v>0</v>
      </c>
      <c r="V33" s="270">
        <f>+'říjen 2025'!B33</f>
        <v>0</v>
      </c>
      <c r="W33" s="270">
        <f>+'říjen 2025'!C33</f>
        <v>0</v>
      </c>
      <c r="X33" s="270">
        <f>+'listopad 2025'!B33</f>
        <v>0</v>
      </c>
      <c r="Y33" s="270">
        <f>+'listopad 2025'!C33</f>
        <v>0</v>
      </c>
      <c r="Z33" s="270">
        <f>+'prosinec 2025'!B33</f>
        <v>200000</v>
      </c>
      <c r="AA33" s="270">
        <f>+'prosinec 2025'!C33</f>
        <v>0</v>
      </c>
      <c r="AC33" s="336"/>
      <c r="AD33" s="130"/>
    </row>
    <row r="34" spans="1:104" s="78" customFormat="1" outlineLevel="2">
      <c r="A34" s="134" t="s">
        <v>25</v>
      </c>
      <c r="B34" s="229">
        <f t="shared" si="0"/>
        <v>200000</v>
      </c>
      <c r="C34" s="229">
        <f t="shared" si="1"/>
        <v>0</v>
      </c>
      <c r="D34" s="270">
        <f>+'leden 2025'!B33</f>
        <v>0</v>
      </c>
      <c r="E34" s="270">
        <f>+'leden 2025'!C33</f>
        <v>0</v>
      </c>
      <c r="F34" s="270">
        <f>+'únor 2025'!B33</f>
        <v>0</v>
      </c>
      <c r="G34" s="270">
        <f>+'únor 2025'!C33</f>
        <v>0</v>
      </c>
      <c r="H34" s="270">
        <f>+'březen 2025'!B33</f>
        <v>0</v>
      </c>
      <c r="I34" s="270">
        <f>+'březen 2025'!C33</f>
        <v>0</v>
      </c>
      <c r="J34" s="270">
        <f>+'duben 2025'!B33</f>
        <v>0</v>
      </c>
      <c r="K34" s="270">
        <f>+'duben 2025'!C33</f>
        <v>0</v>
      </c>
      <c r="L34" s="270">
        <f>+'květen 2025'!B34</f>
        <v>0</v>
      </c>
      <c r="M34" s="270">
        <f>+'květen 2025'!C34</f>
        <v>0</v>
      </c>
      <c r="N34" s="270">
        <f>+'červen 2025'!B34</f>
        <v>0</v>
      </c>
      <c r="O34" s="270">
        <f>+'červen 2025'!C34</f>
        <v>0</v>
      </c>
      <c r="P34" s="270">
        <f>+'červenec 2025'!B34</f>
        <v>0</v>
      </c>
      <c r="Q34" s="270">
        <f>+'červenec 2025'!C34</f>
        <v>0</v>
      </c>
      <c r="R34" s="270">
        <f>+'srpen 2025'!B34</f>
        <v>0</v>
      </c>
      <c r="S34" s="270">
        <f>+'srpen 2025'!C34</f>
        <v>0</v>
      </c>
      <c r="T34" s="270">
        <f>+'září 2025'!B34</f>
        <v>0</v>
      </c>
      <c r="U34" s="270">
        <f>+'září 2025'!C34</f>
        <v>0</v>
      </c>
      <c r="V34" s="270">
        <f>+'říjen 2025'!B34</f>
        <v>0</v>
      </c>
      <c r="W34" s="270">
        <f>+'říjen 2025'!C34</f>
        <v>0</v>
      </c>
      <c r="X34" s="270">
        <f>+'listopad 2025'!B34</f>
        <v>0</v>
      </c>
      <c r="Y34" s="270">
        <f>+'listopad 2025'!C34</f>
        <v>0</v>
      </c>
      <c r="Z34" s="270">
        <f>+'prosinec 2025'!B34</f>
        <v>200000</v>
      </c>
      <c r="AA34" s="270">
        <f>+'prosinec 2025'!C34</f>
        <v>0</v>
      </c>
      <c r="AC34" s="336"/>
      <c r="AD34" s="130"/>
    </row>
    <row r="35" spans="1:104" s="78" customFormat="1" outlineLevel="2">
      <c r="A35" s="134" t="s">
        <v>26</v>
      </c>
      <c r="B35" s="229">
        <f t="shared" si="0"/>
        <v>200000</v>
      </c>
      <c r="C35" s="229">
        <f t="shared" si="1"/>
        <v>0</v>
      </c>
      <c r="D35" s="270">
        <f>+'leden 2025'!B34</f>
        <v>0</v>
      </c>
      <c r="E35" s="270">
        <f>+'leden 2025'!C34</f>
        <v>0</v>
      </c>
      <c r="F35" s="270">
        <f>+'únor 2025'!B34</f>
        <v>0</v>
      </c>
      <c r="G35" s="270">
        <f>+'únor 2025'!C34</f>
        <v>0</v>
      </c>
      <c r="H35" s="270">
        <f>+'březen 2025'!B34</f>
        <v>0</v>
      </c>
      <c r="I35" s="270">
        <f>+'březen 2025'!C34</f>
        <v>0</v>
      </c>
      <c r="J35" s="270">
        <f>+'duben 2025'!B34</f>
        <v>0</v>
      </c>
      <c r="K35" s="270">
        <f>+'duben 2025'!C34</f>
        <v>0</v>
      </c>
      <c r="L35" s="270">
        <f>+'květen 2025'!B35</f>
        <v>0</v>
      </c>
      <c r="M35" s="270">
        <f>+'květen 2025'!C35</f>
        <v>0</v>
      </c>
      <c r="N35" s="270">
        <f>+'červen 2025'!B35</f>
        <v>0</v>
      </c>
      <c r="O35" s="270">
        <f>+'červen 2025'!C35</f>
        <v>0</v>
      </c>
      <c r="P35" s="270">
        <f>+'červenec 2025'!B35</f>
        <v>0</v>
      </c>
      <c r="Q35" s="270">
        <f>+'červenec 2025'!C35</f>
        <v>0</v>
      </c>
      <c r="R35" s="270">
        <f>+'srpen 2025'!B35</f>
        <v>0</v>
      </c>
      <c r="S35" s="270">
        <f>+'srpen 2025'!C35</f>
        <v>0</v>
      </c>
      <c r="T35" s="270">
        <f>+'září 2025'!B35</f>
        <v>0</v>
      </c>
      <c r="U35" s="270">
        <f>+'září 2025'!C35</f>
        <v>0</v>
      </c>
      <c r="V35" s="270">
        <f>+'říjen 2025'!B35</f>
        <v>0</v>
      </c>
      <c r="W35" s="270">
        <f>+'říjen 2025'!C35</f>
        <v>0</v>
      </c>
      <c r="X35" s="270">
        <f>+'listopad 2025'!B35</f>
        <v>0</v>
      </c>
      <c r="Y35" s="270">
        <f>+'listopad 2025'!C35</f>
        <v>0</v>
      </c>
      <c r="Z35" s="270">
        <f>+'prosinec 2025'!B35</f>
        <v>200000</v>
      </c>
      <c r="AA35" s="270">
        <f>+'prosinec 2025'!C35</f>
        <v>0</v>
      </c>
      <c r="AC35" s="336"/>
      <c r="AD35" s="130"/>
    </row>
    <row r="36" spans="1:104" s="78" customFormat="1" outlineLevel="2">
      <c r="A36" s="134" t="s">
        <v>37</v>
      </c>
      <c r="B36" s="229">
        <f t="shared" si="0"/>
        <v>225000</v>
      </c>
      <c r="C36" s="229">
        <f t="shared" si="1"/>
        <v>0</v>
      </c>
      <c r="D36" s="270">
        <f>+'leden 2025'!B35</f>
        <v>0</v>
      </c>
      <c r="E36" s="270">
        <f>+'leden 2025'!C35</f>
        <v>0</v>
      </c>
      <c r="F36" s="270">
        <f>+'únor 2025'!B35</f>
        <v>0</v>
      </c>
      <c r="G36" s="270">
        <f>+'únor 2025'!C35</f>
        <v>0</v>
      </c>
      <c r="H36" s="270">
        <f>+'březen 2025'!B35</f>
        <v>0</v>
      </c>
      <c r="I36" s="270">
        <f>+'březen 2025'!C35</f>
        <v>0</v>
      </c>
      <c r="J36" s="270">
        <f>+'duben 2025'!B35</f>
        <v>0</v>
      </c>
      <c r="K36" s="270">
        <f>+'duben 2025'!C35</f>
        <v>0</v>
      </c>
      <c r="L36" s="270">
        <f>+'květen 2025'!B36</f>
        <v>0</v>
      </c>
      <c r="M36" s="270">
        <f>+'květen 2025'!C36</f>
        <v>0</v>
      </c>
      <c r="N36" s="270">
        <f>+'červen 2025'!B36</f>
        <v>0</v>
      </c>
      <c r="O36" s="270">
        <f>+'červen 2025'!C36</f>
        <v>0</v>
      </c>
      <c r="P36" s="270">
        <f>+'červenec 2025'!B36</f>
        <v>0</v>
      </c>
      <c r="Q36" s="270">
        <f>+'červenec 2025'!C36</f>
        <v>0</v>
      </c>
      <c r="R36" s="270">
        <f>+'srpen 2025'!B36</f>
        <v>0</v>
      </c>
      <c r="S36" s="270">
        <f>+'srpen 2025'!C36</f>
        <v>0</v>
      </c>
      <c r="T36" s="270">
        <f>+'září 2025'!B36</f>
        <v>0</v>
      </c>
      <c r="U36" s="270">
        <f>+'září 2025'!C36</f>
        <v>0</v>
      </c>
      <c r="V36" s="270">
        <f>+'říjen 2025'!B36</f>
        <v>0</v>
      </c>
      <c r="W36" s="270">
        <f>+'říjen 2025'!C36</f>
        <v>0</v>
      </c>
      <c r="X36" s="270">
        <f>+'listopad 2025'!B36</f>
        <v>0</v>
      </c>
      <c r="Y36" s="270">
        <f>+'listopad 2025'!C36</f>
        <v>0</v>
      </c>
      <c r="Z36" s="270">
        <f>+'prosinec 2025'!B36</f>
        <v>225000</v>
      </c>
      <c r="AA36" s="270">
        <f>+'prosinec 2025'!C36</f>
        <v>0</v>
      </c>
      <c r="AC36" s="336"/>
      <c r="AD36" s="130"/>
    </row>
    <row r="37" spans="1:104" s="78" customFormat="1" outlineLevel="2">
      <c r="A37" s="134" t="s">
        <v>28</v>
      </c>
      <c r="B37" s="229">
        <f t="shared" si="0"/>
        <v>0</v>
      </c>
      <c r="C37" s="229">
        <f t="shared" si="1"/>
        <v>0</v>
      </c>
      <c r="D37" s="270">
        <f>+'leden 2025'!B36</f>
        <v>0</v>
      </c>
      <c r="E37" s="270">
        <f>+'leden 2025'!C36</f>
        <v>0</v>
      </c>
      <c r="F37" s="270">
        <f>+'únor 2025'!B36</f>
        <v>0</v>
      </c>
      <c r="G37" s="270">
        <f>+'únor 2025'!C36</f>
        <v>0</v>
      </c>
      <c r="H37" s="270">
        <f>+'březen 2025'!B36</f>
        <v>0</v>
      </c>
      <c r="I37" s="270">
        <f>+'březen 2025'!C36</f>
        <v>0</v>
      </c>
      <c r="J37" s="270">
        <f>+'duben 2025'!B36</f>
        <v>0</v>
      </c>
      <c r="K37" s="270">
        <f>+'duben 2025'!C36</f>
        <v>0</v>
      </c>
      <c r="L37" s="270">
        <f>+'květen 2025'!B37</f>
        <v>0</v>
      </c>
      <c r="M37" s="270">
        <f>+'květen 2025'!C37</f>
        <v>0</v>
      </c>
      <c r="N37" s="270">
        <f>+'červen 2025'!B37</f>
        <v>0</v>
      </c>
      <c r="O37" s="270">
        <f>+'červen 2025'!C37</f>
        <v>0</v>
      </c>
      <c r="P37" s="270">
        <f>+'červenec 2025'!B37</f>
        <v>0</v>
      </c>
      <c r="Q37" s="270">
        <f>+'červenec 2025'!C37</f>
        <v>0</v>
      </c>
      <c r="R37" s="270">
        <f>+'srpen 2025'!B37</f>
        <v>0</v>
      </c>
      <c r="S37" s="270">
        <f>+'srpen 2025'!C37</f>
        <v>0</v>
      </c>
      <c r="T37" s="270">
        <f>+'září 2025'!B37</f>
        <v>0</v>
      </c>
      <c r="U37" s="270">
        <f>+'září 2025'!C37</f>
        <v>0</v>
      </c>
      <c r="V37" s="270">
        <f>+'říjen 2025'!B37</f>
        <v>0</v>
      </c>
      <c r="W37" s="270">
        <f>+'říjen 2025'!C37</f>
        <v>0</v>
      </c>
      <c r="X37" s="270">
        <f>+'listopad 2025'!B37</f>
        <v>0</v>
      </c>
      <c r="Y37" s="270">
        <f>+'listopad 2025'!C37</f>
        <v>0</v>
      </c>
      <c r="Z37" s="270">
        <f>+'prosinec 2025'!B37</f>
        <v>0</v>
      </c>
      <c r="AA37" s="270">
        <f>+'prosinec 2025'!C37</f>
        <v>0</v>
      </c>
      <c r="AC37" s="336"/>
      <c r="AD37" s="130"/>
    </row>
    <row r="38" spans="1:104" s="78" customFormat="1" outlineLevel="2">
      <c r="A38" s="134" t="s">
        <v>20</v>
      </c>
      <c r="B38" s="229">
        <f t="shared" si="0"/>
        <v>73700</v>
      </c>
      <c r="C38" s="229">
        <f t="shared" si="1"/>
        <v>0</v>
      </c>
      <c r="D38" s="270">
        <f>+'leden 2025'!B37</f>
        <v>0</v>
      </c>
      <c r="E38" s="270">
        <f>+'leden 2025'!C37</f>
        <v>0</v>
      </c>
      <c r="F38" s="270">
        <f>+'únor 2025'!B37</f>
        <v>0</v>
      </c>
      <c r="G38" s="270">
        <f>+'únor 2025'!C37</f>
        <v>0</v>
      </c>
      <c r="H38" s="270">
        <f>+'březen 2025'!B37</f>
        <v>0</v>
      </c>
      <c r="I38" s="270">
        <f>+'březen 2025'!C37</f>
        <v>0</v>
      </c>
      <c r="J38" s="270">
        <f>+'duben 2025'!B37</f>
        <v>0</v>
      </c>
      <c r="K38" s="270">
        <f>+'duben 2025'!C37</f>
        <v>0</v>
      </c>
      <c r="L38" s="270">
        <f>+'květen 2025'!B38</f>
        <v>0</v>
      </c>
      <c r="M38" s="270">
        <f>+'květen 2025'!C38</f>
        <v>0</v>
      </c>
      <c r="N38" s="270">
        <f>+'červen 2025'!B38</f>
        <v>0</v>
      </c>
      <c r="O38" s="270">
        <f>+'červen 2025'!C38</f>
        <v>0</v>
      </c>
      <c r="P38" s="270">
        <f>+'červenec 2025'!B38</f>
        <v>0</v>
      </c>
      <c r="Q38" s="270">
        <f>+'červenec 2025'!C38</f>
        <v>0</v>
      </c>
      <c r="R38" s="270">
        <f>+'srpen 2025'!B38</f>
        <v>0</v>
      </c>
      <c r="S38" s="270">
        <f>+'srpen 2025'!C38</f>
        <v>0</v>
      </c>
      <c r="T38" s="270">
        <f>+'září 2025'!B38</f>
        <v>0</v>
      </c>
      <c r="U38" s="270">
        <f>+'září 2025'!C38</f>
        <v>0</v>
      </c>
      <c r="V38" s="270">
        <f>+'říjen 2025'!B38</f>
        <v>0</v>
      </c>
      <c r="W38" s="270">
        <f>+'říjen 2025'!C38</f>
        <v>0</v>
      </c>
      <c r="X38" s="270">
        <f>+'listopad 2025'!B38</f>
        <v>0</v>
      </c>
      <c r="Y38" s="270">
        <f>+'listopad 2025'!C38</f>
        <v>0</v>
      </c>
      <c r="Z38" s="270">
        <f>+'prosinec 2025'!B38</f>
        <v>73700</v>
      </c>
      <c r="AA38" s="270">
        <f>+'prosinec 2025'!C38</f>
        <v>0</v>
      </c>
      <c r="AC38" s="336"/>
      <c r="AD38" s="130"/>
    </row>
    <row r="39" spans="1:104" s="78" customFormat="1" outlineLevel="2">
      <c r="A39" s="134" t="s">
        <v>21</v>
      </c>
      <c r="B39" s="229">
        <f t="shared" si="0"/>
        <v>0</v>
      </c>
      <c r="C39" s="229">
        <f t="shared" si="1"/>
        <v>0</v>
      </c>
      <c r="D39" s="270">
        <f>+'leden 2025'!B38</f>
        <v>0</v>
      </c>
      <c r="E39" s="270">
        <f>+'leden 2025'!C38</f>
        <v>0</v>
      </c>
      <c r="F39" s="270">
        <f>+'únor 2025'!B38</f>
        <v>0</v>
      </c>
      <c r="G39" s="270">
        <f>+'únor 2025'!C38</f>
        <v>0</v>
      </c>
      <c r="H39" s="270">
        <f>+'březen 2025'!B38</f>
        <v>0</v>
      </c>
      <c r="I39" s="270">
        <f>+'březen 2025'!C38</f>
        <v>0</v>
      </c>
      <c r="J39" s="270">
        <f>+'duben 2025'!B38</f>
        <v>0</v>
      </c>
      <c r="K39" s="270">
        <f>+'duben 2025'!C38</f>
        <v>0</v>
      </c>
      <c r="L39" s="270">
        <f>+'květen 2025'!B39</f>
        <v>0</v>
      </c>
      <c r="M39" s="270">
        <f>+'květen 2025'!C39</f>
        <v>0</v>
      </c>
      <c r="N39" s="270">
        <f>+'červen 2025'!B39</f>
        <v>0</v>
      </c>
      <c r="O39" s="270">
        <f>+'červen 2025'!C39</f>
        <v>0</v>
      </c>
      <c r="P39" s="270">
        <f>+'červenec 2025'!B39</f>
        <v>0</v>
      </c>
      <c r="Q39" s="270">
        <f>+'červenec 2025'!C39</f>
        <v>0</v>
      </c>
      <c r="R39" s="270">
        <f>+'srpen 2025'!B39</f>
        <v>0</v>
      </c>
      <c r="S39" s="270">
        <f>+'srpen 2025'!C39</f>
        <v>0</v>
      </c>
      <c r="T39" s="270">
        <f>+'září 2025'!B39</f>
        <v>0</v>
      </c>
      <c r="U39" s="270">
        <f>+'září 2025'!C39</f>
        <v>0</v>
      </c>
      <c r="V39" s="270">
        <f>+'říjen 2025'!B39</f>
        <v>0</v>
      </c>
      <c r="W39" s="270">
        <f>+'říjen 2025'!C39</f>
        <v>0</v>
      </c>
      <c r="X39" s="270">
        <f>+'listopad 2025'!B39</f>
        <v>0</v>
      </c>
      <c r="Y39" s="270">
        <f>+'listopad 2025'!C39</f>
        <v>0</v>
      </c>
      <c r="Z39" s="270">
        <f>+'prosinec 2025'!B39</f>
        <v>0</v>
      </c>
      <c r="AA39" s="270">
        <f>+'prosinec 2025'!C39</f>
        <v>0</v>
      </c>
      <c r="AC39" s="336"/>
      <c r="AD39" s="130"/>
    </row>
    <row r="40" spans="1:104" s="262" customFormat="1">
      <c r="A40" s="67" t="s">
        <v>38</v>
      </c>
      <c r="B40" s="100">
        <f t="shared" si="0"/>
        <v>850000</v>
      </c>
      <c r="C40" s="100">
        <f t="shared" si="1"/>
        <v>186395.91999999998</v>
      </c>
      <c r="D40" s="273">
        <f>+'leden 2025'!B39</f>
        <v>170000</v>
      </c>
      <c r="E40" s="273">
        <f>+'leden 2025'!C39</f>
        <v>18487</v>
      </c>
      <c r="F40" s="273">
        <f>+'únor 2025'!B39</f>
        <v>170000</v>
      </c>
      <c r="G40" s="273">
        <f>+'únor 2025'!C39</f>
        <v>43249</v>
      </c>
      <c r="H40" s="273">
        <f>+'březen 2025'!B39</f>
        <v>170000</v>
      </c>
      <c r="I40" s="273">
        <f>+'březen 2025'!C39</f>
        <v>87397.38</v>
      </c>
      <c r="J40" s="273">
        <f>+'duben 2025'!B39</f>
        <v>170000</v>
      </c>
      <c r="K40" s="273">
        <f>+'duben 2025'!C39</f>
        <v>37262.539999999994</v>
      </c>
      <c r="L40" s="273">
        <f>+'květen 2025'!B40</f>
        <v>0</v>
      </c>
      <c r="M40" s="273">
        <f>+'květen 2025'!C40</f>
        <v>0</v>
      </c>
      <c r="N40" s="273">
        <f>+'červen 2025'!B40</f>
        <v>0</v>
      </c>
      <c r="O40" s="273">
        <f>+'červen 2025'!C40</f>
        <v>0</v>
      </c>
      <c r="P40" s="273">
        <f>+'červenec 2025'!B40</f>
        <v>0</v>
      </c>
      <c r="Q40" s="273">
        <f>+'červenec 2025'!C40</f>
        <v>0</v>
      </c>
      <c r="R40" s="273">
        <f>+'srpen 2025'!B40</f>
        <v>170000</v>
      </c>
      <c r="S40" s="273">
        <f>+'srpen 2025'!C40</f>
        <v>0</v>
      </c>
      <c r="T40" s="273">
        <f>+'září 2025'!B40</f>
        <v>0</v>
      </c>
      <c r="U40" s="273">
        <f>+'září 2025'!C40</f>
        <v>0</v>
      </c>
      <c r="V40" s="273">
        <f>+'říjen 2025'!B40</f>
        <v>0</v>
      </c>
      <c r="W40" s="273">
        <f>+'říjen 2025'!C40</f>
        <v>0</v>
      </c>
      <c r="X40" s="273">
        <f>+'listopad 2025'!B40</f>
        <v>0</v>
      </c>
      <c r="Y40" s="273">
        <f>+'listopad 2025'!C40</f>
        <v>0</v>
      </c>
      <c r="Z40" s="273">
        <f>+'prosinec 2025'!B40</f>
        <v>0</v>
      </c>
      <c r="AA40" s="273">
        <f>+'prosinec 2025'!C40</f>
        <v>0</v>
      </c>
      <c r="AB40"/>
      <c r="AC40" s="336"/>
      <c r="AD40" s="13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</row>
    <row r="41" spans="1:104" outlineLevel="2">
      <c r="A41" s="134" t="s">
        <v>39</v>
      </c>
      <c r="B41" s="229">
        <f t="shared" si="0"/>
        <v>850000</v>
      </c>
      <c r="C41" s="229">
        <f t="shared" si="1"/>
        <v>186395.91999999998</v>
      </c>
      <c r="D41" s="270">
        <f>+'leden 2025'!B40</f>
        <v>170000</v>
      </c>
      <c r="E41" s="270">
        <f>+'leden 2025'!C40</f>
        <v>18487</v>
      </c>
      <c r="F41" s="270">
        <f>+'únor 2025'!B40</f>
        <v>170000</v>
      </c>
      <c r="G41" s="270">
        <f>+'únor 2025'!C40</f>
        <v>43249</v>
      </c>
      <c r="H41" s="270">
        <f>+'březen 2025'!B40</f>
        <v>170000</v>
      </c>
      <c r="I41" s="270">
        <f>+'březen 2025'!C40</f>
        <v>87397.38</v>
      </c>
      <c r="J41" s="270">
        <f>+'duben 2025'!B40</f>
        <v>170000</v>
      </c>
      <c r="K41" s="270">
        <f>+'duben 2025'!C40</f>
        <v>37262.539999999994</v>
      </c>
      <c r="L41" s="270">
        <f>+'květen 2025'!B41</f>
        <v>0</v>
      </c>
      <c r="M41" s="270">
        <f>+'květen 2025'!C41</f>
        <v>0</v>
      </c>
      <c r="N41" s="270">
        <f>+'červen 2025'!B41</f>
        <v>0</v>
      </c>
      <c r="O41" s="270">
        <f>+'červen 2025'!C41</f>
        <v>0</v>
      </c>
      <c r="P41" s="270">
        <f>+'červenec 2025'!B41</f>
        <v>0</v>
      </c>
      <c r="Q41" s="270">
        <f>+'červenec 2025'!C41</f>
        <v>0</v>
      </c>
      <c r="R41" s="270">
        <f>+'srpen 2025'!B41</f>
        <v>170000</v>
      </c>
      <c r="S41" s="270">
        <f>+'srpen 2025'!C41</f>
        <v>0</v>
      </c>
      <c r="T41" s="270">
        <f>+'září 2025'!B41</f>
        <v>0</v>
      </c>
      <c r="U41" s="270">
        <f>+'září 2025'!C41</f>
        <v>0</v>
      </c>
      <c r="V41" s="270">
        <f>+'říjen 2025'!B41</f>
        <v>0</v>
      </c>
      <c r="W41" s="270">
        <f>+'říjen 2025'!C41</f>
        <v>0</v>
      </c>
      <c r="X41" s="270">
        <f>+'listopad 2025'!B41</f>
        <v>0</v>
      </c>
      <c r="Y41" s="270">
        <f>+'listopad 2025'!C41</f>
        <v>0</v>
      </c>
      <c r="Z41" s="270">
        <f>+'prosinec 2025'!B41</f>
        <v>0</v>
      </c>
      <c r="AA41" s="270">
        <f>+'prosinec 2025'!C41</f>
        <v>0</v>
      </c>
      <c r="AC41" s="346" t="str">
        <f t="shared" si="5"/>
        <v>psych. s 1 - Jirásková</v>
      </c>
      <c r="AD41" s="93">
        <f t="shared" ref="AD41" si="9">+C41-C94*1.34</f>
        <v>-199524.08000000002</v>
      </c>
    </row>
    <row r="42" spans="1:104" s="78" customFormat="1" outlineLevel="2">
      <c r="A42" s="134" t="s">
        <v>36</v>
      </c>
      <c r="B42" s="229">
        <f t="shared" si="0"/>
        <v>0</v>
      </c>
      <c r="C42" s="229">
        <f t="shared" si="1"/>
        <v>0</v>
      </c>
      <c r="D42" s="270">
        <f>+'leden 2025'!B41</f>
        <v>0</v>
      </c>
      <c r="E42" s="270">
        <f>+'leden 2025'!C41</f>
        <v>0</v>
      </c>
      <c r="F42" s="270">
        <f>+'únor 2025'!B41</f>
        <v>0</v>
      </c>
      <c r="G42" s="270">
        <f>+'únor 2025'!C41</f>
        <v>0</v>
      </c>
      <c r="H42" s="270">
        <f>+'březen 2025'!B41</f>
        <v>0</v>
      </c>
      <c r="I42" s="270">
        <f>+'březen 2025'!C41</f>
        <v>0</v>
      </c>
      <c r="J42" s="270">
        <f>+'duben 2025'!B41</f>
        <v>0</v>
      </c>
      <c r="K42" s="270">
        <f>+'duben 2025'!C41</f>
        <v>0</v>
      </c>
      <c r="L42" s="270">
        <f>+'květen 2025'!B42</f>
        <v>0</v>
      </c>
      <c r="M42" s="270">
        <f>+'květen 2025'!C42</f>
        <v>0</v>
      </c>
      <c r="N42" s="270">
        <f>+'červen 2025'!B42</f>
        <v>0</v>
      </c>
      <c r="O42" s="270">
        <f>+'červen 2025'!C42</f>
        <v>0</v>
      </c>
      <c r="P42" s="270">
        <f>+'červenec 2025'!B42</f>
        <v>0</v>
      </c>
      <c r="Q42" s="270">
        <f>+'červenec 2025'!C42</f>
        <v>0</v>
      </c>
      <c r="R42" s="270">
        <f>+'srpen 2025'!B42</f>
        <v>0</v>
      </c>
      <c r="S42" s="270">
        <f>+'srpen 2025'!C42</f>
        <v>0</v>
      </c>
      <c r="T42" s="270">
        <f>+'září 2025'!B42</f>
        <v>0</v>
      </c>
      <c r="U42" s="270">
        <f>+'září 2025'!C42</f>
        <v>0</v>
      </c>
      <c r="V42" s="270">
        <f>+'říjen 2025'!B42</f>
        <v>0</v>
      </c>
      <c r="W42" s="270">
        <f>+'říjen 2025'!C42</f>
        <v>0</v>
      </c>
      <c r="X42" s="270">
        <f>+'listopad 2025'!B42</f>
        <v>0</v>
      </c>
      <c r="Y42" s="270">
        <f>+'listopad 2025'!C42</f>
        <v>0</v>
      </c>
      <c r="Z42" s="270">
        <f>+'prosinec 2025'!B42</f>
        <v>0</v>
      </c>
      <c r="AA42" s="270">
        <f>+'prosinec 2025'!C42</f>
        <v>0</v>
      </c>
      <c r="AC42" s="336"/>
      <c r="AD42" s="130"/>
    </row>
    <row r="43" spans="1:104" s="267" customFormat="1">
      <c r="A43" s="47" t="s">
        <v>40</v>
      </c>
      <c r="B43" s="101">
        <f t="shared" si="0"/>
        <v>1275000</v>
      </c>
      <c r="C43" s="101">
        <f t="shared" si="1"/>
        <v>823814.62</v>
      </c>
      <c r="D43" s="274">
        <f>+'leden 2025'!B42</f>
        <v>85000</v>
      </c>
      <c r="E43" s="274">
        <f>+'leden 2025'!C42</f>
        <v>57508</v>
      </c>
      <c r="F43" s="274">
        <f>+'únor 2025'!B42</f>
        <v>85000</v>
      </c>
      <c r="G43" s="274">
        <f>+'únor 2025'!C42</f>
        <v>52946</v>
      </c>
      <c r="H43" s="274">
        <f>+'březen 2025'!B42</f>
        <v>85000</v>
      </c>
      <c r="I43" s="274">
        <f>+'březen 2025'!C42</f>
        <v>50282.82</v>
      </c>
      <c r="J43" s="274">
        <f>+'duben 2025'!B42</f>
        <v>85000</v>
      </c>
      <c r="K43" s="274">
        <f>+'duben 2025'!C42</f>
        <v>38214.120000000003</v>
      </c>
      <c r="L43" s="274">
        <f>+'květen 2025'!B43</f>
        <v>85000</v>
      </c>
      <c r="M43" s="274">
        <f>+'květen 2025'!C43</f>
        <v>89873.840000000011</v>
      </c>
      <c r="N43" s="274">
        <f>+'červen 2025'!B43</f>
        <v>85000</v>
      </c>
      <c r="O43" s="274">
        <f>+'červen 2025'!C43</f>
        <v>66776.22</v>
      </c>
      <c r="P43" s="274">
        <f>+'červenec 2025'!B43</f>
        <v>85000</v>
      </c>
      <c r="Q43" s="274">
        <f>+'červenec 2025'!C43</f>
        <v>73813.599999999991</v>
      </c>
      <c r="R43" s="274">
        <f>+'srpen 2025'!B43</f>
        <v>85000</v>
      </c>
      <c r="S43" s="274">
        <f>+'srpen 2025'!C43</f>
        <v>68870.48</v>
      </c>
      <c r="T43" s="274">
        <f>+'září 2025'!B43</f>
        <v>85000</v>
      </c>
      <c r="U43" s="274">
        <f>+'září 2025'!C43</f>
        <v>69678</v>
      </c>
      <c r="V43" s="274">
        <f>+'říjen 2025'!B43</f>
        <v>170000</v>
      </c>
      <c r="W43" s="274">
        <f>+'říjen 2025'!C43</f>
        <v>140021.42000000001</v>
      </c>
      <c r="X43" s="274">
        <f>+'listopad 2025'!B43</f>
        <v>170000</v>
      </c>
      <c r="Y43" s="274">
        <f>+'listopad 2025'!C43</f>
        <v>102711.84</v>
      </c>
      <c r="Z43" s="274">
        <f>+'prosinec 2025'!B43</f>
        <v>170000</v>
      </c>
      <c r="AA43" s="274">
        <f>+'prosinec 2025'!C43</f>
        <v>13118.28</v>
      </c>
      <c r="AB43"/>
      <c r="AC43" s="336"/>
      <c r="AD43" s="130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</row>
    <row r="44" spans="1:104" outlineLevel="2">
      <c r="A44" s="1" t="s">
        <v>139</v>
      </c>
      <c r="B44" s="229">
        <f t="shared" si="0"/>
        <v>1275000</v>
      </c>
      <c r="C44" s="229">
        <f t="shared" si="1"/>
        <v>823814.62</v>
      </c>
      <c r="D44" s="270">
        <f>+'leden 2025'!B43</f>
        <v>85000</v>
      </c>
      <c r="E44" s="270">
        <f>+'leden 2025'!C43</f>
        <v>57508</v>
      </c>
      <c r="F44" s="270">
        <f>+'únor 2025'!B43</f>
        <v>85000</v>
      </c>
      <c r="G44" s="270">
        <f>+'únor 2025'!C43</f>
        <v>52946</v>
      </c>
      <c r="H44" s="270">
        <f>+'březen 2025'!B43</f>
        <v>85000</v>
      </c>
      <c r="I44" s="270">
        <f>+'březen 2025'!C43</f>
        <v>50282.82</v>
      </c>
      <c r="J44" s="270">
        <f>+'duben 2025'!B43</f>
        <v>85000</v>
      </c>
      <c r="K44" s="270">
        <f>+'duben 2025'!C43</f>
        <v>38214.120000000003</v>
      </c>
      <c r="L44" s="270">
        <f>+'květen 2025'!B44</f>
        <v>85000</v>
      </c>
      <c r="M44" s="270">
        <f>+'květen 2025'!C44</f>
        <v>89873.840000000011</v>
      </c>
      <c r="N44" s="270">
        <f>+'červen 2025'!B44</f>
        <v>85000</v>
      </c>
      <c r="O44" s="270">
        <f>+'červen 2025'!C44</f>
        <v>66776.22</v>
      </c>
      <c r="P44" s="270">
        <f>+'červenec 2025'!B44</f>
        <v>85000</v>
      </c>
      <c r="Q44" s="270">
        <f>+'červenec 2025'!C44</f>
        <v>73813.599999999991</v>
      </c>
      <c r="R44" s="270">
        <f>+'srpen 2025'!B44</f>
        <v>85000</v>
      </c>
      <c r="S44" s="270">
        <f>+'srpen 2025'!C44</f>
        <v>68870.48</v>
      </c>
      <c r="T44" s="270">
        <f>+'září 2025'!B44</f>
        <v>85000</v>
      </c>
      <c r="U44" s="270">
        <f>+'září 2025'!C44</f>
        <v>69678</v>
      </c>
      <c r="V44" s="270">
        <f>+'říjen 2025'!B44</f>
        <v>170000</v>
      </c>
      <c r="W44" s="270">
        <f>+'říjen 2025'!C44</f>
        <v>140021.42000000001</v>
      </c>
      <c r="X44" s="270">
        <f>+'listopad 2025'!B44</f>
        <v>170000</v>
      </c>
      <c r="Y44" s="270">
        <f>+'listopad 2025'!C44</f>
        <v>102711.84</v>
      </c>
      <c r="Z44" s="270">
        <f>+'prosinec 2025'!B44</f>
        <v>170000</v>
      </c>
      <c r="AA44" s="270">
        <f>+'prosinec 2025'!C44</f>
        <v>13118.28</v>
      </c>
      <c r="AC44" s="346" t="str">
        <f t="shared" si="5"/>
        <v>psych. s 1 Prajzová</v>
      </c>
      <c r="AD44" s="93">
        <f t="shared" ref="AD44" si="10">+C44-C97*1.34</f>
        <v>433204.62</v>
      </c>
    </row>
    <row r="45" spans="1:104" s="78" customFormat="1" outlineLevel="2">
      <c r="A45" s="68" t="s">
        <v>36</v>
      </c>
      <c r="B45" s="229">
        <f t="shared" si="0"/>
        <v>0</v>
      </c>
      <c r="C45" s="229">
        <f t="shared" si="1"/>
        <v>0</v>
      </c>
      <c r="D45" s="270">
        <f>+'leden 2025'!B44</f>
        <v>0</v>
      </c>
      <c r="E45" s="270">
        <f>+'leden 2025'!C44</f>
        <v>0</v>
      </c>
      <c r="F45" s="270">
        <f>+'únor 2025'!B44</f>
        <v>0</v>
      </c>
      <c r="G45" s="270">
        <f>+'únor 2025'!C44</f>
        <v>0</v>
      </c>
      <c r="H45" s="270">
        <f>+'březen 2025'!B44</f>
        <v>0</v>
      </c>
      <c r="I45" s="270">
        <f>+'březen 2025'!C44</f>
        <v>0</v>
      </c>
      <c r="J45" s="270">
        <f>+'duben 2025'!B44</f>
        <v>0</v>
      </c>
      <c r="K45" s="270">
        <f>+'duben 2025'!C44</f>
        <v>0</v>
      </c>
      <c r="L45" s="270">
        <f>+'květen 2025'!B45</f>
        <v>0</v>
      </c>
      <c r="M45" s="270">
        <f>+'květen 2025'!C45</f>
        <v>0</v>
      </c>
      <c r="N45" s="270">
        <f>+'červen 2025'!B45</f>
        <v>0</v>
      </c>
      <c r="O45" s="270">
        <f>+'červen 2025'!C45</f>
        <v>0</v>
      </c>
      <c r="P45" s="270">
        <f>+'červenec 2025'!B45</f>
        <v>0</v>
      </c>
      <c r="Q45" s="270">
        <f>+'červenec 2025'!C45</f>
        <v>0</v>
      </c>
      <c r="R45" s="270">
        <f>+'srpen 2025'!B45</f>
        <v>0</v>
      </c>
      <c r="S45" s="270">
        <f>+'srpen 2025'!C45</f>
        <v>0</v>
      </c>
      <c r="T45" s="270">
        <f>+'září 2025'!B45</f>
        <v>0</v>
      </c>
      <c r="U45" s="270">
        <f>+'září 2025'!C45</f>
        <v>0</v>
      </c>
      <c r="V45" s="270">
        <f>+'říjen 2025'!B45</f>
        <v>0</v>
      </c>
      <c r="W45" s="270">
        <f>+'říjen 2025'!C45</f>
        <v>0</v>
      </c>
      <c r="X45" s="270">
        <f>+'listopad 2025'!B45</f>
        <v>0</v>
      </c>
      <c r="Y45" s="270">
        <f>+'listopad 2025'!C45</f>
        <v>0</v>
      </c>
      <c r="Z45" s="270">
        <f>+'prosinec 2025'!B45</f>
        <v>0</v>
      </c>
      <c r="AA45" s="270">
        <f>+'prosinec 2025'!C45</f>
        <v>0</v>
      </c>
      <c r="AC45" s="336"/>
      <c r="AD45" s="130"/>
    </row>
    <row r="46" spans="1:104" s="237" customFormat="1">
      <c r="A46" s="198" t="s">
        <v>42</v>
      </c>
      <c r="B46" s="236">
        <f t="shared" si="0"/>
        <v>0</v>
      </c>
      <c r="C46" s="236">
        <f t="shared" si="1"/>
        <v>0</v>
      </c>
      <c r="D46" s="275">
        <f>+'leden 2025'!B45</f>
        <v>0</v>
      </c>
      <c r="E46" s="275">
        <f>+'leden 2025'!C45</f>
        <v>0</v>
      </c>
      <c r="F46" s="275">
        <f>+'únor 2025'!B45</f>
        <v>0</v>
      </c>
      <c r="G46" s="275">
        <f>+'únor 2025'!C45</f>
        <v>0</v>
      </c>
      <c r="H46" s="275">
        <f>+'březen 2025'!B45</f>
        <v>0</v>
      </c>
      <c r="I46" s="275">
        <f>+'březen 2025'!C45</f>
        <v>0</v>
      </c>
      <c r="J46" s="275">
        <f>+'duben 2025'!B45</f>
        <v>0</v>
      </c>
      <c r="K46" s="275">
        <f>+'duben 2025'!C45</f>
        <v>0</v>
      </c>
      <c r="L46" s="275">
        <f>+'květen 2025'!B46</f>
        <v>0</v>
      </c>
      <c r="M46" s="275">
        <f>+'květen 2025'!C46</f>
        <v>0</v>
      </c>
      <c r="N46" s="275">
        <f>+'červen 2025'!B46</f>
        <v>0</v>
      </c>
      <c r="O46" s="275">
        <f>+'červen 2025'!C46</f>
        <v>0</v>
      </c>
      <c r="P46" s="275">
        <f>+'červenec 2025'!B46</f>
        <v>0</v>
      </c>
      <c r="Q46" s="275">
        <f>+'červenec 2025'!C46</f>
        <v>0</v>
      </c>
      <c r="R46" s="275">
        <f>+'srpen 2025'!B46</f>
        <v>0</v>
      </c>
      <c r="S46" s="275">
        <f>+'srpen 2025'!C46</f>
        <v>0</v>
      </c>
      <c r="T46" s="275">
        <f>+'září 2025'!B46</f>
        <v>0</v>
      </c>
      <c r="U46" s="275">
        <f>+'září 2025'!C46</f>
        <v>0</v>
      </c>
      <c r="V46" s="275">
        <f>+'říjen 2025'!B46</f>
        <v>0</v>
      </c>
      <c r="W46" s="275">
        <f>+'říjen 2025'!C46</f>
        <v>0</v>
      </c>
      <c r="X46" s="275">
        <f>+'listopad 2025'!B46</f>
        <v>0</v>
      </c>
      <c r="Y46" s="275">
        <f>+'listopad 2025'!C46</f>
        <v>0</v>
      </c>
      <c r="Z46" s="275">
        <f>+'prosinec 2025'!B46</f>
        <v>0</v>
      </c>
      <c r="AA46" s="275">
        <f>+'prosinec 2025'!C46</f>
        <v>0</v>
      </c>
      <c r="AB46"/>
      <c r="AC46" s="336"/>
      <c r="AD46" s="130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</row>
    <row r="47" spans="1:104" s="78" customFormat="1" outlineLevel="2">
      <c r="A47" s="68" t="s">
        <v>43</v>
      </c>
      <c r="B47" s="229">
        <f t="shared" si="0"/>
        <v>0</v>
      </c>
      <c r="C47" s="229">
        <f t="shared" si="1"/>
        <v>0</v>
      </c>
      <c r="D47" s="270">
        <f>+'leden 2025'!B46</f>
        <v>0</v>
      </c>
      <c r="E47" s="270">
        <f>+'leden 2025'!C46</f>
        <v>0</v>
      </c>
      <c r="F47" s="270">
        <f>+'únor 2025'!B46</f>
        <v>0</v>
      </c>
      <c r="G47" s="270">
        <f>+'únor 2025'!C46</f>
        <v>0</v>
      </c>
      <c r="H47" s="270">
        <f>+'březen 2025'!B46</f>
        <v>0</v>
      </c>
      <c r="I47" s="270">
        <f>+'březen 2025'!C46</f>
        <v>0</v>
      </c>
      <c r="J47" s="270">
        <f>+'duben 2025'!B46</f>
        <v>0</v>
      </c>
      <c r="K47" s="270">
        <f>+'duben 2025'!C46</f>
        <v>0</v>
      </c>
      <c r="L47" s="270">
        <f>+'květen 2025'!B47</f>
        <v>0</v>
      </c>
      <c r="M47" s="270">
        <f>+'květen 2025'!C47</f>
        <v>0</v>
      </c>
      <c r="N47" s="270">
        <f>+'červen 2025'!B47</f>
        <v>0</v>
      </c>
      <c r="O47" s="270">
        <f>+'červen 2025'!C47</f>
        <v>0</v>
      </c>
      <c r="P47" s="270">
        <f>+'červenec 2025'!B47</f>
        <v>0</v>
      </c>
      <c r="Q47" s="270">
        <f>+'červenec 2025'!C47</f>
        <v>0</v>
      </c>
      <c r="R47" s="270">
        <f>+'srpen 2025'!B47</f>
        <v>0</v>
      </c>
      <c r="S47" s="270">
        <f>+'srpen 2025'!C47</f>
        <v>0</v>
      </c>
      <c r="T47" s="270">
        <f>+'září 2025'!B47</f>
        <v>0</v>
      </c>
      <c r="U47" s="270">
        <f>+'září 2025'!C47</f>
        <v>0</v>
      </c>
      <c r="V47" s="270">
        <f>+'říjen 2025'!B47</f>
        <v>0</v>
      </c>
      <c r="W47" s="270">
        <f>+'říjen 2025'!C47</f>
        <v>0</v>
      </c>
      <c r="X47" s="270">
        <f>+'listopad 2025'!B47</f>
        <v>0</v>
      </c>
      <c r="Y47" s="270">
        <f>+'listopad 2025'!C47</f>
        <v>0</v>
      </c>
      <c r="Z47" s="270">
        <f>+'prosinec 2025'!B47</f>
        <v>0</v>
      </c>
      <c r="AA47" s="270">
        <f>+'prosinec 2025'!C47</f>
        <v>0</v>
      </c>
      <c r="AC47" s="336"/>
      <c r="AD47" s="130"/>
    </row>
    <row r="48" spans="1:104" s="78" customFormat="1" outlineLevel="2">
      <c r="A48" s="68" t="s">
        <v>36</v>
      </c>
      <c r="B48" s="229">
        <f t="shared" si="0"/>
        <v>0</v>
      </c>
      <c r="C48" s="229">
        <f t="shared" si="1"/>
        <v>0</v>
      </c>
      <c r="D48" s="270">
        <f>+'leden 2025'!B47</f>
        <v>0</v>
      </c>
      <c r="E48" s="270">
        <f>+'leden 2025'!C47</f>
        <v>0</v>
      </c>
      <c r="F48" s="270">
        <f>+'únor 2025'!B47</f>
        <v>0</v>
      </c>
      <c r="G48" s="270">
        <f>+'únor 2025'!C47</f>
        <v>0</v>
      </c>
      <c r="H48" s="270">
        <f>+'březen 2025'!B47</f>
        <v>0</v>
      </c>
      <c r="I48" s="270">
        <f>+'březen 2025'!C47</f>
        <v>0</v>
      </c>
      <c r="J48" s="270">
        <f>+'duben 2025'!B47</f>
        <v>0</v>
      </c>
      <c r="K48" s="270">
        <f>+'duben 2025'!C47</f>
        <v>0</v>
      </c>
      <c r="L48" s="270">
        <f>+'květen 2025'!B48</f>
        <v>0</v>
      </c>
      <c r="M48" s="270">
        <f>+'květen 2025'!C48</f>
        <v>0</v>
      </c>
      <c r="N48" s="270">
        <f>+'červen 2025'!B48</f>
        <v>0</v>
      </c>
      <c r="O48" s="270">
        <f>+'červen 2025'!C48</f>
        <v>0</v>
      </c>
      <c r="P48" s="270">
        <f>+'červenec 2025'!B48</f>
        <v>0</v>
      </c>
      <c r="Q48" s="270">
        <f>+'červenec 2025'!C48</f>
        <v>0</v>
      </c>
      <c r="R48" s="270">
        <f>+'srpen 2025'!B48</f>
        <v>0</v>
      </c>
      <c r="S48" s="270">
        <f>+'srpen 2025'!C48</f>
        <v>0</v>
      </c>
      <c r="T48" s="270">
        <f>+'září 2025'!B48</f>
        <v>0</v>
      </c>
      <c r="U48" s="270">
        <f>+'září 2025'!C48</f>
        <v>0</v>
      </c>
      <c r="V48" s="270">
        <f>+'říjen 2025'!B48</f>
        <v>0</v>
      </c>
      <c r="W48" s="270">
        <f>+'říjen 2025'!C48</f>
        <v>0</v>
      </c>
      <c r="X48" s="270">
        <f>+'listopad 2025'!B48</f>
        <v>0</v>
      </c>
      <c r="Y48" s="270">
        <f>+'listopad 2025'!C48</f>
        <v>0</v>
      </c>
      <c r="Z48" s="270">
        <f>+'prosinec 2025'!B48</f>
        <v>0</v>
      </c>
      <c r="AA48" s="270">
        <f>+'prosinec 2025'!C48</f>
        <v>0</v>
      </c>
      <c r="AC48" s="336"/>
      <c r="AD48" s="130"/>
    </row>
    <row r="49" spans="1:104" s="237" customFormat="1">
      <c r="A49" s="198" t="s">
        <v>44</v>
      </c>
      <c r="B49" s="236">
        <f t="shared" si="0"/>
        <v>0</v>
      </c>
      <c r="C49" s="236">
        <f t="shared" si="1"/>
        <v>0</v>
      </c>
      <c r="D49" s="275">
        <f>+'leden 2025'!B48</f>
        <v>0</v>
      </c>
      <c r="E49" s="275">
        <f>+'leden 2025'!C48</f>
        <v>0</v>
      </c>
      <c r="F49" s="275">
        <f>+'únor 2025'!B48</f>
        <v>0</v>
      </c>
      <c r="G49" s="275">
        <f>+'únor 2025'!C48</f>
        <v>0</v>
      </c>
      <c r="H49" s="275">
        <f>+'březen 2025'!B48</f>
        <v>0</v>
      </c>
      <c r="I49" s="275">
        <f>+'březen 2025'!C48</f>
        <v>0</v>
      </c>
      <c r="J49" s="275">
        <f>+'duben 2025'!B48</f>
        <v>0</v>
      </c>
      <c r="K49" s="275">
        <f>+'duben 2025'!C48</f>
        <v>0</v>
      </c>
      <c r="L49" s="275">
        <f>+'květen 2025'!B49</f>
        <v>0</v>
      </c>
      <c r="M49" s="275">
        <f>+'květen 2025'!C49</f>
        <v>0</v>
      </c>
      <c r="N49" s="275">
        <f>+'červen 2025'!B49</f>
        <v>0</v>
      </c>
      <c r="O49" s="275">
        <f>+'červen 2025'!C49</f>
        <v>0</v>
      </c>
      <c r="P49" s="275">
        <f>+'červenec 2025'!B49</f>
        <v>0</v>
      </c>
      <c r="Q49" s="275">
        <f>+'červenec 2025'!C49</f>
        <v>0</v>
      </c>
      <c r="R49" s="275">
        <f>+'srpen 2025'!B49</f>
        <v>0</v>
      </c>
      <c r="S49" s="275">
        <f>+'srpen 2025'!C49</f>
        <v>0</v>
      </c>
      <c r="T49" s="275">
        <f>+'září 2025'!B49</f>
        <v>0</v>
      </c>
      <c r="U49" s="275">
        <f>+'září 2025'!C49</f>
        <v>0</v>
      </c>
      <c r="V49" s="275">
        <f>+'říjen 2025'!B49</f>
        <v>0</v>
      </c>
      <c r="W49" s="275">
        <f>+'říjen 2025'!C49</f>
        <v>0</v>
      </c>
      <c r="X49" s="275">
        <f>+'listopad 2025'!B49</f>
        <v>0</v>
      </c>
      <c r="Y49" s="275">
        <f>+'listopad 2025'!C49</f>
        <v>0</v>
      </c>
      <c r="Z49" s="275">
        <f>+'prosinec 2025'!B49</f>
        <v>0</v>
      </c>
      <c r="AA49" s="275">
        <f>+'prosinec 2025'!C49</f>
        <v>0</v>
      </c>
      <c r="AB49"/>
      <c r="AC49" s="336"/>
      <c r="AD49" s="130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</row>
    <row r="50" spans="1:104" s="78" customFormat="1" outlineLevel="2">
      <c r="A50" s="315" t="s">
        <v>129</v>
      </c>
      <c r="B50" s="229">
        <f t="shared" si="0"/>
        <v>0</v>
      </c>
      <c r="C50" s="229">
        <f t="shared" si="1"/>
        <v>0</v>
      </c>
      <c r="D50" s="270">
        <f>+'leden 2025'!B49</f>
        <v>0</v>
      </c>
      <c r="E50" s="270">
        <f>+'leden 2025'!C49</f>
        <v>0</v>
      </c>
      <c r="F50" s="270">
        <f>+'únor 2025'!B49</f>
        <v>0</v>
      </c>
      <c r="G50" s="270">
        <f>+'únor 2025'!C49</f>
        <v>0</v>
      </c>
      <c r="H50" s="270">
        <f>+'březen 2025'!B49</f>
        <v>0</v>
      </c>
      <c r="I50" s="270">
        <f>+'březen 2025'!C49</f>
        <v>0</v>
      </c>
      <c r="J50" s="270">
        <f>+'duben 2025'!B49</f>
        <v>0</v>
      </c>
      <c r="K50" s="270">
        <f>+'duben 2025'!C49</f>
        <v>0</v>
      </c>
      <c r="L50" s="270">
        <f>+'květen 2025'!B50</f>
        <v>0</v>
      </c>
      <c r="M50" s="270">
        <f>+'květen 2025'!C50</f>
        <v>0</v>
      </c>
      <c r="N50" s="270">
        <f>+'červen 2025'!B50</f>
        <v>0</v>
      </c>
      <c r="O50" s="270">
        <f>+'červen 2025'!C50</f>
        <v>0</v>
      </c>
      <c r="P50" s="270">
        <f>+'červenec 2025'!B50</f>
        <v>0</v>
      </c>
      <c r="Q50" s="270">
        <f>+'červenec 2025'!C50</f>
        <v>0</v>
      </c>
      <c r="R50" s="270">
        <f>+'srpen 2025'!B50</f>
        <v>0</v>
      </c>
      <c r="S50" s="270">
        <f>+'srpen 2025'!C50</f>
        <v>0</v>
      </c>
      <c r="T50" s="270">
        <f>+'září 2025'!B50</f>
        <v>0</v>
      </c>
      <c r="U50" s="270">
        <f>+'září 2025'!C50</f>
        <v>0</v>
      </c>
      <c r="V50" s="270">
        <f>+'říjen 2025'!B50</f>
        <v>0</v>
      </c>
      <c r="W50" s="270">
        <f>+'říjen 2025'!C50</f>
        <v>0</v>
      </c>
      <c r="X50" s="270">
        <f>+'listopad 2025'!B50</f>
        <v>0</v>
      </c>
      <c r="Y50" s="270">
        <f>+'listopad 2025'!C50</f>
        <v>0</v>
      </c>
      <c r="Z50" s="270">
        <f>+'prosinec 2025'!B50</f>
        <v>0</v>
      </c>
      <c r="AA50" s="270">
        <f>+'prosinec 2025'!C50</f>
        <v>0</v>
      </c>
      <c r="AC50" s="346" t="str">
        <f t="shared" si="5"/>
        <v>psych. s 1  - Skokanová</v>
      </c>
      <c r="AD50" s="93">
        <f t="shared" ref="AD50" si="11">+C50-C103*1.34</f>
        <v>-20904</v>
      </c>
    </row>
    <row r="51" spans="1:104" s="78" customFormat="1" outlineLevel="2">
      <c r="A51" s="68" t="s">
        <v>36</v>
      </c>
      <c r="B51" s="229">
        <f t="shared" si="0"/>
        <v>0</v>
      </c>
      <c r="C51" s="229">
        <f t="shared" si="1"/>
        <v>0</v>
      </c>
      <c r="D51" s="270">
        <f>+'leden 2025'!B50</f>
        <v>0</v>
      </c>
      <c r="E51" s="270">
        <f>+'leden 2025'!C50</f>
        <v>0</v>
      </c>
      <c r="F51" s="270">
        <f>+'únor 2025'!B50</f>
        <v>0</v>
      </c>
      <c r="G51" s="270">
        <f>+'únor 2025'!C50</f>
        <v>0</v>
      </c>
      <c r="H51" s="270">
        <f>+'březen 2025'!B50</f>
        <v>0</v>
      </c>
      <c r="I51" s="270">
        <f>+'březen 2025'!C50</f>
        <v>0</v>
      </c>
      <c r="J51" s="270">
        <f>+'duben 2025'!B50</f>
        <v>0</v>
      </c>
      <c r="K51" s="270">
        <f>+'duben 2025'!C50</f>
        <v>0</v>
      </c>
      <c r="L51" s="270">
        <f>+'květen 2025'!B51</f>
        <v>0</v>
      </c>
      <c r="M51" s="270">
        <f>+'květen 2025'!C51</f>
        <v>0</v>
      </c>
      <c r="N51" s="270">
        <f>+'červen 2025'!B51</f>
        <v>0</v>
      </c>
      <c r="O51" s="270">
        <f>+'červen 2025'!C51</f>
        <v>0</v>
      </c>
      <c r="P51" s="270">
        <f>+'červenec 2025'!B51</f>
        <v>0</v>
      </c>
      <c r="Q51" s="270">
        <f>+'červenec 2025'!C51</f>
        <v>0</v>
      </c>
      <c r="R51" s="270">
        <f>+'srpen 2025'!B51</f>
        <v>0</v>
      </c>
      <c r="S51" s="270">
        <f>+'srpen 2025'!C51</f>
        <v>0</v>
      </c>
      <c r="T51" s="270">
        <f>+'září 2025'!B51</f>
        <v>0</v>
      </c>
      <c r="U51" s="270">
        <f>+'září 2025'!C51</f>
        <v>0</v>
      </c>
      <c r="V51" s="270">
        <f>+'říjen 2025'!B51</f>
        <v>0</v>
      </c>
      <c r="W51" s="270">
        <f>+'říjen 2025'!C51</f>
        <v>0</v>
      </c>
      <c r="X51" s="270">
        <f>+'listopad 2025'!B51</f>
        <v>0</v>
      </c>
      <c r="Y51" s="270">
        <f>+'listopad 2025'!C51</f>
        <v>0</v>
      </c>
      <c r="Z51" s="270">
        <f>+'prosinec 2025'!B51</f>
        <v>0</v>
      </c>
      <c r="AA51" s="270">
        <f>+'prosinec 2025'!C51</f>
        <v>0</v>
      </c>
      <c r="AC51" s="336"/>
      <c r="AD51" s="130"/>
    </row>
    <row r="52" spans="1:104" s="234" customFormat="1" ht="18">
      <c r="A52" s="138" t="s">
        <v>45</v>
      </c>
      <c r="B52" s="291">
        <f t="shared" si="0"/>
        <v>30621700</v>
      </c>
      <c r="C52" s="233">
        <f t="shared" si="1"/>
        <v>20023503.469999995</v>
      </c>
      <c r="D52" s="276">
        <f>+'leden 2025'!B51</f>
        <v>1510000</v>
      </c>
      <c r="E52" s="276">
        <f>+'leden 2025'!C51</f>
        <v>1036758</v>
      </c>
      <c r="F52" s="276">
        <f>+'únor 2025'!B51</f>
        <v>1510000</v>
      </c>
      <c r="G52" s="276">
        <f>+'únor 2025'!C51</f>
        <v>988804</v>
      </c>
      <c r="H52" s="276">
        <f>+'březen 2025'!B51</f>
        <v>2164000</v>
      </c>
      <c r="I52" s="276">
        <f>+'březen 2025'!C51</f>
        <v>1492097.84</v>
      </c>
      <c r="J52" s="276">
        <f>+'duben 2025'!B51</f>
        <v>2164000</v>
      </c>
      <c r="K52" s="276">
        <f>+'duben 2025'!C51</f>
        <v>1297965.5</v>
      </c>
      <c r="L52" s="276">
        <f>+'květen 2025'!B52</f>
        <v>2470000</v>
      </c>
      <c r="M52" s="276">
        <f>+'květen 2025'!C52</f>
        <v>1791672.3</v>
      </c>
      <c r="N52" s="276">
        <f>+'červen 2025'!B52</f>
        <v>2495000</v>
      </c>
      <c r="O52" s="276">
        <f>+'červen 2025'!C52</f>
        <v>1979163.0200000003</v>
      </c>
      <c r="P52" s="276">
        <f>+'červenec 2025'!B52</f>
        <v>2420000</v>
      </c>
      <c r="Q52" s="276">
        <f>+'červenec 2025'!C52</f>
        <v>1778606.79</v>
      </c>
      <c r="R52" s="276">
        <f>+'srpen 2025'!B52</f>
        <v>2815000</v>
      </c>
      <c r="S52" s="276">
        <f>+'srpen 2025'!C52</f>
        <v>1734381.02</v>
      </c>
      <c r="T52" s="276">
        <f>+'září 2025'!B52</f>
        <v>2690000</v>
      </c>
      <c r="U52" s="276">
        <f>+'září 2025'!C52</f>
        <v>2074388.4</v>
      </c>
      <c r="V52" s="276">
        <f>+'říjen 2025'!B52</f>
        <v>2975000</v>
      </c>
      <c r="W52" s="276">
        <f>+'říjen 2025'!C52</f>
        <v>2123699.96</v>
      </c>
      <c r="X52" s="276">
        <f>+'listopad 2025'!B52</f>
        <v>3155000</v>
      </c>
      <c r="Y52" s="276">
        <f>+'listopad 2025'!C52</f>
        <v>2446634.7599999998</v>
      </c>
      <c r="Z52" s="276">
        <f>+'prosinec 2025'!B52</f>
        <v>4253700</v>
      </c>
      <c r="AA52" s="276">
        <f>+'prosinec 2025'!C52</f>
        <v>1279331.8799999999</v>
      </c>
      <c r="AB52"/>
      <c r="AC52" s="33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</row>
    <row r="54" spans="1:104" s="232" customFormat="1" ht="18">
      <c r="A54" s="137" t="s">
        <v>46</v>
      </c>
      <c r="B54" s="231" t="s">
        <v>164</v>
      </c>
      <c r="C54" s="231" t="s">
        <v>165</v>
      </c>
      <c r="D54" s="277" t="s">
        <v>166</v>
      </c>
      <c r="E54" s="277" t="s">
        <v>167</v>
      </c>
      <c r="F54" s="277" t="s">
        <v>166</v>
      </c>
      <c r="G54" s="277" t="s">
        <v>167</v>
      </c>
      <c r="H54" s="277" t="s">
        <v>166</v>
      </c>
      <c r="I54" s="277" t="s">
        <v>167</v>
      </c>
      <c r="J54" s="277" t="s">
        <v>166</v>
      </c>
      <c r="K54" s="277" t="s">
        <v>167</v>
      </c>
      <c r="L54" s="277" t="s">
        <v>166</v>
      </c>
      <c r="M54" s="277" t="s">
        <v>167</v>
      </c>
      <c r="N54" s="277" t="s">
        <v>166</v>
      </c>
      <c r="O54" s="277" t="s">
        <v>167</v>
      </c>
      <c r="P54" s="277" t="s">
        <v>166</v>
      </c>
      <c r="Q54" s="277" t="s">
        <v>167</v>
      </c>
      <c r="R54" s="277" t="s">
        <v>166</v>
      </c>
      <c r="S54" s="277" t="s">
        <v>167</v>
      </c>
      <c r="T54" s="277" t="s">
        <v>166</v>
      </c>
      <c r="U54" s="277" t="s">
        <v>167</v>
      </c>
      <c r="V54" s="277" t="s">
        <v>166</v>
      </c>
      <c r="W54" s="277" t="s">
        <v>167</v>
      </c>
      <c r="X54" s="277" t="s">
        <v>166</v>
      </c>
      <c r="Y54" s="277" t="s">
        <v>167</v>
      </c>
      <c r="Z54" s="277" t="s">
        <v>166</v>
      </c>
      <c r="AA54" s="277" t="s">
        <v>167</v>
      </c>
      <c r="AB54" s="285"/>
      <c r="AC54" s="337"/>
      <c r="AD54" s="285"/>
      <c r="AE54" s="285"/>
      <c r="AF54" s="285"/>
      <c r="AG54" s="285"/>
      <c r="AH54" s="285"/>
      <c r="AI54" s="285"/>
      <c r="AJ54" s="285"/>
      <c r="AK54" s="285"/>
      <c r="AL54" s="285"/>
      <c r="AM54" s="285"/>
      <c r="AN54" s="285"/>
      <c r="AO54" s="285"/>
      <c r="AP54" s="285"/>
      <c r="AQ54" s="285"/>
      <c r="AR54" s="285"/>
      <c r="AS54" s="285"/>
      <c r="AT54" s="285"/>
      <c r="AU54" s="285"/>
      <c r="AV54" s="285"/>
      <c r="AW54" s="285"/>
      <c r="AX54" s="285"/>
      <c r="AY54" s="285"/>
      <c r="AZ54" s="285"/>
      <c r="BA54" s="285"/>
      <c r="BB54" s="285"/>
      <c r="BC54" s="285"/>
      <c r="BD54" s="285"/>
      <c r="BE54" s="285"/>
      <c r="BF54" s="285"/>
      <c r="BG54" s="285"/>
      <c r="BH54" s="285"/>
      <c r="BI54" s="285"/>
      <c r="BJ54" s="285"/>
      <c r="BK54" s="285"/>
      <c r="BL54" s="285"/>
      <c r="BM54" s="285"/>
      <c r="BN54" s="285"/>
      <c r="BO54" s="285"/>
      <c r="BP54" s="285"/>
      <c r="BQ54" s="285"/>
      <c r="BR54" s="285"/>
      <c r="BS54" s="285"/>
      <c r="BT54" s="285"/>
      <c r="BU54" s="285"/>
      <c r="BV54" s="285"/>
      <c r="BW54" s="285"/>
      <c r="BX54" s="285"/>
      <c r="BY54" s="285"/>
      <c r="BZ54" s="285"/>
      <c r="CA54" s="285"/>
      <c r="CB54" s="285"/>
      <c r="CC54" s="285"/>
      <c r="CD54" s="285"/>
      <c r="CE54" s="285"/>
      <c r="CF54" s="285"/>
      <c r="CG54" s="285"/>
      <c r="CH54" s="285"/>
      <c r="CI54" s="285"/>
      <c r="CJ54" s="285"/>
      <c r="CK54" s="285"/>
      <c r="CL54" s="285"/>
      <c r="CM54" s="285"/>
      <c r="CN54" s="285"/>
      <c r="CO54" s="285"/>
      <c r="CP54" s="285"/>
      <c r="CQ54" s="285"/>
      <c r="CR54" s="285"/>
      <c r="CS54" s="285"/>
      <c r="CT54" s="285"/>
      <c r="CU54" s="285"/>
      <c r="CV54" s="285"/>
      <c r="CW54" s="285"/>
      <c r="CX54" s="285"/>
      <c r="CY54" s="285"/>
      <c r="CZ54" s="285"/>
    </row>
    <row r="55" spans="1:104" s="258" customFormat="1">
      <c r="A55" s="230" t="s">
        <v>47</v>
      </c>
      <c r="B55" s="257">
        <f t="shared" ref="B55:B119" si="12">+D55+F55+H55+J55+L55+N55+P55+R55+T55+V55+X55+Z55</f>
        <v>13773860</v>
      </c>
      <c r="C55" s="257">
        <f t="shared" ref="C55:C119" si="13">+E55+G55+I55+K55+M55+O55+Q55+S55+U55+W55+Y55+AA55</f>
        <v>12217736.76</v>
      </c>
      <c r="D55" s="278">
        <f>+'leden 2025'!B54</f>
        <v>663300</v>
      </c>
      <c r="E55" s="278">
        <f>+'leden 2025'!C54</f>
        <v>667320</v>
      </c>
      <c r="F55" s="278">
        <f>+'únor 2025'!B54</f>
        <v>663300</v>
      </c>
      <c r="G55" s="278">
        <f>+'únor 2025'!C54</f>
        <v>674154</v>
      </c>
      <c r="H55" s="278">
        <f>+'březen 2025'!B54</f>
        <v>970160</v>
      </c>
      <c r="I55" s="278">
        <f>+'březen 2025'!C54</f>
        <v>979607</v>
      </c>
      <c r="J55" s="278">
        <f>+'duben 2025'!B54</f>
        <v>990260</v>
      </c>
      <c r="K55" s="278">
        <f>+'duben 2025'!C54</f>
        <v>990997</v>
      </c>
      <c r="L55" s="278">
        <f>+'květen 2025'!B55</f>
        <v>1161780</v>
      </c>
      <c r="M55" s="278">
        <f>+'květen 2025'!C55</f>
        <v>1153807</v>
      </c>
      <c r="N55" s="278">
        <f>+'červen 2025'!B55</f>
        <v>1207340</v>
      </c>
      <c r="O55" s="278">
        <f>+'červen 2025'!C55</f>
        <v>1211043.76</v>
      </c>
      <c r="P55" s="278">
        <f>+'červenec 2025'!B55</f>
        <v>1268980</v>
      </c>
      <c r="Q55" s="278">
        <f>+'červenec 2025'!C55</f>
        <v>1167877</v>
      </c>
      <c r="R55" s="278">
        <f>+'srpen 2025'!B55</f>
        <v>1172500</v>
      </c>
      <c r="S55" s="278">
        <f>+'srpen 2025'!C55</f>
        <v>1163790</v>
      </c>
      <c r="T55" s="278">
        <f>+'září 2025'!B55</f>
        <v>1255580</v>
      </c>
      <c r="U55" s="278">
        <f>+'září 2025'!C55</f>
        <v>1234274</v>
      </c>
      <c r="V55" s="278">
        <f>+'říjen 2025'!B55</f>
        <v>1526260</v>
      </c>
      <c r="W55" s="278">
        <f>+'říjen 2025'!C55</f>
        <v>1455709</v>
      </c>
      <c r="X55" s="278">
        <f>+'listopad 2025'!B55</f>
        <v>1440500</v>
      </c>
      <c r="Y55" s="278">
        <f>+'listopad 2025'!C55</f>
        <v>1519158</v>
      </c>
      <c r="Z55" s="278">
        <f>+'prosinec 2025'!B55</f>
        <v>1453900</v>
      </c>
      <c r="AA55" s="278">
        <f>+'prosinec 2025'!C55</f>
        <v>0</v>
      </c>
      <c r="AB55" s="286"/>
      <c r="AC55" s="338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286"/>
      <c r="AO55" s="286"/>
      <c r="AP55" s="286"/>
      <c r="AQ55" s="286"/>
      <c r="AR55" s="286"/>
      <c r="AS55" s="286"/>
      <c r="AT55" s="286"/>
      <c r="AU55" s="286"/>
      <c r="AV55" s="286"/>
      <c r="AW55" s="286"/>
      <c r="AX55" s="286"/>
      <c r="AY55" s="286"/>
      <c r="AZ55" s="286"/>
      <c r="BA55" s="286"/>
      <c r="BB55" s="286"/>
      <c r="BC55" s="286"/>
      <c r="BD55" s="286"/>
      <c r="BE55" s="286"/>
      <c r="BF55" s="286"/>
      <c r="BG55" s="286"/>
      <c r="BH55" s="286"/>
      <c r="BI55" s="286"/>
      <c r="BJ55" s="286"/>
      <c r="BK55" s="286"/>
      <c r="BL55" s="286"/>
      <c r="BM55" s="286"/>
      <c r="BN55" s="286"/>
      <c r="BO55" s="286"/>
      <c r="BP55" s="286"/>
      <c r="BQ55" s="286"/>
      <c r="BR55" s="286"/>
      <c r="BS55" s="286"/>
      <c r="BT55" s="286"/>
      <c r="BU55" s="286"/>
      <c r="BV55" s="286"/>
      <c r="BW55" s="286"/>
      <c r="BX55" s="286"/>
      <c r="BY55" s="286"/>
      <c r="BZ55" s="286"/>
      <c r="CA55" s="286"/>
      <c r="CB55" s="286"/>
      <c r="CC55" s="286"/>
      <c r="CD55" s="286"/>
      <c r="CE55" s="286"/>
      <c r="CF55" s="286"/>
      <c r="CG55" s="286"/>
      <c r="CH55" s="286"/>
      <c r="CI55" s="286"/>
      <c r="CJ55" s="286"/>
      <c r="CK55" s="286"/>
      <c r="CL55" s="286"/>
      <c r="CM55" s="286"/>
      <c r="CN55" s="286"/>
      <c r="CO55" s="286"/>
      <c r="CP55" s="286"/>
      <c r="CQ55" s="286"/>
      <c r="CR55" s="286"/>
      <c r="CS55" s="286"/>
      <c r="CT55" s="286"/>
      <c r="CU55" s="286"/>
      <c r="CV55" s="286"/>
      <c r="CW55" s="286"/>
      <c r="CX55" s="286"/>
      <c r="CY55" s="286"/>
      <c r="CZ55" s="286"/>
    </row>
    <row r="56" spans="1:104" outlineLevel="1">
      <c r="A56" s="44" t="s">
        <v>48</v>
      </c>
      <c r="B56" s="91">
        <f t="shared" si="12"/>
        <v>6929140</v>
      </c>
      <c r="C56" s="91">
        <f t="shared" si="13"/>
        <v>6570172.7599999998</v>
      </c>
      <c r="D56" s="269">
        <f>+'leden 2025'!B55</f>
        <v>372520</v>
      </c>
      <c r="E56" s="269">
        <f>+'leden 2025'!C55</f>
        <v>372520</v>
      </c>
      <c r="F56" s="269">
        <f>+'únor 2025'!B55</f>
        <v>372520</v>
      </c>
      <c r="G56" s="269">
        <f>+'únor 2025'!C55</f>
        <v>379354</v>
      </c>
      <c r="H56" s="269">
        <f>+'březen 2025'!B55</f>
        <v>660620</v>
      </c>
      <c r="I56" s="269">
        <f>+'březen 2025'!C55</f>
        <v>664037</v>
      </c>
      <c r="J56" s="269">
        <f>+'duben 2025'!B55</f>
        <v>600320</v>
      </c>
      <c r="K56" s="269">
        <f>+'duben 2025'!C55</f>
        <v>599047</v>
      </c>
      <c r="L56" s="269">
        <f>+'květen 2025'!B56</f>
        <v>633820</v>
      </c>
      <c r="M56" s="269">
        <f>+'květen 2025'!C56</f>
        <v>630537</v>
      </c>
      <c r="N56" s="269">
        <f>+'červen 2025'!B56</f>
        <v>674020</v>
      </c>
      <c r="O56" s="269">
        <f>+'červen 2025'!C56</f>
        <v>685093.76</v>
      </c>
      <c r="P56" s="269">
        <f>+'červenec 2025'!B56</f>
        <v>633820</v>
      </c>
      <c r="Q56" s="269">
        <f>+'červenec 2025'!C56</f>
        <v>637237</v>
      </c>
      <c r="R56" s="269">
        <f>+'srpen 2025'!B56</f>
        <v>633820</v>
      </c>
      <c r="S56" s="269">
        <f>+'srpen 2025'!C56</f>
        <v>633820</v>
      </c>
      <c r="T56" s="269">
        <f>+'září 2025'!B56</f>
        <v>653920</v>
      </c>
      <c r="U56" s="269">
        <f>+'září 2025'!C56</f>
        <v>643334</v>
      </c>
      <c r="V56" s="269">
        <f>+'říjen 2025'!B56</f>
        <v>720920</v>
      </c>
      <c r="W56" s="269">
        <f>+'říjen 2025'!C56</f>
        <v>755559</v>
      </c>
      <c r="X56" s="269">
        <f>+'listopad 2025'!B56</f>
        <v>506520.00000000006</v>
      </c>
      <c r="Y56" s="269">
        <f>+'listopad 2025'!C56</f>
        <v>569634</v>
      </c>
      <c r="Z56" s="269">
        <f>+'prosinec 2025'!B56</f>
        <v>466320</v>
      </c>
      <c r="AA56" s="269">
        <f>+'prosinec 2025'!C56</f>
        <v>0</v>
      </c>
    </row>
    <row r="57" spans="1:104" outlineLevel="2">
      <c r="A57" s="132" t="s">
        <v>14</v>
      </c>
      <c r="B57" s="229">
        <f t="shared" si="12"/>
        <v>720000</v>
      </c>
      <c r="C57" s="229">
        <f t="shared" si="13"/>
        <v>674750</v>
      </c>
      <c r="D57" s="270">
        <f>+'leden 2025'!B56</f>
        <v>60000</v>
      </c>
      <c r="E57" s="270">
        <f>+'leden 2025'!C56</f>
        <v>60000</v>
      </c>
      <c r="F57" s="270">
        <f>+'únor 2025'!B56</f>
        <v>60000</v>
      </c>
      <c r="G57" s="270">
        <f>+'únor 2025'!C56</f>
        <v>62550</v>
      </c>
      <c r="H57" s="270">
        <f>+'březen 2025'!B56</f>
        <v>60000</v>
      </c>
      <c r="I57" s="270">
        <f>+'březen 2025'!C56</f>
        <v>60000</v>
      </c>
      <c r="J57" s="270">
        <f>+'duben 2025'!B56</f>
        <v>60000</v>
      </c>
      <c r="K57" s="270">
        <f>+'duben 2025'!C56</f>
        <v>62550</v>
      </c>
      <c r="L57" s="270">
        <f>+'květen 2025'!B57</f>
        <v>60000</v>
      </c>
      <c r="M57" s="270">
        <f>+'květen 2025'!C57</f>
        <v>60000</v>
      </c>
      <c r="N57" s="270">
        <f>+'červen 2025'!B57</f>
        <v>60000</v>
      </c>
      <c r="O57" s="270">
        <f>+'červen 2025'!C57</f>
        <v>62550</v>
      </c>
      <c r="P57" s="270">
        <f>+'červenec 2025'!B57</f>
        <v>60000</v>
      </c>
      <c r="Q57" s="270">
        <f>+'červenec 2025'!C57</f>
        <v>60000</v>
      </c>
      <c r="R57" s="270">
        <f>+'srpen 2025'!B57</f>
        <v>60000</v>
      </c>
      <c r="S57" s="270">
        <f>+'srpen 2025'!C57</f>
        <v>60000</v>
      </c>
      <c r="T57" s="270">
        <f>+'září 2025'!B57</f>
        <v>60000</v>
      </c>
      <c r="U57" s="270">
        <f>+'září 2025'!C57</f>
        <v>64550</v>
      </c>
      <c r="V57" s="270">
        <f>+'říjen 2025'!B57</f>
        <v>60000</v>
      </c>
      <c r="W57" s="270">
        <f>+'říjen 2025'!C57</f>
        <v>60000</v>
      </c>
      <c r="X57" s="270">
        <f>+'listopad 2025'!B57</f>
        <v>60000</v>
      </c>
      <c r="Y57" s="270">
        <f>+'listopad 2025'!C57</f>
        <v>62550</v>
      </c>
      <c r="Z57" s="270">
        <f>+'prosinec 2025'!B57</f>
        <v>60000</v>
      </c>
      <c r="AA57" s="270">
        <f>+'prosinec 2025'!C57</f>
        <v>0</v>
      </c>
    </row>
    <row r="58" spans="1:104" outlineLevel="2">
      <c r="A58" s="133" t="s">
        <v>15</v>
      </c>
      <c r="B58" s="229">
        <f t="shared" si="12"/>
        <v>564000</v>
      </c>
      <c r="C58" s="229">
        <f t="shared" si="13"/>
        <v>530600</v>
      </c>
      <c r="D58" s="270">
        <f>+'leden 2025'!B57</f>
        <v>47000</v>
      </c>
      <c r="E58" s="270">
        <f>+'leden 2025'!C57</f>
        <v>47000</v>
      </c>
      <c r="F58" s="270">
        <f>+'únor 2025'!B57</f>
        <v>47000</v>
      </c>
      <c r="G58" s="270">
        <f>+'únor 2025'!C57</f>
        <v>49550</v>
      </c>
      <c r="H58" s="270">
        <f>+'březen 2025'!B57</f>
        <v>47000</v>
      </c>
      <c r="I58" s="270">
        <f>+'březen 2025'!C57</f>
        <v>49550</v>
      </c>
      <c r="J58" s="270">
        <f>+'duben 2025'!B57</f>
        <v>47000</v>
      </c>
      <c r="K58" s="270">
        <f>+'duben 2025'!C57</f>
        <v>47000</v>
      </c>
      <c r="L58" s="270">
        <f>+'květen 2025'!B58</f>
        <v>47000</v>
      </c>
      <c r="M58" s="270">
        <f>+'květen 2025'!C58</f>
        <v>49550</v>
      </c>
      <c r="N58" s="270">
        <f>+'červen 2025'!B58</f>
        <v>47000</v>
      </c>
      <c r="O58" s="270">
        <f>+'červen 2025'!C58</f>
        <v>47000</v>
      </c>
      <c r="P58" s="270">
        <f>+'červenec 2025'!B58</f>
        <v>47000</v>
      </c>
      <c r="Q58" s="270">
        <f>+'červenec 2025'!C58</f>
        <v>49550</v>
      </c>
      <c r="R58" s="270">
        <f>+'srpen 2025'!B58</f>
        <v>47000</v>
      </c>
      <c r="S58" s="270">
        <f>+'srpen 2025'!C58</f>
        <v>47000</v>
      </c>
      <c r="T58" s="270">
        <f>+'září 2025'!B58</f>
        <v>47000</v>
      </c>
      <c r="U58" s="270">
        <f>+'září 2025'!C58</f>
        <v>49550</v>
      </c>
      <c r="V58" s="270">
        <f>+'říjen 2025'!B58</f>
        <v>47000</v>
      </c>
      <c r="W58" s="270">
        <f>+'říjen 2025'!C58</f>
        <v>47850</v>
      </c>
      <c r="X58" s="270">
        <f>+'listopad 2025'!B58</f>
        <v>47000</v>
      </c>
      <c r="Y58" s="270">
        <f>+'listopad 2025'!C58</f>
        <v>47000</v>
      </c>
      <c r="Z58" s="270">
        <f>+'prosinec 2025'!B58</f>
        <v>47000</v>
      </c>
      <c r="AA58" s="270">
        <f>+'prosinec 2025'!C58</f>
        <v>0</v>
      </c>
    </row>
    <row r="59" spans="1:104" outlineLevel="2">
      <c r="A59" s="133" t="s">
        <v>16</v>
      </c>
      <c r="B59" s="229">
        <f t="shared" si="12"/>
        <v>750000</v>
      </c>
      <c r="C59" s="229">
        <f t="shared" si="13"/>
        <v>739550</v>
      </c>
      <c r="D59" s="270">
        <f>+'leden 2025'!B58</f>
        <v>55000</v>
      </c>
      <c r="E59" s="270">
        <f>+'leden 2025'!C58</f>
        <v>55000</v>
      </c>
      <c r="F59" s="270">
        <f>+'únor 2025'!B58</f>
        <v>55000</v>
      </c>
      <c r="G59" s="270">
        <f>+'únor 2025'!C58</f>
        <v>55000</v>
      </c>
      <c r="H59" s="270">
        <f>+'březen 2025'!B58</f>
        <v>55000</v>
      </c>
      <c r="I59" s="270">
        <f>+'březen 2025'!C58</f>
        <v>55000</v>
      </c>
      <c r="J59" s="270">
        <f>+'duben 2025'!B58</f>
        <v>65000</v>
      </c>
      <c r="K59" s="270">
        <f>+'duben 2025'!C58</f>
        <v>65000</v>
      </c>
      <c r="L59" s="270">
        <f>+'květen 2025'!B59</f>
        <v>65000</v>
      </c>
      <c r="M59" s="270">
        <f>+'květen 2025'!C59</f>
        <v>65000</v>
      </c>
      <c r="N59" s="270">
        <f>+'červen 2025'!B59</f>
        <v>65000</v>
      </c>
      <c r="O59" s="270">
        <f>+'červen 2025'!C59</f>
        <v>65000</v>
      </c>
      <c r="P59" s="270">
        <f>+'červenec 2025'!B59</f>
        <v>65000</v>
      </c>
      <c r="Q59" s="270">
        <f>+'červenec 2025'!C59</f>
        <v>65000</v>
      </c>
      <c r="R59" s="270">
        <f>+'srpen 2025'!B59</f>
        <v>65000</v>
      </c>
      <c r="S59" s="270">
        <f>+'srpen 2025'!C59</f>
        <v>65000</v>
      </c>
      <c r="T59" s="270">
        <f>+'září 2025'!B59</f>
        <v>65000</v>
      </c>
      <c r="U59" s="270">
        <f>+'září 2025'!C59</f>
        <v>65000</v>
      </c>
      <c r="V59" s="270">
        <f>+'říjen 2025'!B59</f>
        <v>65000</v>
      </c>
      <c r="W59" s="270">
        <f>+'říjen 2025'!C59</f>
        <v>75000</v>
      </c>
      <c r="X59" s="270">
        <f>+'listopad 2025'!B59</f>
        <v>65000</v>
      </c>
      <c r="Y59" s="270">
        <f>+'listopad 2025'!C59</f>
        <v>109550</v>
      </c>
      <c r="Z59" s="270">
        <f>+'prosinec 2025'!B59</f>
        <v>65000</v>
      </c>
      <c r="AA59" s="270">
        <f>+'prosinec 2025'!C59</f>
        <v>0</v>
      </c>
    </row>
    <row r="60" spans="1:104" s="78" customFormat="1" outlineLevel="2">
      <c r="A60" s="134" t="s">
        <v>131</v>
      </c>
      <c r="B60" s="229">
        <f t="shared" si="12"/>
        <v>220000</v>
      </c>
      <c r="C60" s="229">
        <f t="shared" si="13"/>
        <v>225714</v>
      </c>
      <c r="D60" s="270">
        <f>+'leden 2025'!B59</f>
        <v>0</v>
      </c>
      <c r="E60" s="270">
        <f>+'leden 2025'!C59</f>
        <v>0</v>
      </c>
      <c r="F60" s="270">
        <f>+'únor 2025'!B59</f>
        <v>0</v>
      </c>
      <c r="G60" s="270">
        <f>+'únor 2025'!C59</f>
        <v>0</v>
      </c>
      <c r="H60" s="270">
        <f>+'březen 2025'!B59</f>
        <v>60000</v>
      </c>
      <c r="I60" s="270">
        <f>+'březen 2025'!C59</f>
        <v>60000</v>
      </c>
      <c r="J60" s="270">
        <f>+'duben 2025'!B59</f>
        <v>0</v>
      </c>
      <c r="K60" s="270">
        <f>+'duben 2025'!C59</f>
        <v>0</v>
      </c>
      <c r="L60" s="270">
        <f>+'květen 2025'!B60</f>
        <v>0</v>
      </c>
      <c r="M60" s="270">
        <f>+'květen 2025'!C60</f>
        <v>0</v>
      </c>
      <c r="N60" s="270">
        <f>+'červen 2025'!B60</f>
        <v>30000</v>
      </c>
      <c r="O60" s="270">
        <f>+'červen 2025'!C60</f>
        <v>35714</v>
      </c>
      <c r="P60" s="270">
        <f>+'červenec 2025'!B60</f>
        <v>0</v>
      </c>
      <c r="Q60" s="270">
        <f>+'červenec 2025'!C60</f>
        <v>0</v>
      </c>
      <c r="R60" s="270">
        <f>+'srpen 2025'!B60</f>
        <v>0</v>
      </c>
      <c r="S60" s="270">
        <f>+'srpen 2025'!C60</f>
        <v>0</v>
      </c>
      <c r="T60" s="270">
        <f>+'září 2025'!B60</f>
        <v>0</v>
      </c>
      <c r="U60" s="270">
        <f>+'září 2025'!C60</f>
        <v>0</v>
      </c>
      <c r="V60" s="270">
        <f>+'říjen 2025'!B60</f>
        <v>65000</v>
      </c>
      <c r="W60" s="270">
        <f>+'říjen 2025'!C60</f>
        <v>65000</v>
      </c>
      <c r="X60" s="270">
        <f>+'listopad 2025'!B60</f>
        <v>65000</v>
      </c>
      <c r="Y60" s="270">
        <f>+'listopad 2025'!C60</f>
        <v>65000</v>
      </c>
      <c r="Z60" s="270">
        <f>+'prosinec 2025'!B60</f>
        <v>0</v>
      </c>
      <c r="AA60" s="270">
        <f>+'prosinec 2025'!C60</f>
        <v>0</v>
      </c>
      <c r="AC60" s="339"/>
    </row>
    <row r="61" spans="1:104" outlineLevel="2">
      <c r="A61" s="132" t="s">
        <v>18</v>
      </c>
      <c r="B61" s="229">
        <f t="shared" si="12"/>
        <v>192000</v>
      </c>
      <c r="C61" s="229">
        <f t="shared" si="13"/>
        <v>176000</v>
      </c>
      <c r="D61" s="270">
        <f>+'leden 2025'!B60</f>
        <v>16000</v>
      </c>
      <c r="E61" s="270">
        <f>+'leden 2025'!C60</f>
        <v>16000</v>
      </c>
      <c r="F61" s="270">
        <f>+'únor 2025'!B60</f>
        <v>16000</v>
      </c>
      <c r="G61" s="270">
        <f>+'únor 2025'!C60</f>
        <v>16000</v>
      </c>
      <c r="H61" s="270">
        <f>+'březen 2025'!B60</f>
        <v>16000</v>
      </c>
      <c r="I61" s="270">
        <f>+'březen 2025'!C60</f>
        <v>16000</v>
      </c>
      <c r="J61" s="270">
        <f>+'duben 2025'!B60</f>
        <v>16000</v>
      </c>
      <c r="K61" s="270">
        <f>+'duben 2025'!C60</f>
        <v>16000</v>
      </c>
      <c r="L61" s="270">
        <f>+'květen 2025'!B61</f>
        <v>16000</v>
      </c>
      <c r="M61" s="270">
        <f>+'květen 2025'!C61</f>
        <v>16000</v>
      </c>
      <c r="N61" s="270">
        <f>+'červen 2025'!B61</f>
        <v>16000</v>
      </c>
      <c r="O61" s="270">
        <f>+'červen 2025'!C61</f>
        <v>16000</v>
      </c>
      <c r="P61" s="270">
        <f>+'červenec 2025'!B61</f>
        <v>16000</v>
      </c>
      <c r="Q61" s="270">
        <f>+'červenec 2025'!C61</f>
        <v>16000</v>
      </c>
      <c r="R61" s="270">
        <f>+'srpen 2025'!B61</f>
        <v>16000</v>
      </c>
      <c r="S61" s="270">
        <f>+'srpen 2025'!C61</f>
        <v>16000</v>
      </c>
      <c r="T61" s="270">
        <f>+'září 2025'!B61</f>
        <v>16000</v>
      </c>
      <c r="U61" s="270">
        <f>+'září 2025'!C61</f>
        <v>16000</v>
      </c>
      <c r="V61" s="270">
        <f>+'říjen 2025'!B61</f>
        <v>16000</v>
      </c>
      <c r="W61" s="270">
        <f>+'říjen 2025'!C61</f>
        <v>16000</v>
      </c>
      <c r="X61" s="270">
        <f>+'listopad 2025'!B61</f>
        <v>16000</v>
      </c>
      <c r="Y61" s="270">
        <f>+'listopad 2025'!C61</f>
        <v>16000</v>
      </c>
      <c r="Z61" s="270">
        <f>+'prosinec 2025'!B61</f>
        <v>16000</v>
      </c>
      <c r="AA61" s="270">
        <f>+'prosinec 2025'!C61</f>
        <v>0</v>
      </c>
    </row>
    <row r="62" spans="1:104" outlineLevel="2">
      <c r="A62" s="132" t="s">
        <v>49</v>
      </c>
      <c r="B62" s="229">
        <f t="shared" si="12"/>
        <v>1020000</v>
      </c>
      <c r="C62" s="229">
        <f t="shared" si="13"/>
        <v>935000</v>
      </c>
      <c r="D62" s="270">
        <f>+'leden 2025'!B61</f>
        <v>85000</v>
      </c>
      <c r="E62" s="270">
        <f>+'leden 2025'!C61</f>
        <v>85000</v>
      </c>
      <c r="F62" s="270">
        <f>+'únor 2025'!B61</f>
        <v>85000</v>
      </c>
      <c r="G62" s="270">
        <f>+'únor 2025'!C61</f>
        <v>85000</v>
      </c>
      <c r="H62" s="270">
        <f>+'březen 2025'!B61</f>
        <v>85000</v>
      </c>
      <c r="I62" s="270">
        <f>+'březen 2025'!C61</f>
        <v>85000</v>
      </c>
      <c r="J62" s="270">
        <f>+'duben 2025'!B61</f>
        <v>85000</v>
      </c>
      <c r="K62" s="270">
        <f>+'duben 2025'!C61</f>
        <v>85000</v>
      </c>
      <c r="L62" s="270">
        <f>+'květen 2025'!B62</f>
        <v>85000</v>
      </c>
      <c r="M62" s="270">
        <f>+'květen 2025'!C62</f>
        <v>85000</v>
      </c>
      <c r="N62" s="270">
        <f>+'červen 2025'!B62</f>
        <v>85000</v>
      </c>
      <c r="O62" s="270">
        <f>+'červen 2025'!C62</f>
        <v>85000</v>
      </c>
      <c r="P62" s="270">
        <f>+'červenec 2025'!B62</f>
        <v>85000</v>
      </c>
      <c r="Q62" s="270">
        <f>+'červenec 2025'!C62</f>
        <v>85000</v>
      </c>
      <c r="R62" s="270">
        <f>+'srpen 2025'!B62</f>
        <v>85000</v>
      </c>
      <c r="S62" s="270">
        <f>+'srpen 2025'!C62</f>
        <v>85000</v>
      </c>
      <c r="T62" s="270">
        <f>+'září 2025'!B62</f>
        <v>85000</v>
      </c>
      <c r="U62" s="270">
        <f>+'září 2025'!C62</f>
        <v>85000</v>
      </c>
      <c r="V62" s="270">
        <f>+'říjen 2025'!B62</f>
        <v>85000</v>
      </c>
      <c r="W62" s="270">
        <f>+'říjen 2025'!C62</f>
        <v>85000</v>
      </c>
      <c r="X62" s="270">
        <f>+'listopad 2025'!B62</f>
        <v>85000</v>
      </c>
      <c r="Y62" s="270">
        <f>+'listopad 2025'!C62</f>
        <v>85000</v>
      </c>
      <c r="Z62" s="270">
        <f>+'prosinec 2025'!B62</f>
        <v>85000</v>
      </c>
      <c r="AA62" s="270">
        <f>+'prosinec 2025'!C62</f>
        <v>0</v>
      </c>
    </row>
    <row r="63" spans="1:104" outlineLevel="2">
      <c r="A63" s="165" t="s">
        <v>114</v>
      </c>
      <c r="B63" s="229">
        <f t="shared" si="12"/>
        <v>1275000</v>
      </c>
      <c r="C63" s="229">
        <f t="shared" si="13"/>
        <v>1281500</v>
      </c>
      <c r="D63" s="270">
        <v>0</v>
      </c>
      <c r="E63" s="270">
        <v>0</v>
      </c>
      <c r="F63" s="270">
        <v>0</v>
      </c>
      <c r="G63" s="270">
        <v>0</v>
      </c>
      <c r="H63" s="270">
        <f>+'březen 2025'!B62</f>
        <v>155000</v>
      </c>
      <c r="I63" s="270">
        <f>+'březen 2025'!C62</f>
        <v>155000</v>
      </c>
      <c r="J63" s="270">
        <f>+'duben 2025'!B62</f>
        <v>160000</v>
      </c>
      <c r="K63" s="270">
        <f>+'duben 2025'!C62</f>
        <v>156500</v>
      </c>
      <c r="L63" s="270">
        <f>+'květen 2025'!B63</f>
        <v>160000</v>
      </c>
      <c r="M63" s="270">
        <f>+'květen 2025'!C63</f>
        <v>155000</v>
      </c>
      <c r="N63" s="270">
        <f>+'červen 2025'!B63</f>
        <v>160000</v>
      </c>
      <c r="O63" s="270">
        <f>+'červen 2025'!C63</f>
        <v>160000</v>
      </c>
      <c r="P63" s="270">
        <f>+'červenec 2025'!B63</f>
        <v>160000</v>
      </c>
      <c r="Q63" s="270">
        <f>+'červenec 2025'!C63</f>
        <v>160000</v>
      </c>
      <c r="R63" s="270">
        <f>+'srpen 2025'!B63</f>
        <v>160000</v>
      </c>
      <c r="S63" s="270">
        <f>+'srpen 2025'!C63</f>
        <v>160000</v>
      </c>
      <c r="T63" s="270">
        <f>+'září 2025'!B63</f>
        <v>160000</v>
      </c>
      <c r="U63" s="270">
        <f>+'září 2025'!C63</f>
        <v>160000</v>
      </c>
      <c r="V63" s="270">
        <f>+'říjen 2025'!B63</f>
        <v>160000</v>
      </c>
      <c r="W63" s="270">
        <f>+'říjen 2025'!C63</f>
        <v>175000</v>
      </c>
      <c r="X63" s="270">
        <f>+'listopad 2025'!B63</f>
        <v>0</v>
      </c>
      <c r="Y63" s="270">
        <f>+'listopad 2025'!C63</f>
        <v>0</v>
      </c>
      <c r="Z63" s="270">
        <f>+'prosinec 2025'!B63</f>
        <v>0</v>
      </c>
      <c r="AA63" s="270">
        <f>+'prosinec 2025'!C63</f>
        <v>0</v>
      </c>
    </row>
    <row r="64" spans="1:104" s="175" customFormat="1" outlineLevel="2">
      <c r="A64" s="165" t="s">
        <v>132</v>
      </c>
      <c r="B64" s="229">
        <f t="shared" si="12"/>
        <v>340000</v>
      </c>
      <c r="C64" s="229">
        <f t="shared" si="13"/>
        <v>280000</v>
      </c>
      <c r="D64" s="270">
        <f>+'leden 2025'!B62</f>
        <v>15000</v>
      </c>
      <c r="E64" s="270">
        <f>+'leden 2025'!C62</f>
        <v>15000</v>
      </c>
      <c r="F64" s="270">
        <f>+'únor 2025'!B62</f>
        <v>15000</v>
      </c>
      <c r="G64" s="270">
        <f>+'únor 2025'!C62</f>
        <v>15000</v>
      </c>
      <c r="H64" s="270">
        <f>+'březen 2025'!B63</f>
        <v>15000</v>
      </c>
      <c r="I64" s="270">
        <f>+'březen 2025'!C63</f>
        <v>15000</v>
      </c>
      <c r="J64" s="270">
        <f>+'duben 2025'!B63</f>
        <v>15000</v>
      </c>
      <c r="K64" s="270">
        <f>+'duben 2025'!C63</f>
        <v>15000</v>
      </c>
      <c r="L64" s="270">
        <f>+'květen 2025'!B64</f>
        <v>25000</v>
      </c>
      <c r="M64" s="270">
        <f>+'květen 2025'!C64</f>
        <v>25000</v>
      </c>
      <c r="N64" s="270">
        <f>+'červen 2025'!B64</f>
        <v>25000</v>
      </c>
      <c r="O64" s="270">
        <f>+'červen 2025'!C64</f>
        <v>25000</v>
      </c>
      <c r="P64" s="270">
        <f>+'červenec 2025'!B64</f>
        <v>25000</v>
      </c>
      <c r="Q64" s="270">
        <f>+'červenec 2025'!C64</f>
        <v>25000</v>
      </c>
      <c r="R64" s="270">
        <f>+'srpen 2025'!B64</f>
        <v>25000</v>
      </c>
      <c r="S64" s="270">
        <f>+'srpen 2025'!C64</f>
        <v>25000</v>
      </c>
      <c r="T64" s="270">
        <f>+'září 2025'!B64</f>
        <v>40000</v>
      </c>
      <c r="U64" s="270">
        <f>+'září 2025'!C64</f>
        <v>40000</v>
      </c>
      <c r="V64" s="270">
        <f>+'říjen 2025'!B64</f>
        <v>40000</v>
      </c>
      <c r="W64" s="270">
        <f>+'říjen 2025'!C64</f>
        <v>40000</v>
      </c>
      <c r="X64" s="270">
        <f>+'listopad 2025'!B64</f>
        <v>40000</v>
      </c>
      <c r="Y64" s="270">
        <f>+'listopad 2025'!C64</f>
        <v>40000</v>
      </c>
      <c r="Z64" s="270">
        <f>+'prosinec 2025'!B64</f>
        <v>60000</v>
      </c>
      <c r="AA64" s="270">
        <f>+'prosinec 2025'!C64</f>
        <v>0</v>
      </c>
      <c r="AC64" s="340"/>
    </row>
    <row r="65" spans="1:104" s="164" customFormat="1" outlineLevel="2">
      <c r="A65" s="134" t="s">
        <v>133</v>
      </c>
      <c r="B65" s="229">
        <f t="shared" si="12"/>
        <v>90000</v>
      </c>
      <c r="C65" s="229">
        <f t="shared" si="13"/>
        <v>60000</v>
      </c>
      <c r="D65" s="270">
        <f>+'leden 2025'!B63</f>
        <v>0</v>
      </c>
      <c r="E65" s="270">
        <f>+'leden 2025'!C63</f>
        <v>0</v>
      </c>
      <c r="F65" s="270">
        <f>+'únor 2025'!B63</f>
        <v>0</v>
      </c>
      <c r="G65" s="270">
        <f>+'únor 2025'!C63</f>
        <v>0</v>
      </c>
      <c r="H65" s="270">
        <v>0</v>
      </c>
      <c r="I65" s="270">
        <v>0</v>
      </c>
      <c r="J65" s="270">
        <v>0</v>
      </c>
      <c r="K65" s="270">
        <v>0</v>
      </c>
      <c r="L65" s="270">
        <f>+'květen 2025'!B65</f>
        <v>15000</v>
      </c>
      <c r="M65" s="270">
        <f>+'květen 2025'!C65</f>
        <v>15000</v>
      </c>
      <c r="N65" s="270">
        <f>+'červen 2025'!B65</f>
        <v>15000</v>
      </c>
      <c r="O65" s="270">
        <f>+'červen 2025'!C65</f>
        <v>15000</v>
      </c>
      <c r="P65" s="270">
        <f>+'červenec 2025'!B65</f>
        <v>15000</v>
      </c>
      <c r="Q65" s="270">
        <f>+'červenec 2025'!C65</f>
        <v>15000</v>
      </c>
      <c r="R65" s="270">
        <f>+'srpen 2025'!B65</f>
        <v>15000</v>
      </c>
      <c r="S65" s="270">
        <f>+'srpen 2025'!C65</f>
        <v>15000</v>
      </c>
      <c r="T65" s="270">
        <f>+'září 2025'!B65</f>
        <v>15000</v>
      </c>
      <c r="U65" s="270">
        <f>+'září 2025'!C65</f>
        <v>0</v>
      </c>
      <c r="V65" s="270">
        <f>+'říjen 2025'!B65</f>
        <v>0</v>
      </c>
      <c r="W65" s="270">
        <f>+'říjen 2025'!C65</f>
        <v>0</v>
      </c>
      <c r="X65" s="270">
        <f>+'listopad 2025'!B65</f>
        <v>0</v>
      </c>
      <c r="Y65" s="270">
        <f>+'listopad 2025'!C65</f>
        <v>0</v>
      </c>
      <c r="Z65" s="270">
        <f>+'prosinec 2025'!B65</f>
        <v>15000</v>
      </c>
      <c r="AA65" s="270">
        <f>+'prosinec 2025'!C65</f>
        <v>0</v>
      </c>
      <c r="AC65" s="341"/>
    </row>
    <row r="66" spans="1:104" s="242" customFormat="1" outlineLevel="1">
      <c r="A66" s="58" t="s">
        <v>52</v>
      </c>
      <c r="B66" s="96">
        <f t="shared" si="12"/>
        <v>2276660</v>
      </c>
      <c r="C66" s="96">
        <f t="shared" si="13"/>
        <v>1882030</v>
      </c>
      <c r="D66" s="271">
        <f>+'leden 2025'!B64</f>
        <v>73700</v>
      </c>
      <c r="E66" s="271">
        <f>+'leden 2025'!C64</f>
        <v>73700</v>
      </c>
      <c r="F66" s="271">
        <f>+'únor 2025'!B64</f>
        <v>73700</v>
      </c>
      <c r="G66" s="271">
        <f>+'únor 2025'!C64</f>
        <v>75710</v>
      </c>
      <c r="H66" s="271">
        <f>+'březen 2025'!B64</f>
        <v>73700</v>
      </c>
      <c r="I66" s="271">
        <f>+'březen 2025'!C64</f>
        <v>75710</v>
      </c>
      <c r="J66" s="271">
        <f>+'duben 2025'!B64</f>
        <v>154100</v>
      </c>
      <c r="K66" s="271">
        <f>+'duben 2025'!C64</f>
        <v>154100</v>
      </c>
      <c r="L66" s="271">
        <f>+'květen 2025'!B66</f>
        <v>154100</v>
      </c>
      <c r="M66" s="271">
        <f>+'květen 2025'!C66</f>
        <v>157450</v>
      </c>
      <c r="N66" s="271">
        <f>+'červen 2025'!B66</f>
        <v>154100</v>
      </c>
      <c r="O66" s="271">
        <f>+'červen 2025'!C66</f>
        <v>158120</v>
      </c>
      <c r="P66" s="271">
        <f>+'červenec 2025'!B66</f>
        <v>154100</v>
      </c>
      <c r="Q66" s="271">
        <f>+'červenec 2025'!C66</f>
        <v>154100</v>
      </c>
      <c r="R66" s="271">
        <f>+'srpen 2025'!B66</f>
        <v>154100</v>
      </c>
      <c r="S66" s="271">
        <f>+'srpen 2025'!C66</f>
        <v>158120</v>
      </c>
      <c r="T66" s="271">
        <f>+'září 2025'!B66</f>
        <v>196980</v>
      </c>
      <c r="U66" s="271">
        <f>+'září 2025'!C66</f>
        <v>198990</v>
      </c>
      <c r="V66" s="271">
        <f>+'říjen 2025'!B66</f>
        <v>263980</v>
      </c>
      <c r="W66" s="271">
        <f>+'říjen 2025'!C66</f>
        <v>270010</v>
      </c>
      <c r="X66" s="271">
        <f>+'listopad 2025'!B66</f>
        <v>402000</v>
      </c>
      <c r="Y66" s="271">
        <f>+'listopad 2025'!C66</f>
        <v>406020</v>
      </c>
      <c r="Z66" s="271">
        <f>+'prosinec 2025'!B66</f>
        <v>422100</v>
      </c>
      <c r="AA66" s="271">
        <f>+'prosinec 2025'!C66</f>
        <v>0</v>
      </c>
      <c r="AB66"/>
      <c r="AC66" s="33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</row>
    <row r="67" spans="1:104" outlineLevel="2">
      <c r="A67" s="133" t="s">
        <v>23</v>
      </c>
      <c r="B67" s="229">
        <f t="shared" si="12"/>
        <v>660000</v>
      </c>
      <c r="C67" s="229">
        <f t="shared" si="13"/>
        <v>615500</v>
      </c>
      <c r="D67" s="270">
        <f>+'leden 2025'!B65</f>
        <v>55000</v>
      </c>
      <c r="E67" s="270">
        <f>+'leden 2025'!C65</f>
        <v>55000</v>
      </c>
      <c r="F67" s="270">
        <f>+'únor 2025'!B65</f>
        <v>55000</v>
      </c>
      <c r="G67" s="270">
        <f>+'únor 2025'!C65</f>
        <v>56500</v>
      </c>
      <c r="H67" s="270">
        <f>+'březen 2025'!B65</f>
        <v>55000</v>
      </c>
      <c r="I67" s="270">
        <f>+'březen 2025'!C65</f>
        <v>56500</v>
      </c>
      <c r="J67" s="270">
        <f>+'duben 2025'!B65</f>
        <v>55000</v>
      </c>
      <c r="K67" s="270">
        <f>+'duben 2025'!C65</f>
        <v>55000</v>
      </c>
      <c r="L67" s="270">
        <f>+'květen 2025'!B67</f>
        <v>55000</v>
      </c>
      <c r="M67" s="270">
        <f>+'květen 2025'!C67</f>
        <v>56500</v>
      </c>
      <c r="N67" s="270">
        <f>+'červen 2025'!B67</f>
        <v>55000</v>
      </c>
      <c r="O67" s="270">
        <f>+'červen 2025'!C67</f>
        <v>56500</v>
      </c>
      <c r="P67" s="270">
        <f>+'červenec 2025'!B67</f>
        <v>55000</v>
      </c>
      <c r="Q67" s="270">
        <f>+'červenec 2025'!C67</f>
        <v>55000</v>
      </c>
      <c r="R67" s="270">
        <f>+'srpen 2025'!B67</f>
        <v>55000</v>
      </c>
      <c r="S67" s="270">
        <f>+'srpen 2025'!C67</f>
        <v>56500</v>
      </c>
      <c r="T67" s="270">
        <f>+'září 2025'!B67</f>
        <v>55000</v>
      </c>
      <c r="U67" s="270">
        <f>+'září 2025'!C67</f>
        <v>55000</v>
      </c>
      <c r="V67" s="270">
        <f>+'říjen 2025'!B67</f>
        <v>55000</v>
      </c>
      <c r="W67" s="270">
        <f>+'říjen 2025'!C67</f>
        <v>56500</v>
      </c>
      <c r="X67" s="270">
        <f>+'listopad 2025'!B67</f>
        <v>55000</v>
      </c>
      <c r="Y67" s="270">
        <f>+'listopad 2025'!C67</f>
        <v>56500</v>
      </c>
      <c r="Z67" s="270">
        <f>+'prosinec 2025'!B67</f>
        <v>55000</v>
      </c>
      <c r="AA67" s="270">
        <f>+'prosinec 2025'!C67</f>
        <v>0</v>
      </c>
    </row>
    <row r="68" spans="1:104" s="78" customFormat="1" outlineLevel="2">
      <c r="A68" s="165" t="s">
        <v>24</v>
      </c>
      <c r="B68" s="229">
        <f t="shared" si="12"/>
        <v>540000</v>
      </c>
      <c r="C68" s="229">
        <f t="shared" si="13"/>
        <v>490000</v>
      </c>
      <c r="D68" s="270">
        <f>+'leden 2025'!B66</f>
        <v>0</v>
      </c>
      <c r="E68" s="270">
        <f>+'leden 2025'!C66</f>
        <v>0</v>
      </c>
      <c r="F68" s="270">
        <f>+'únor 2025'!B66</f>
        <v>0</v>
      </c>
      <c r="G68" s="270">
        <f>+'únor 2025'!C66</f>
        <v>0</v>
      </c>
      <c r="H68" s="270">
        <f>+'březen 2025'!B66</f>
        <v>0</v>
      </c>
      <c r="I68" s="270">
        <f>+'březen 2025'!C66</f>
        <v>0</v>
      </c>
      <c r="J68" s="270">
        <f>+'duben 2025'!B66</f>
        <v>60000</v>
      </c>
      <c r="K68" s="270">
        <f>+'duben 2025'!C66</f>
        <v>60000</v>
      </c>
      <c r="L68" s="270">
        <f>+'květen 2025'!B68</f>
        <v>60000</v>
      </c>
      <c r="M68" s="270">
        <f>+'květen 2025'!C68</f>
        <v>61000</v>
      </c>
      <c r="N68" s="270">
        <f>+'červen 2025'!B68</f>
        <v>60000</v>
      </c>
      <c r="O68" s="270">
        <f>+'červen 2025'!C68</f>
        <v>61500</v>
      </c>
      <c r="P68" s="270">
        <f>+'červenec 2025'!B68</f>
        <v>60000</v>
      </c>
      <c r="Q68" s="270">
        <f>+'červenec 2025'!C68</f>
        <v>60000</v>
      </c>
      <c r="R68" s="270">
        <f>+'srpen 2025'!B68</f>
        <v>60000</v>
      </c>
      <c r="S68" s="270">
        <f>+'srpen 2025'!C68</f>
        <v>61500</v>
      </c>
      <c r="T68" s="270">
        <f>+'září 2025'!B68</f>
        <v>60000</v>
      </c>
      <c r="U68" s="270">
        <f>+'září 2025'!C68</f>
        <v>61500</v>
      </c>
      <c r="V68" s="270">
        <f>+'říjen 2025'!B68</f>
        <v>60000</v>
      </c>
      <c r="W68" s="270">
        <f>+'říjen 2025'!C68</f>
        <v>63000</v>
      </c>
      <c r="X68" s="270">
        <f>+'listopad 2025'!B68</f>
        <v>60000</v>
      </c>
      <c r="Y68" s="270">
        <f>+'listopad 2025'!C68</f>
        <v>61500</v>
      </c>
      <c r="Z68" s="270">
        <f>+'prosinec 2025'!B68</f>
        <v>60000</v>
      </c>
      <c r="AA68" s="270">
        <f>+'prosinec 2025'!C68</f>
        <v>0</v>
      </c>
      <c r="AC68" s="339"/>
    </row>
    <row r="69" spans="1:104" s="78" customFormat="1" outlineLevel="2">
      <c r="A69" s="134" t="s">
        <v>134</v>
      </c>
      <c r="B69" s="229">
        <f t="shared" si="12"/>
        <v>160000</v>
      </c>
      <c r="C69" s="229">
        <f t="shared" si="13"/>
        <v>100000</v>
      </c>
      <c r="D69" s="270">
        <f>+'leden 2025'!B67</f>
        <v>0</v>
      </c>
      <c r="E69" s="270">
        <f>+'leden 2025'!C67</f>
        <v>0</v>
      </c>
      <c r="F69" s="270">
        <f>+'únor 2025'!B67</f>
        <v>0</v>
      </c>
      <c r="G69" s="270">
        <f>+'únor 2025'!C67</f>
        <v>0</v>
      </c>
      <c r="H69" s="270">
        <f>+'březen 2025'!B67</f>
        <v>0</v>
      </c>
      <c r="I69" s="270">
        <f>+'březen 2025'!C67</f>
        <v>0</v>
      </c>
      <c r="J69" s="270">
        <f>+'duben 2025'!B67</f>
        <v>0</v>
      </c>
      <c r="K69" s="270">
        <f>+'duben 2025'!C67</f>
        <v>0</v>
      </c>
      <c r="L69" s="270">
        <f>+'květen 2025'!B69</f>
        <v>0</v>
      </c>
      <c r="M69" s="270">
        <f>+'květen 2025'!C69</f>
        <v>0</v>
      </c>
      <c r="N69" s="270">
        <f>+'červen 2025'!B69</f>
        <v>0</v>
      </c>
      <c r="O69" s="270">
        <f>+'červen 2025'!C69</f>
        <v>0</v>
      </c>
      <c r="P69" s="270">
        <f>+'červenec 2025'!B69</f>
        <v>0</v>
      </c>
      <c r="Q69" s="270">
        <f>+'červenec 2025'!C69</f>
        <v>0</v>
      </c>
      <c r="R69" s="270">
        <f>+'srpen 2025'!B69</f>
        <v>0</v>
      </c>
      <c r="S69" s="270">
        <f>+'srpen 2025'!C69</f>
        <v>0</v>
      </c>
      <c r="T69" s="270">
        <f>+'září 2025'!B69</f>
        <v>0</v>
      </c>
      <c r="U69" s="270">
        <f>+'září 2025'!C69</f>
        <v>0</v>
      </c>
      <c r="V69" s="270">
        <f>+'říjen 2025'!B69</f>
        <v>50000</v>
      </c>
      <c r="W69" s="270">
        <f>+'říjen 2025'!C69</f>
        <v>50000</v>
      </c>
      <c r="X69" s="270">
        <f>+'listopad 2025'!B69</f>
        <v>50000</v>
      </c>
      <c r="Y69" s="270">
        <f>+'listopad 2025'!C69</f>
        <v>50000</v>
      </c>
      <c r="Z69" s="270">
        <f>+'prosinec 2025'!B69</f>
        <v>60000</v>
      </c>
      <c r="AA69" s="270">
        <f>+'prosinec 2025'!C69</f>
        <v>0</v>
      </c>
      <c r="AC69" s="339"/>
    </row>
    <row r="70" spans="1:104" s="78" customFormat="1" outlineLevel="2">
      <c r="A70" s="165" t="s">
        <v>26</v>
      </c>
      <c r="B70" s="229">
        <f t="shared" si="12"/>
        <v>60000</v>
      </c>
      <c r="C70" s="229">
        <f t="shared" si="13"/>
        <v>0</v>
      </c>
      <c r="D70" s="270">
        <f>+'leden 2025'!B68</f>
        <v>0</v>
      </c>
      <c r="E70" s="270">
        <f>+'leden 2025'!C68</f>
        <v>0</v>
      </c>
      <c r="F70" s="270">
        <f>+'únor 2025'!B68</f>
        <v>0</v>
      </c>
      <c r="G70" s="270">
        <f>+'únor 2025'!C68</f>
        <v>0</v>
      </c>
      <c r="H70" s="270">
        <f>+'březen 2025'!B68</f>
        <v>0</v>
      </c>
      <c r="I70" s="270">
        <f>+'březen 2025'!C68</f>
        <v>0</v>
      </c>
      <c r="J70" s="270">
        <f>+'duben 2025'!B68</f>
        <v>0</v>
      </c>
      <c r="K70" s="270">
        <f>+'duben 2025'!C68</f>
        <v>0</v>
      </c>
      <c r="L70" s="270">
        <f>+'květen 2025'!B70</f>
        <v>0</v>
      </c>
      <c r="M70" s="270">
        <f>+'květen 2025'!C70</f>
        <v>0</v>
      </c>
      <c r="N70" s="270">
        <f>+'červen 2025'!B70</f>
        <v>0</v>
      </c>
      <c r="O70" s="270">
        <f>+'červen 2025'!C70</f>
        <v>0</v>
      </c>
      <c r="P70" s="270">
        <f>+'červenec 2025'!B70</f>
        <v>0</v>
      </c>
      <c r="Q70" s="270">
        <f>+'červenec 2025'!C70</f>
        <v>0</v>
      </c>
      <c r="R70" s="270">
        <f>+'srpen 2025'!B70</f>
        <v>0</v>
      </c>
      <c r="S70" s="270">
        <f>+'srpen 2025'!C70</f>
        <v>0</v>
      </c>
      <c r="T70" s="270">
        <f>+'září 2025'!B70</f>
        <v>0</v>
      </c>
      <c r="U70" s="270">
        <f>+'září 2025'!C70</f>
        <v>0</v>
      </c>
      <c r="V70" s="270">
        <f>+'říjen 2025'!B70</f>
        <v>0</v>
      </c>
      <c r="W70" s="270">
        <f>+'říjen 2025'!C70</f>
        <v>0</v>
      </c>
      <c r="X70" s="270">
        <f>+'listopad 2025'!B70</f>
        <v>0</v>
      </c>
      <c r="Y70" s="270">
        <f>+'listopad 2025'!C70</f>
        <v>0</v>
      </c>
      <c r="Z70" s="270">
        <f>+'prosinec 2025'!B70</f>
        <v>60000</v>
      </c>
      <c r="AA70" s="270">
        <f>+'prosinec 2025'!C70</f>
        <v>0</v>
      </c>
      <c r="AC70" s="339"/>
    </row>
    <row r="71" spans="1:104" s="78" customFormat="1" outlineLevel="2">
      <c r="A71" s="165" t="s">
        <v>135</v>
      </c>
      <c r="B71" s="229">
        <f t="shared" si="12"/>
        <v>160000</v>
      </c>
      <c r="C71" s="229">
        <f t="shared" si="13"/>
        <v>80000</v>
      </c>
      <c r="D71" s="270">
        <f>+'leden 2025'!B69</f>
        <v>0</v>
      </c>
      <c r="E71" s="270">
        <f>+'leden 2025'!C69</f>
        <v>0</v>
      </c>
      <c r="F71" s="270">
        <f>+'únor 2025'!B69</f>
        <v>0</v>
      </c>
      <c r="G71" s="270">
        <f>+'únor 2025'!C69</f>
        <v>0</v>
      </c>
      <c r="H71" s="270">
        <f>+'březen 2025'!B69</f>
        <v>0</v>
      </c>
      <c r="I71" s="270">
        <f>+'březen 2025'!C69</f>
        <v>0</v>
      </c>
      <c r="J71" s="270">
        <f>+'duben 2025'!B69</f>
        <v>0</v>
      </c>
      <c r="K71" s="270">
        <f>+'duben 2025'!C69</f>
        <v>0</v>
      </c>
      <c r="L71" s="270">
        <f>+'květen 2025'!B71</f>
        <v>0</v>
      </c>
      <c r="M71" s="270">
        <f>+'květen 2025'!C71</f>
        <v>0</v>
      </c>
      <c r="N71" s="270">
        <f>+'červen 2025'!B71</f>
        <v>0</v>
      </c>
      <c r="O71" s="270">
        <f>+'červen 2025'!C71</f>
        <v>0</v>
      </c>
      <c r="P71" s="270">
        <f>+'červenec 2025'!B71</f>
        <v>0</v>
      </c>
      <c r="Q71" s="270">
        <f>+'červenec 2025'!C71</f>
        <v>0</v>
      </c>
      <c r="R71" s="270">
        <f>+'srpen 2025'!B71</f>
        <v>0</v>
      </c>
      <c r="S71" s="270">
        <f>+'srpen 2025'!C71</f>
        <v>0</v>
      </c>
      <c r="T71" s="270">
        <f>+'září 2025'!B71</f>
        <v>0</v>
      </c>
      <c r="U71" s="270">
        <f>+'září 2025'!C71</f>
        <v>0</v>
      </c>
      <c r="V71" s="270">
        <f>+'říjen 2025'!B71</f>
        <v>0</v>
      </c>
      <c r="W71" s="270">
        <f>+'říjen 2025'!C71</f>
        <v>0</v>
      </c>
      <c r="X71" s="270">
        <f>+'listopad 2025'!B71</f>
        <v>80000</v>
      </c>
      <c r="Y71" s="270">
        <f>+'listopad 2025'!C71</f>
        <v>80000</v>
      </c>
      <c r="Z71" s="270">
        <f>+'prosinec 2025'!B71</f>
        <v>80000</v>
      </c>
      <c r="AA71" s="270">
        <f>+'prosinec 2025'!C71</f>
        <v>0</v>
      </c>
      <c r="AC71" s="339"/>
    </row>
    <row r="72" spans="1:104" s="78" customFormat="1" outlineLevel="2">
      <c r="A72" s="134" t="s">
        <v>28</v>
      </c>
      <c r="B72" s="229">
        <f t="shared" si="12"/>
        <v>0</v>
      </c>
      <c r="C72" s="229">
        <f t="shared" si="13"/>
        <v>0</v>
      </c>
      <c r="D72" s="270">
        <f>+'leden 2025'!B70</f>
        <v>0</v>
      </c>
      <c r="E72" s="270">
        <f>+'leden 2025'!C70</f>
        <v>0</v>
      </c>
      <c r="F72" s="270">
        <f>+'únor 2025'!B70</f>
        <v>0</v>
      </c>
      <c r="G72" s="270">
        <f>+'únor 2025'!C70</f>
        <v>0</v>
      </c>
      <c r="H72" s="270">
        <f>+'březen 2025'!B70</f>
        <v>0</v>
      </c>
      <c r="I72" s="270">
        <f>+'březen 2025'!C70</f>
        <v>0</v>
      </c>
      <c r="J72" s="270">
        <f>+'duben 2025'!B70</f>
        <v>0</v>
      </c>
      <c r="K72" s="270">
        <f>+'duben 2025'!C70</f>
        <v>0</v>
      </c>
      <c r="L72" s="270">
        <f>+'květen 2025'!B72</f>
        <v>0</v>
      </c>
      <c r="M72" s="270">
        <f>+'květen 2025'!C72</f>
        <v>0</v>
      </c>
      <c r="N72" s="270">
        <f>+'červen 2025'!B72</f>
        <v>0</v>
      </c>
      <c r="O72" s="270">
        <f>+'červen 2025'!C72</f>
        <v>0</v>
      </c>
      <c r="P72" s="270">
        <f>+'červenec 2025'!B72</f>
        <v>0</v>
      </c>
      <c r="Q72" s="270">
        <f>+'červenec 2025'!C72</f>
        <v>0</v>
      </c>
      <c r="R72" s="270">
        <f>+'srpen 2025'!B72</f>
        <v>0</v>
      </c>
      <c r="S72" s="270">
        <f>+'srpen 2025'!C72</f>
        <v>0</v>
      </c>
      <c r="T72" s="270">
        <f>+'září 2025'!B72</f>
        <v>0</v>
      </c>
      <c r="U72" s="270">
        <f>+'září 2025'!C72</f>
        <v>0</v>
      </c>
      <c r="V72" s="270">
        <f>+'říjen 2025'!B72</f>
        <v>0</v>
      </c>
      <c r="W72" s="270">
        <f>+'říjen 2025'!C72</f>
        <v>0</v>
      </c>
      <c r="X72" s="270">
        <f>+'listopad 2025'!B72</f>
        <v>0</v>
      </c>
      <c r="Y72" s="270">
        <f>+'listopad 2025'!C72</f>
        <v>0</v>
      </c>
      <c r="Z72" s="270">
        <f>+'prosinec 2025'!B72</f>
        <v>0</v>
      </c>
      <c r="AA72" s="270">
        <f>+'prosinec 2025'!C72</f>
        <v>0</v>
      </c>
      <c r="AC72" s="339"/>
    </row>
    <row r="73" spans="1:104" s="78" customFormat="1" outlineLevel="2">
      <c r="A73" s="165" t="s">
        <v>136</v>
      </c>
      <c r="B73" s="229">
        <f t="shared" si="12"/>
        <v>104000</v>
      </c>
      <c r="C73" s="229">
        <f t="shared" si="13"/>
        <v>104000</v>
      </c>
      <c r="D73" s="270">
        <f>+'leden 2025'!B71</f>
        <v>0</v>
      </c>
      <c r="E73" s="270">
        <f>+'leden 2025'!C71</f>
        <v>0</v>
      </c>
      <c r="F73" s="270">
        <f>+'únor 2025'!B71</f>
        <v>0</v>
      </c>
      <c r="G73" s="270">
        <f>+'únor 2025'!C71</f>
        <v>0</v>
      </c>
      <c r="H73" s="270">
        <f>+'březen 2025'!B71</f>
        <v>0</v>
      </c>
      <c r="I73" s="270">
        <f>+'březen 2025'!C71</f>
        <v>0</v>
      </c>
      <c r="J73" s="270">
        <f>+'duben 2025'!B71</f>
        <v>0</v>
      </c>
      <c r="K73" s="270">
        <f>+'duben 2025'!C71</f>
        <v>0</v>
      </c>
      <c r="L73" s="270">
        <f>+'květen 2025'!B73</f>
        <v>0</v>
      </c>
      <c r="M73" s="270">
        <f>+'květen 2025'!C73</f>
        <v>0</v>
      </c>
      <c r="N73" s="270">
        <f>+'červen 2025'!B73</f>
        <v>0</v>
      </c>
      <c r="O73" s="270">
        <f>+'červen 2025'!C73</f>
        <v>0</v>
      </c>
      <c r="P73" s="270">
        <f>+'červenec 2025'!B73</f>
        <v>0</v>
      </c>
      <c r="Q73" s="270">
        <f>+'červenec 2025'!C73</f>
        <v>0</v>
      </c>
      <c r="R73" s="270">
        <f>+'srpen 2025'!B73</f>
        <v>0</v>
      </c>
      <c r="S73" s="270">
        <f>+'srpen 2025'!C73</f>
        <v>0</v>
      </c>
      <c r="T73" s="270">
        <f>+'září 2025'!B73</f>
        <v>32000</v>
      </c>
      <c r="U73" s="270">
        <f>+'září 2025'!C73</f>
        <v>32000</v>
      </c>
      <c r="V73" s="270">
        <f>+'říjen 2025'!B73</f>
        <v>32000</v>
      </c>
      <c r="W73" s="270">
        <f>+'říjen 2025'!C73</f>
        <v>32000</v>
      </c>
      <c r="X73" s="270">
        <f>+'listopad 2025'!B73</f>
        <v>40000</v>
      </c>
      <c r="Y73" s="270">
        <f>+'listopad 2025'!C73</f>
        <v>40000</v>
      </c>
      <c r="Z73" s="270">
        <f>+'prosinec 2025'!B73</f>
        <v>0</v>
      </c>
      <c r="AA73" s="270">
        <f>+'prosinec 2025'!C73</f>
        <v>0</v>
      </c>
      <c r="AC73" s="339"/>
    </row>
    <row r="74" spans="1:104" s="78" customFormat="1" outlineLevel="2">
      <c r="A74" s="134" t="s">
        <v>21</v>
      </c>
      <c r="B74" s="229">
        <f t="shared" si="12"/>
        <v>15000</v>
      </c>
      <c r="C74" s="229">
        <f t="shared" si="13"/>
        <v>15000</v>
      </c>
      <c r="D74" s="270">
        <f>+'leden 2025'!B72</f>
        <v>0</v>
      </c>
      <c r="E74" s="270">
        <f>+'leden 2025'!C72</f>
        <v>0</v>
      </c>
      <c r="F74" s="270">
        <f>+'únor 2025'!B72</f>
        <v>0</v>
      </c>
      <c r="G74" s="270">
        <f>+'únor 2025'!C72</f>
        <v>0</v>
      </c>
      <c r="H74" s="270">
        <f>+'březen 2025'!B72</f>
        <v>0</v>
      </c>
      <c r="I74" s="270">
        <f>+'březen 2025'!C72</f>
        <v>0</v>
      </c>
      <c r="J74" s="270">
        <f>+'duben 2025'!B72</f>
        <v>0</v>
      </c>
      <c r="K74" s="270">
        <f>+'duben 2025'!C72</f>
        <v>0</v>
      </c>
      <c r="L74" s="270">
        <f>+'květen 2025'!B74</f>
        <v>0</v>
      </c>
      <c r="M74" s="270">
        <f>+'květen 2025'!C74</f>
        <v>0</v>
      </c>
      <c r="N74" s="270">
        <f>+'červen 2025'!B74</f>
        <v>0</v>
      </c>
      <c r="O74" s="270">
        <f>+'červen 2025'!C74</f>
        <v>0</v>
      </c>
      <c r="P74" s="270">
        <f>+'červenec 2025'!B74</f>
        <v>0</v>
      </c>
      <c r="Q74" s="270">
        <f>+'červenec 2025'!C74</f>
        <v>0</v>
      </c>
      <c r="R74" s="270">
        <f>+'srpen 2025'!B74</f>
        <v>0</v>
      </c>
      <c r="S74" s="270">
        <f>+'srpen 2025'!C74</f>
        <v>0</v>
      </c>
      <c r="T74" s="270">
        <f>+'září 2025'!B74</f>
        <v>0</v>
      </c>
      <c r="U74" s="270">
        <f>+'září 2025'!C74</f>
        <v>0</v>
      </c>
      <c r="V74" s="270">
        <f>+'říjen 2025'!B74</f>
        <v>0</v>
      </c>
      <c r="W74" s="270">
        <f>+'říjen 2025'!C74</f>
        <v>0</v>
      </c>
      <c r="X74" s="270">
        <f>+'listopad 2025'!B74</f>
        <v>15000</v>
      </c>
      <c r="Y74" s="270">
        <f>+'listopad 2025'!C74</f>
        <v>15000</v>
      </c>
      <c r="Z74" s="270">
        <f>+'prosinec 2025'!B74</f>
        <v>0</v>
      </c>
      <c r="AA74" s="270">
        <f>+'prosinec 2025'!C74</f>
        <v>0</v>
      </c>
      <c r="AC74" s="339"/>
    </row>
    <row r="75" spans="1:104" s="259" customFormat="1" outlineLevel="1">
      <c r="A75" s="57" t="s">
        <v>58</v>
      </c>
      <c r="B75" s="98">
        <f t="shared" si="12"/>
        <v>2761740</v>
      </c>
      <c r="C75" s="98">
        <f t="shared" si="13"/>
        <v>2365770</v>
      </c>
      <c r="D75" s="272">
        <f>+'leden 2025'!B73</f>
        <v>100500</v>
      </c>
      <c r="E75" s="272">
        <f>+'leden 2025'!C73</f>
        <v>104520</v>
      </c>
      <c r="F75" s="272">
        <f>+'únor 2025'!B73</f>
        <v>100500</v>
      </c>
      <c r="G75" s="272">
        <f>+'únor 2025'!C73</f>
        <v>102510</v>
      </c>
      <c r="H75" s="272">
        <f>+'březen 2025'!B73</f>
        <v>100500</v>
      </c>
      <c r="I75" s="272">
        <f>+'březen 2025'!C73</f>
        <v>104520</v>
      </c>
      <c r="J75" s="272">
        <f>+'duben 2025'!B73</f>
        <v>100500</v>
      </c>
      <c r="K75" s="272">
        <f>+'duben 2025'!C73</f>
        <v>102510</v>
      </c>
      <c r="L75" s="272">
        <f>+'květen 2025'!B75</f>
        <v>254600.00000000003</v>
      </c>
      <c r="M75" s="272">
        <f>+'květen 2025'!C75</f>
        <v>251920.00000000003</v>
      </c>
      <c r="N75" s="272">
        <f>+'červen 2025'!B75</f>
        <v>251920.00000000003</v>
      </c>
      <c r="O75" s="272">
        <f>+'červen 2025'!C75</f>
        <v>240530</v>
      </c>
      <c r="P75" s="272">
        <f>+'červenec 2025'!B75</f>
        <v>238520</v>
      </c>
      <c r="Q75" s="272">
        <f>+'červenec 2025'!C75</f>
        <v>247230.00000000003</v>
      </c>
      <c r="R75" s="272">
        <f>+'srpen 2025'!B75</f>
        <v>238520</v>
      </c>
      <c r="S75" s="272">
        <f>+'srpen 2025'!C75</f>
        <v>242540</v>
      </c>
      <c r="T75" s="272">
        <f>+'září 2025'!B75</f>
        <v>258620.00000000003</v>
      </c>
      <c r="U75" s="272">
        <f>+'září 2025'!C75</f>
        <v>262640</v>
      </c>
      <c r="V75" s="272">
        <f>+'říjen 2025'!B75</f>
        <v>258620.00000000003</v>
      </c>
      <c r="W75" s="272">
        <f>+'říjen 2025'!C75</f>
        <v>260630.00000000003</v>
      </c>
      <c r="X75" s="272">
        <f>+'listopad 2025'!B75</f>
        <v>439520</v>
      </c>
      <c r="Y75" s="272">
        <f>+'listopad 2025'!C75</f>
        <v>446220</v>
      </c>
      <c r="Z75" s="272">
        <f>+'prosinec 2025'!B75</f>
        <v>419420</v>
      </c>
      <c r="AA75" s="272">
        <f>+'prosinec 2025'!C75</f>
        <v>0</v>
      </c>
      <c r="AB75"/>
      <c r="AC75" s="33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</row>
    <row r="76" spans="1:104" outlineLevel="2">
      <c r="A76" s="165" t="s">
        <v>30</v>
      </c>
      <c r="B76" s="229">
        <f t="shared" si="12"/>
        <v>840000</v>
      </c>
      <c r="C76" s="229">
        <f t="shared" si="13"/>
        <v>780500</v>
      </c>
      <c r="D76" s="270">
        <f>+'leden 2025'!B74</f>
        <v>75000</v>
      </c>
      <c r="E76" s="270">
        <f>+'leden 2025'!C74</f>
        <v>78000</v>
      </c>
      <c r="F76" s="270">
        <f>+'únor 2025'!B74</f>
        <v>75000</v>
      </c>
      <c r="G76" s="270">
        <f>+'únor 2025'!C74</f>
        <v>76500</v>
      </c>
      <c r="H76" s="270">
        <f>+'březen 2025'!B74</f>
        <v>75000</v>
      </c>
      <c r="I76" s="270">
        <f>+'březen 2025'!C74</f>
        <v>78000</v>
      </c>
      <c r="J76" s="270">
        <f>+'duben 2025'!B74</f>
        <v>75000</v>
      </c>
      <c r="K76" s="270">
        <f>+'duben 2025'!C74</f>
        <v>76500</v>
      </c>
      <c r="L76" s="270">
        <f>+'květen 2025'!B76</f>
        <v>75000</v>
      </c>
      <c r="M76" s="270">
        <f>+'květen 2025'!C76</f>
        <v>75000</v>
      </c>
      <c r="N76" s="270">
        <f>+'červen 2025'!B76</f>
        <v>75000</v>
      </c>
      <c r="O76" s="270">
        <f>+'červen 2025'!C76</f>
        <v>66500</v>
      </c>
      <c r="P76" s="270">
        <f>+'červenec 2025'!B76</f>
        <v>65000</v>
      </c>
      <c r="Q76" s="270">
        <f>+'červenec 2025'!C76</f>
        <v>66500</v>
      </c>
      <c r="R76" s="270">
        <f>+'srpen 2025'!B76</f>
        <v>65000</v>
      </c>
      <c r="S76" s="270">
        <f>+'srpen 2025'!C76</f>
        <v>65000</v>
      </c>
      <c r="T76" s="270">
        <f>+'září 2025'!B76</f>
        <v>65000</v>
      </c>
      <c r="U76" s="270">
        <f>+'září 2025'!C76</f>
        <v>66500</v>
      </c>
      <c r="V76" s="270">
        <f>+'říjen 2025'!B76</f>
        <v>65000</v>
      </c>
      <c r="W76" s="270">
        <f>+'říjen 2025'!C76</f>
        <v>65000</v>
      </c>
      <c r="X76" s="270">
        <f>+'listopad 2025'!B76</f>
        <v>65000</v>
      </c>
      <c r="Y76" s="270">
        <f>+'listopad 2025'!C76</f>
        <v>67000</v>
      </c>
      <c r="Z76" s="270">
        <f>+'prosinec 2025'!B76</f>
        <v>65000</v>
      </c>
      <c r="AA76" s="270">
        <f>+'prosinec 2025'!C76</f>
        <v>0</v>
      </c>
    </row>
    <row r="77" spans="1:104" s="78" customFormat="1" outlineLevel="2">
      <c r="A77" s="165" t="s">
        <v>117</v>
      </c>
      <c r="B77" s="229">
        <f t="shared" si="12"/>
        <v>466000</v>
      </c>
      <c r="C77" s="229">
        <f t="shared" si="13"/>
        <v>415000</v>
      </c>
      <c r="D77" s="270">
        <f>+'leden 2025'!B75</f>
        <v>0</v>
      </c>
      <c r="E77" s="270">
        <f>+'leden 2025'!C75</f>
        <v>0</v>
      </c>
      <c r="F77" s="270">
        <f>+'únor 2025'!B75</f>
        <v>0</v>
      </c>
      <c r="G77" s="270">
        <f>+'únor 2025'!C75</f>
        <v>0</v>
      </c>
      <c r="H77" s="270">
        <f>+'březen 2025'!B75</f>
        <v>0</v>
      </c>
      <c r="I77" s="270">
        <f>+'březen 2025'!C75</f>
        <v>0</v>
      </c>
      <c r="J77" s="270">
        <f>+'duben 2025'!B75</f>
        <v>0</v>
      </c>
      <c r="K77" s="270">
        <f>+'duben 2025'!C75</f>
        <v>0</v>
      </c>
      <c r="L77" s="270">
        <f>+'květen 2025'!B77</f>
        <v>60000</v>
      </c>
      <c r="M77" s="270">
        <f>+'květen 2025'!C77</f>
        <v>58000</v>
      </c>
      <c r="N77" s="270">
        <f>+'červen 2025'!B77</f>
        <v>58000</v>
      </c>
      <c r="O77" s="270">
        <f>+'červen 2025'!C77</f>
        <v>58000</v>
      </c>
      <c r="P77" s="270">
        <f>+'červenec 2025'!B77</f>
        <v>58000</v>
      </c>
      <c r="Q77" s="270">
        <f>+'červenec 2025'!C77</f>
        <v>61000</v>
      </c>
      <c r="R77" s="270">
        <f>+'srpen 2025'!B77</f>
        <v>58000</v>
      </c>
      <c r="S77" s="270">
        <f>+'srpen 2025'!C77</f>
        <v>59500</v>
      </c>
      <c r="T77" s="270">
        <f>+'září 2025'!B77</f>
        <v>58000</v>
      </c>
      <c r="U77" s="270">
        <f>+'září 2025'!C77</f>
        <v>59500</v>
      </c>
      <c r="V77" s="270">
        <f>+'říjen 2025'!B77</f>
        <v>58000</v>
      </c>
      <c r="W77" s="270">
        <f>+'říjen 2025'!C77</f>
        <v>58000</v>
      </c>
      <c r="X77" s="270">
        <f>+'listopad 2025'!B77</f>
        <v>58000</v>
      </c>
      <c r="Y77" s="270">
        <f>+'listopad 2025'!C77</f>
        <v>61000</v>
      </c>
      <c r="Z77" s="270">
        <f>+'prosinec 2025'!B77</f>
        <v>58000</v>
      </c>
      <c r="AA77" s="270">
        <f>+'prosinec 2025'!C77</f>
        <v>0</v>
      </c>
      <c r="AC77" s="339"/>
    </row>
    <row r="78" spans="1:104" s="78" customFormat="1" outlineLevel="2">
      <c r="A78" s="165" t="s">
        <v>118</v>
      </c>
      <c r="B78" s="229">
        <f t="shared" si="12"/>
        <v>440000</v>
      </c>
      <c r="C78" s="229">
        <f t="shared" si="13"/>
        <v>390000</v>
      </c>
      <c r="D78" s="270">
        <f>+'leden 2025'!B76</f>
        <v>0</v>
      </c>
      <c r="E78" s="270">
        <f>+'leden 2025'!C76</f>
        <v>0</v>
      </c>
      <c r="F78" s="270">
        <f>+'únor 2025'!B76</f>
        <v>0</v>
      </c>
      <c r="G78" s="270">
        <f>+'únor 2025'!C76</f>
        <v>0</v>
      </c>
      <c r="H78" s="270">
        <f>+'březen 2025'!B76</f>
        <v>0</v>
      </c>
      <c r="I78" s="270">
        <f>+'březen 2025'!C76</f>
        <v>0</v>
      </c>
      <c r="J78" s="270">
        <f>+'duben 2025'!B76</f>
        <v>0</v>
      </c>
      <c r="K78" s="270">
        <f>+'duben 2025'!C76</f>
        <v>0</v>
      </c>
      <c r="L78" s="270">
        <f>+'květen 2025'!B78</f>
        <v>55000</v>
      </c>
      <c r="M78" s="270">
        <f>+'květen 2025'!C78</f>
        <v>55000</v>
      </c>
      <c r="N78" s="270">
        <f>+'červen 2025'!B78</f>
        <v>55000</v>
      </c>
      <c r="O78" s="270">
        <f>+'červen 2025'!C78</f>
        <v>55000</v>
      </c>
      <c r="P78" s="270">
        <f>+'červenec 2025'!B78</f>
        <v>55000</v>
      </c>
      <c r="Q78" s="270">
        <f>+'červenec 2025'!C78</f>
        <v>57000</v>
      </c>
      <c r="R78" s="270">
        <f>+'srpen 2025'!B78</f>
        <v>55000</v>
      </c>
      <c r="S78" s="270">
        <f>+'srpen 2025'!C78</f>
        <v>56500</v>
      </c>
      <c r="T78" s="270">
        <f>+'září 2025'!B78</f>
        <v>55000</v>
      </c>
      <c r="U78" s="270">
        <f>+'září 2025'!C78</f>
        <v>55000</v>
      </c>
      <c r="V78" s="270">
        <f>+'říjen 2025'!B78</f>
        <v>55000</v>
      </c>
      <c r="W78" s="270">
        <f>+'říjen 2025'!C78</f>
        <v>56500</v>
      </c>
      <c r="X78" s="270">
        <f>+'listopad 2025'!B78</f>
        <v>55000</v>
      </c>
      <c r="Y78" s="270">
        <f>+'listopad 2025'!C78</f>
        <v>55000</v>
      </c>
      <c r="Z78" s="270">
        <f>+'prosinec 2025'!B78</f>
        <v>55000</v>
      </c>
      <c r="AA78" s="270">
        <f>+'prosinec 2025'!C78</f>
        <v>0</v>
      </c>
      <c r="AC78" s="339"/>
    </row>
    <row r="79" spans="1:104" s="78" customFormat="1" outlineLevel="2">
      <c r="A79" s="165" t="s">
        <v>33</v>
      </c>
      <c r="B79" s="229">
        <f t="shared" si="12"/>
        <v>110000</v>
      </c>
      <c r="C79" s="229">
        <f t="shared" si="13"/>
        <v>55000</v>
      </c>
      <c r="D79" s="270">
        <f>+'leden 2025'!B77</f>
        <v>0</v>
      </c>
      <c r="E79" s="270">
        <f>+'leden 2025'!C77</f>
        <v>0</v>
      </c>
      <c r="F79" s="270">
        <f>+'únor 2025'!B77</f>
        <v>0</v>
      </c>
      <c r="G79" s="270">
        <f>+'únor 2025'!C77</f>
        <v>0</v>
      </c>
      <c r="H79" s="270">
        <f>+'březen 2025'!B77</f>
        <v>0</v>
      </c>
      <c r="I79" s="270">
        <f>+'březen 2025'!C77</f>
        <v>0</v>
      </c>
      <c r="J79" s="270">
        <f>+'duben 2025'!B77</f>
        <v>0</v>
      </c>
      <c r="K79" s="270">
        <f>+'duben 2025'!C77</f>
        <v>0</v>
      </c>
      <c r="L79" s="270">
        <f>+'květen 2025'!B79</f>
        <v>0</v>
      </c>
      <c r="M79" s="270">
        <v>0</v>
      </c>
      <c r="N79" s="270">
        <f>+'červen 2025'!B79</f>
        <v>0</v>
      </c>
      <c r="O79" s="270">
        <v>0</v>
      </c>
      <c r="P79" s="270">
        <f>+'červenec 2025'!B79</f>
        <v>0</v>
      </c>
      <c r="Q79" s="270">
        <v>0</v>
      </c>
      <c r="R79" s="270">
        <f>+'srpen 2025'!B79</f>
        <v>0</v>
      </c>
      <c r="S79" s="270">
        <v>0</v>
      </c>
      <c r="T79" s="270">
        <f>+'září 2025'!B79</f>
        <v>0</v>
      </c>
      <c r="U79" s="270">
        <v>0</v>
      </c>
      <c r="V79" s="270">
        <f>+'říjen 2025'!B79</f>
        <v>0</v>
      </c>
      <c r="W79" s="270">
        <v>0</v>
      </c>
      <c r="X79" s="270">
        <f>+'listopad 2025'!B79</f>
        <v>55000</v>
      </c>
      <c r="Y79" s="270">
        <f>+'listopad 2025'!C79</f>
        <v>55000</v>
      </c>
      <c r="Z79" s="270">
        <f>+'prosinec 2025'!B79</f>
        <v>55000</v>
      </c>
      <c r="AA79" s="270">
        <f>+'prosinec 2025'!C79</f>
        <v>0</v>
      </c>
      <c r="AC79" s="339"/>
    </row>
    <row r="80" spans="1:104" s="78" customFormat="1" outlineLevel="2">
      <c r="A80" s="134" t="s">
        <v>135</v>
      </c>
      <c r="B80" s="229">
        <f t="shared" si="12"/>
        <v>160000</v>
      </c>
      <c r="C80" s="229">
        <f t="shared" si="13"/>
        <v>80000</v>
      </c>
      <c r="D80" s="270">
        <f>+'leden 2025'!B78</f>
        <v>0</v>
      </c>
      <c r="E80" s="270">
        <f>+'leden 2025'!C78</f>
        <v>0</v>
      </c>
      <c r="F80" s="270">
        <f>+'únor 2025'!B78</f>
        <v>0</v>
      </c>
      <c r="G80" s="270">
        <f>+'únor 2025'!C78</f>
        <v>0</v>
      </c>
      <c r="H80" s="270">
        <f>+'březen 2025'!B78</f>
        <v>0</v>
      </c>
      <c r="I80" s="270">
        <f>+'březen 2025'!C78</f>
        <v>0</v>
      </c>
      <c r="J80" s="270">
        <f>+'duben 2025'!B78</f>
        <v>0</v>
      </c>
      <c r="K80" s="270">
        <f>+'duben 2025'!C78</f>
        <v>0</v>
      </c>
      <c r="L80" s="270">
        <f>+'květen 2025'!B80</f>
        <v>0</v>
      </c>
      <c r="M80" s="270">
        <f>+'květen 2025'!C80</f>
        <v>0</v>
      </c>
      <c r="N80" s="270">
        <f>+'červen 2025'!B80</f>
        <v>0</v>
      </c>
      <c r="O80" s="270">
        <f>+'červen 2025'!C80</f>
        <v>0</v>
      </c>
      <c r="P80" s="270">
        <f>+'červenec 2025'!B80</f>
        <v>0</v>
      </c>
      <c r="Q80" s="270">
        <f>+'červenec 2025'!C80</f>
        <v>0</v>
      </c>
      <c r="R80" s="270">
        <f>+'srpen 2025'!B80</f>
        <v>0</v>
      </c>
      <c r="S80" s="270">
        <f>+'srpen 2025'!C80</f>
        <v>0</v>
      </c>
      <c r="T80" s="270">
        <f>+'září 2025'!B80</f>
        <v>0</v>
      </c>
      <c r="U80" s="270">
        <f>+'září 2025'!C80</f>
        <v>0</v>
      </c>
      <c r="V80" s="270">
        <f>+'říjen 2025'!B80</f>
        <v>0</v>
      </c>
      <c r="W80" s="270">
        <f>+'říjen 2025'!C80</f>
        <v>0</v>
      </c>
      <c r="X80" s="270">
        <f>+'listopad 2025'!B80</f>
        <v>80000</v>
      </c>
      <c r="Y80" s="270">
        <f>+'listopad 2025'!C80</f>
        <v>80000</v>
      </c>
      <c r="Z80" s="270">
        <f>+'prosinec 2025'!B80</f>
        <v>80000</v>
      </c>
      <c r="AA80" s="270">
        <f>+'prosinec 2025'!C80</f>
        <v>0</v>
      </c>
      <c r="AC80" s="339"/>
    </row>
    <row r="81" spans="1:104" s="78" customFormat="1" outlineLevel="2">
      <c r="A81" s="308" t="s">
        <v>28</v>
      </c>
      <c r="B81" s="229">
        <f t="shared" si="12"/>
        <v>0</v>
      </c>
      <c r="C81" s="229">
        <f t="shared" si="13"/>
        <v>0</v>
      </c>
      <c r="D81" s="270">
        <f>+'leden 2025'!B79</f>
        <v>0</v>
      </c>
      <c r="E81" s="270">
        <f>+'leden 2025'!C79</f>
        <v>0</v>
      </c>
      <c r="F81" s="270">
        <f>+'únor 2025'!B79</f>
        <v>0</v>
      </c>
      <c r="G81" s="270">
        <f>+'únor 2025'!C79</f>
        <v>0</v>
      </c>
      <c r="H81" s="270">
        <f>+'březen 2025'!B79</f>
        <v>0</v>
      </c>
      <c r="I81" s="270">
        <f>+'březen 2025'!C79</f>
        <v>0</v>
      </c>
      <c r="J81" s="270">
        <f>+'duben 2025'!B79</f>
        <v>0</v>
      </c>
      <c r="K81" s="270">
        <f>+'duben 2025'!C79</f>
        <v>0</v>
      </c>
      <c r="L81" s="270">
        <f>+'květen 2025'!B81</f>
        <v>0</v>
      </c>
      <c r="M81" s="270">
        <f>+'květen 2025'!C81</f>
        <v>0</v>
      </c>
      <c r="N81" s="270">
        <f>+'červen 2025'!B81</f>
        <v>0</v>
      </c>
      <c r="O81" s="270">
        <f>+'červen 2025'!C81</f>
        <v>0</v>
      </c>
      <c r="P81" s="270">
        <f>+'červenec 2025'!B81</f>
        <v>0</v>
      </c>
      <c r="Q81" s="270">
        <f>+'červenec 2025'!C81</f>
        <v>0</v>
      </c>
      <c r="R81" s="270">
        <f>+'srpen 2025'!B81</f>
        <v>0</v>
      </c>
      <c r="S81" s="270">
        <f>+'srpen 2025'!C81</f>
        <v>0</v>
      </c>
      <c r="T81" s="270">
        <f>+'září 2025'!B81</f>
        <v>0</v>
      </c>
      <c r="U81" s="270">
        <f>+'září 2025'!C81</f>
        <v>0</v>
      </c>
      <c r="V81" s="270">
        <f>+'říjen 2025'!B81</f>
        <v>0</v>
      </c>
      <c r="W81" s="270">
        <f>+'říjen 2025'!C81</f>
        <v>0</v>
      </c>
      <c r="X81" s="270">
        <f>+'listopad 2025'!B81</f>
        <v>0</v>
      </c>
      <c r="Y81" s="270">
        <f>+'listopad 2025'!C81</f>
        <v>0</v>
      </c>
      <c r="Z81" s="270">
        <f>+'prosinec 2025'!B81</f>
        <v>0</v>
      </c>
      <c r="AA81" s="270">
        <f>+'prosinec 2025'!C81</f>
        <v>0</v>
      </c>
      <c r="AC81" s="339"/>
    </row>
    <row r="82" spans="1:104" s="78" customFormat="1" outlineLevel="2">
      <c r="A82" s="301" t="s">
        <v>137</v>
      </c>
      <c r="B82" s="229">
        <f t="shared" si="12"/>
        <v>45000</v>
      </c>
      <c r="C82" s="229">
        <f t="shared" si="13"/>
        <v>45000</v>
      </c>
      <c r="D82" s="270">
        <f>+'leden 2025'!B80</f>
        <v>0</v>
      </c>
      <c r="E82" s="270">
        <f>+'leden 2025'!C80</f>
        <v>0</v>
      </c>
      <c r="F82" s="270">
        <f>+'únor 2025'!B80</f>
        <v>0</v>
      </c>
      <c r="G82" s="270">
        <f>+'únor 2025'!C80</f>
        <v>0</v>
      </c>
      <c r="H82" s="270">
        <f>+'březen 2025'!B80</f>
        <v>0</v>
      </c>
      <c r="I82" s="270">
        <f>+'březen 2025'!C80</f>
        <v>0</v>
      </c>
      <c r="J82" s="270">
        <f>+'duben 2025'!B80</f>
        <v>0</v>
      </c>
      <c r="K82" s="270">
        <f>+'duben 2025'!C80</f>
        <v>0</v>
      </c>
      <c r="L82" s="270">
        <f>+'květen 2025'!B82</f>
        <v>0</v>
      </c>
      <c r="M82" s="270">
        <f>+'květen 2025'!C82</f>
        <v>0</v>
      </c>
      <c r="N82" s="270">
        <f>+'červen 2025'!B82</f>
        <v>0</v>
      </c>
      <c r="O82" s="270">
        <f>+'červen 2025'!C82</f>
        <v>0</v>
      </c>
      <c r="P82" s="270">
        <f>+'červenec 2025'!B82</f>
        <v>0</v>
      </c>
      <c r="Q82" s="270">
        <f>+'červenec 2025'!C82</f>
        <v>0</v>
      </c>
      <c r="R82" s="270">
        <f>+'srpen 2025'!B82</f>
        <v>0</v>
      </c>
      <c r="S82" s="270">
        <f>+'srpen 2025'!C82</f>
        <v>0</v>
      </c>
      <c r="T82" s="270">
        <f>+'září 2025'!B82</f>
        <v>15000</v>
      </c>
      <c r="U82" s="270">
        <f>+'září 2025'!C82</f>
        <v>15000</v>
      </c>
      <c r="V82" s="270">
        <f>+'říjen 2025'!B82</f>
        <v>15000</v>
      </c>
      <c r="W82" s="270">
        <f>+'říjen 2025'!C82</f>
        <v>15000</v>
      </c>
      <c r="X82" s="270">
        <f>+'listopad 2025'!B82</f>
        <v>15000</v>
      </c>
      <c r="Y82" s="270">
        <f>+'listopad 2025'!C82</f>
        <v>15000</v>
      </c>
      <c r="Z82" s="270">
        <f>+'prosinec 2025'!B82</f>
        <v>0</v>
      </c>
      <c r="AA82" s="270">
        <f>+'prosinec 2025'!C82</f>
        <v>0</v>
      </c>
      <c r="AC82" s="339"/>
    </row>
    <row r="83" spans="1:104" s="78" customFormat="1" outlineLevel="2">
      <c r="A83" s="134" t="s">
        <v>21</v>
      </c>
      <c r="B83" s="229">
        <f t="shared" si="12"/>
        <v>0</v>
      </c>
      <c r="C83" s="229">
        <f t="shared" si="13"/>
        <v>0</v>
      </c>
      <c r="D83" s="270">
        <f>+'leden 2025'!B81</f>
        <v>0</v>
      </c>
      <c r="E83" s="270">
        <f>+'leden 2025'!C81</f>
        <v>0</v>
      </c>
      <c r="F83" s="270">
        <f>+'únor 2025'!B81</f>
        <v>0</v>
      </c>
      <c r="G83" s="270">
        <f>+'únor 2025'!C81</f>
        <v>0</v>
      </c>
      <c r="H83" s="270">
        <f>+'březen 2025'!B81</f>
        <v>0</v>
      </c>
      <c r="I83" s="270">
        <f>+'březen 2025'!C81</f>
        <v>0</v>
      </c>
      <c r="J83" s="270">
        <f>+'duben 2025'!B81</f>
        <v>0</v>
      </c>
      <c r="K83" s="270">
        <f>+'duben 2025'!C81</f>
        <v>0</v>
      </c>
      <c r="L83" s="270">
        <f>+'květen 2025'!B83</f>
        <v>0</v>
      </c>
      <c r="M83" s="270">
        <f>+'květen 2025'!C83</f>
        <v>0</v>
      </c>
      <c r="N83" s="270">
        <f>+'červen 2025'!B83</f>
        <v>0</v>
      </c>
      <c r="O83" s="270">
        <f>+'červen 2025'!C83</f>
        <v>0</v>
      </c>
      <c r="P83" s="270">
        <f>+'červenec 2025'!B83</f>
        <v>0</v>
      </c>
      <c r="Q83" s="270">
        <f>+'červenec 2025'!C83</f>
        <v>0</v>
      </c>
      <c r="R83" s="270">
        <f>+'srpen 2025'!B83</f>
        <v>0</v>
      </c>
      <c r="S83" s="270">
        <f>+'srpen 2025'!C83</f>
        <v>0</v>
      </c>
      <c r="T83" s="270">
        <f>+'září 2025'!B83</f>
        <v>0</v>
      </c>
      <c r="U83" s="270">
        <f>+'září 2025'!C83</f>
        <v>0</v>
      </c>
      <c r="V83" s="270">
        <f>+'říjen 2025'!B83</f>
        <v>0</v>
      </c>
      <c r="W83" s="270">
        <f>+'říjen 2025'!C83</f>
        <v>0</v>
      </c>
      <c r="X83" s="270">
        <f>+'listopad 2025'!B83</f>
        <v>0</v>
      </c>
      <c r="Y83" s="270">
        <f>+'listopad 2025'!C83</f>
        <v>0</v>
      </c>
      <c r="Z83" s="270">
        <f>+'prosinec 2025'!B83</f>
        <v>0</v>
      </c>
      <c r="AA83" s="270">
        <f>+'prosinec 2025'!C83</f>
        <v>0</v>
      </c>
      <c r="AC83" s="339"/>
    </row>
    <row r="84" spans="1:104" outlineLevel="1">
      <c r="A84" s="50" t="s">
        <v>60</v>
      </c>
      <c r="B84" s="91">
        <f t="shared" si="12"/>
        <v>680720</v>
      </c>
      <c r="C84" s="91">
        <f t="shared" si="13"/>
        <v>602330</v>
      </c>
      <c r="D84" s="269">
        <f>+'leden 2025'!B82</f>
        <v>0</v>
      </c>
      <c r="E84" s="269">
        <f>+'leden 2025'!C82</f>
        <v>0</v>
      </c>
      <c r="F84" s="269">
        <f>+'únor 2025'!B82</f>
        <v>0</v>
      </c>
      <c r="G84" s="269">
        <f>+'únor 2025'!C82</f>
        <v>0</v>
      </c>
      <c r="H84" s="269">
        <f>+'březen 2025'!B82</f>
        <v>18760</v>
      </c>
      <c r="I84" s="269">
        <f>+'březen 2025'!C82</f>
        <v>18760</v>
      </c>
      <c r="J84" s="269">
        <f>+'duben 2025'!B82</f>
        <v>18760</v>
      </c>
      <c r="K84" s="269">
        <f>+'duben 2025'!C82</f>
        <v>18760</v>
      </c>
      <c r="L84" s="269">
        <f>+'květen 2025'!B84</f>
        <v>80400</v>
      </c>
      <c r="M84" s="269">
        <f>+'květen 2025'!C84</f>
        <v>93800</v>
      </c>
      <c r="N84" s="269">
        <f>+'červen 2025'!B84</f>
        <v>93800</v>
      </c>
      <c r="O84" s="269">
        <f>+'červen 2025'!C84</f>
        <v>93800</v>
      </c>
      <c r="P84" s="269">
        <f>+'červenec 2025'!B84</f>
        <v>93800</v>
      </c>
      <c r="Q84" s="269">
        <f>+'červenec 2025'!C84</f>
        <v>95810</v>
      </c>
      <c r="R84" s="269">
        <f>+'srpen 2025'!B84</f>
        <v>93800</v>
      </c>
      <c r="S84" s="269">
        <f>+'srpen 2025'!C84</f>
        <v>93800</v>
      </c>
      <c r="T84" s="269">
        <f>+'září 2025'!B84</f>
        <v>93800</v>
      </c>
      <c r="U84" s="269">
        <f>+'září 2025'!C84</f>
        <v>93800</v>
      </c>
      <c r="V84" s="269">
        <f>+'říjen 2025'!B84</f>
        <v>93800</v>
      </c>
      <c r="W84" s="269">
        <f>+'říjen 2025'!C84</f>
        <v>93800</v>
      </c>
      <c r="X84" s="269">
        <f>+'listopad 2025'!B84</f>
        <v>0</v>
      </c>
      <c r="Y84" s="269">
        <f>+'listopad 2025'!C84</f>
        <v>0</v>
      </c>
      <c r="Z84" s="269">
        <f>+'prosinec 2025'!B84</f>
        <v>93800</v>
      </c>
      <c r="AA84" s="269">
        <f>+'prosinec 2025'!C84</f>
        <v>0</v>
      </c>
    </row>
    <row r="85" spans="1:104" s="78" customFormat="1" outlineLevel="2">
      <c r="A85" s="165" t="s">
        <v>130</v>
      </c>
      <c r="B85" s="229">
        <f t="shared" si="12"/>
        <v>508000</v>
      </c>
      <c r="C85" s="229">
        <f t="shared" si="13"/>
        <v>449500</v>
      </c>
      <c r="D85" s="270">
        <f>+'leden 2025'!B83</f>
        <v>0</v>
      </c>
      <c r="E85" s="270">
        <f>+'leden 2025'!C83</f>
        <v>0</v>
      </c>
      <c r="F85" s="270">
        <f>+'únor 2025'!B83</f>
        <v>0</v>
      </c>
      <c r="G85" s="270">
        <f>+'únor 2025'!C83</f>
        <v>0</v>
      </c>
      <c r="H85" s="270">
        <f>+'březen 2025'!B83</f>
        <v>14000</v>
      </c>
      <c r="I85" s="270">
        <f>+'březen 2025'!C83</f>
        <v>14000</v>
      </c>
      <c r="J85" s="270">
        <f>+'duben 2025'!B83</f>
        <v>14000</v>
      </c>
      <c r="K85" s="270">
        <f>+'duben 2025'!C83</f>
        <v>14000</v>
      </c>
      <c r="L85" s="270">
        <f>+'květen 2025'!B85</f>
        <v>60000</v>
      </c>
      <c r="M85" s="270">
        <f>+'květen 2025'!C85</f>
        <v>70000</v>
      </c>
      <c r="N85" s="270">
        <f>+'červen 2025'!B85</f>
        <v>70000</v>
      </c>
      <c r="O85" s="270">
        <f>+'červen 2025'!C85</f>
        <v>70000</v>
      </c>
      <c r="P85" s="270">
        <f>+'červenec 2025'!B85</f>
        <v>70000</v>
      </c>
      <c r="Q85" s="270">
        <f>+'červenec 2025'!C85</f>
        <v>71500</v>
      </c>
      <c r="R85" s="270">
        <f>+'srpen 2025'!B85</f>
        <v>70000</v>
      </c>
      <c r="S85" s="270">
        <f>+'srpen 2025'!C85</f>
        <v>70000</v>
      </c>
      <c r="T85" s="270">
        <f>+'září 2025'!B85</f>
        <v>70000</v>
      </c>
      <c r="U85" s="270">
        <f>+'září 2025'!C85</f>
        <v>70000</v>
      </c>
      <c r="V85" s="270">
        <f>+'říjen 2025'!B85</f>
        <v>70000</v>
      </c>
      <c r="W85" s="270">
        <f>+'říjen 2025'!C85</f>
        <v>70000</v>
      </c>
      <c r="X85" s="270">
        <f>+'listopad 2025'!B85</f>
        <v>0</v>
      </c>
      <c r="Y85" s="270">
        <f>+'listopad 2025'!C85</f>
        <v>0</v>
      </c>
      <c r="Z85" s="270">
        <f>+'prosinec 2025'!B85</f>
        <v>70000</v>
      </c>
      <c r="AA85" s="270">
        <f>+'prosinec 2025'!C85</f>
        <v>0</v>
      </c>
      <c r="AC85" s="339"/>
    </row>
    <row r="86" spans="1:104" s="78" customFormat="1" outlineLevel="2">
      <c r="A86" s="134" t="s">
        <v>36</v>
      </c>
      <c r="B86" s="229">
        <f t="shared" si="12"/>
        <v>0</v>
      </c>
      <c r="C86" s="229">
        <f t="shared" si="13"/>
        <v>0</v>
      </c>
      <c r="D86" s="270">
        <f>+'leden 2025'!B84</f>
        <v>0</v>
      </c>
      <c r="E86" s="270">
        <f>+'leden 2025'!C84</f>
        <v>0</v>
      </c>
      <c r="F86" s="270">
        <f>+'únor 2025'!B84</f>
        <v>0</v>
      </c>
      <c r="G86" s="270">
        <f>+'únor 2025'!C84</f>
        <v>0</v>
      </c>
      <c r="H86" s="270">
        <f>+'březen 2025'!B84</f>
        <v>0</v>
      </c>
      <c r="I86" s="270">
        <f>+'březen 2025'!C84</f>
        <v>0</v>
      </c>
      <c r="J86" s="270">
        <f>+'duben 2025'!B84</f>
        <v>0</v>
      </c>
      <c r="K86" s="270">
        <f>+'duben 2025'!C84</f>
        <v>0</v>
      </c>
      <c r="L86" s="270">
        <f>+'květen 2025'!B86</f>
        <v>0</v>
      </c>
      <c r="M86" s="270">
        <f>+'květen 2025'!C86</f>
        <v>0</v>
      </c>
      <c r="N86" s="270">
        <f>+'červen 2025'!B86</f>
        <v>0</v>
      </c>
      <c r="O86" s="270">
        <f>+'červen 2025'!C86</f>
        <v>0</v>
      </c>
      <c r="P86" s="270">
        <f>+'červenec 2025'!B86</f>
        <v>0</v>
      </c>
      <c r="Q86" s="270">
        <f>+'červenec 2025'!C86</f>
        <v>0</v>
      </c>
      <c r="R86" s="270">
        <f>+'srpen 2025'!B86</f>
        <v>0</v>
      </c>
      <c r="S86" s="270">
        <f>+'srpen 2025'!C86</f>
        <v>0</v>
      </c>
      <c r="T86" s="270">
        <f>+'září 2025'!B86</f>
        <v>0</v>
      </c>
      <c r="U86" s="270">
        <f>+'září 2025'!C86</f>
        <v>0</v>
      </c>
      <c r="V86" s="270">
        <f>+'říjen 2025'!B86</f>
        <v>0</v>
      </c>
      <c r="W86" s="270">
        <f>+'říjen 2025'!C86</f>
        <v>0</v>
      </c>
      <c r="X86" s="270">
        <f>+'listopad 2025'!B86</f>
        <v>0</v>
      </c>
      <c r="Y86" s="270">
        <f>+'listopad 2025'!C86</f>
        <v>0</v>
      </c>
      <c r="Z86" s="270">
        <f>+'prosinec 2025'!B86</f>
        <v>0</v>
      </c>
      <c r="AA86" s="270">
        <f>+'prosinec 2025'!C86</f>
        <v>0</v>
      </c>
      <c r="AC86" s="339"/>
    </row>
    <row r="87" spans="1:104" s="78" customFormat="1" outlineLevel="2">
      <c r="A87" s="134" t="s">
        <v>25</v>
      </c>
      <c r="B87" s="229">
        <f t="shared" si="12"/>
        <v>0</v>
      </c>
      <c r="C87" s="229">
        <f t="shared" si="13"/>
        <v>0</v>
      </c>
      <c r="D87" s="270">
        <f>+'leden 2025'!B85</f>
        <v>0</v>
      </c>
      <c r="E87" s="270">
        <f>+'leden 2025'!C85</f>
        <v>0</v>
      </c>
      <c r="F87" s="270">
        <f>+'únor 2025'!B85</f>
        <v>0</v>
      </c>
      <c r="G87" s="270">
        <f>+'únor 2025'!C85</f>
        <v>0</v>
      </c>
      <c r="H87" s="270">
        <f>+'březen 2025'!B85</f>
        <v>0</v>
      </c>
      <c r="I87" s="270">
        <f>+'březen 2025'!C85</f>
        <v>0</v>
      </c>
      <c r="J87" s="270">
        <f>+'duben 2025'!B85</f>
        <v>0</v>
      </c>
      <c r="K87" s="270">
        <f>+'duben 2025'!C85</f>
        <v>0</v>
      </c>
      <c r="L87" s="270">
        <f>+'květen 2025'!B87</f>
        <v>0</v>
      </c>
      <c r="M87" s="270">
        <f>+'květen 2025'!C87</f>
        <v>0</v>
      </c>
      <c r="N87" s="270">
        <f>+'červen 2025'!B87</f>
        <v>0</v>
      </c>
      <c r="O87" s="270">
        <f>+'červen 2025'!C87</f>
        <v>0</v>
      </c>
      <c r="P87" s="270">
        <f>+'červenec 2025'!B87</f>
        <v>0</v>
      </c>
      <c r="Q87" s="270">
        <f>+'červenec 2025'!C87</f>
        <v>0</v>
      </c>
      <c r="R87" s="270">
        <f>+'srpen 2025'!B87</f>
        <v>0</v>
      </c>
      <c r="S87" s="270">
        <f>+'srpen 2025'!C87</f>
        <v>0</v>
      </c>
      <c r="T87" s="270">
        <f>+'září 2025'!B87</f>
        <v>0</v>
      </c>
      <c r="U87" s="270">
        <f>+'září 2025'!C87</f>
        <v>0</v>
      </c>
      <c r="V87" s="270">
        <f>+'říjen 2025'!B87</f>
        <v>0</v>
      </c>
      <c r="W87" s="270">
        <f>+'říjen 2025'!C87</f>
        <v>0</v>
      </c>
      <c r="X87" s="270">
        <f>+'listopad 2025'!B87</f>
        <v>0</v>
      </c>
      <c r="Y87" s="270">
        <f>+'listopad 2025'!C87</f>
        <v>0</v>
      </c>
      <c r="Z87" s="270">
        <f>+'prosinec 2025'!B87</f>
        <v>0</v>
      </c>
      <c r="AA87" s="270">
        <f>+'prosinec 2025'!C87</f>
        <v>0</v>
      </c>
      <c r="AC87" s="339"/>
    </row>
    <row r="88" spans="1:104" s="78" customFormat="1" outlineLevel="2">
      <c r="A88" s="134" t="s">
        <v>26</v>
      </c>
      <c r="B88" s="229">
        <f t="shared" si="12"/>
        <v>0</v>
      </c>
      <c r="C88" s="229">
        <f t="shared" si="13"/>
        <v>0</v>
      </c>
      <c r="D88" s="270">
        <f>+'leden 2025'!B86</f>
        <v>0</v>
      </c>
      <c r="E88" s="270">
        <f>+'leden 2025'!C86</f>
        <v>0</v>
      </c>
      <c r="F88" s="270">
        <f>+'únor 2025'!B86</f>
        <v>0</v>
      </c>
      <c r="G88" s="270">
        <f>+'únor 2025'!C86</f>
        <v>0</v>
      </c>
      <c r="H88" s="270">
        <f>+'březen 2025'!B86</f>
        <v>0</v>
      </c>
      <c r="I88" s="270">
        <f>+'březen 2025'!C86</f>
        <v>0</v>
      </c>
      <c r="J88" s="270">
        <f>+'duben 2025'!B86</f>
        <v>0</v>
      </c>
      <c r="K88" s="270">
        <f>+'duben 2025'!C86</f>
        <v>0</v>
      </c>
      <c r="L88" s="270">
        <f>+'květen 2025'!B88</f>
        <v>0</v>
      </c>
      <c r="M88" s="270">
        <f>+'květen 2025'!C88</f>
        <v>0</v>
      </c>
      <c r="N88" s="270">
        <f>+'červen 2025'!B88</f>
        <v>0</v>
      </c>
      <c r="O88" s="270">
        <f>+'červen 2025'!C88</f>
        <v>0</v>
      </c>
      <c r="P88" s="270">
        <f>+'červenec 2025'!B88</f>
        <v>0</v>
      </c>
      <c r="Q88" s="270">
        <f>+'červenec 2025'!C88</f>
        <v>0</v>
      </c>
      <c r="R88" s="270">
        <f>+'srpen 2025'!B88</f>
        <v>0</v>
      </c>
      <c r="S88" s="270">
        <f>+'srpen 2025'!C88</f>
        <v>0</v>
      </c>
      <c r="T88" s="270">
        <f>+'září 2025'!B88</f>
        <v>0</v>
      </c>
      <c r="U88" s="270">
        <f>+'září 2025'!C88</f>
        <v>0</v>
      </c>
      <c r="V88" s="270">
        <f>+'říjen 2025'!B88</f>
        <v>0</v>
      </c>
      <c r="W88" s="270">
        <f>+'říjen 2025'!C88</f>
        <v>0</v>
      </c>
      <c r="X88" s="270">
        <f>+'listopad 2025'!B88</f>
        <v>0</v>
      </c>
      <c r="Y88" s="270">
        <f>+'listopad 2025'!C88</f>
        <v>0</v>
      </c>
      <c r="Z88" s="270">
        <f>+'prosinec 2025'!B88</f>
        <v>0</v>
      </c>
      <c r="AA88" s="270">
        <f>+'prosinec 2025'!C88</f>
        <v>0</v>
      </c>
      <c r="AC88" s="339"/>
    </row>
    <row r="89" spans="1:104" s="78" customFormat="1" outlineLevel="2">
      <c r="A89" s="134" t="s">
        <v>37</v>
      </c>
      <c r="B89" s="229">
        <f t="shared" si="12"/>
        <v>0</v>
      </c>
      <c r="C89" s="229">
        <f t="shared" si="13"/>
        <v>0</v>
      </c>
      <c r="D89" s="270">
        <f>+'leden 2025'!B87</f>
        <v>0</v>
      </c>
      <c r="E89" s="270">
        <f>+'leden 2025'!C87</f>
        <v>0</v>
      </c>
      <c r="F89" s="270">
        <f>+'únor 2025'!B87</f>
        <v>0</v>
      </c>
      <c r="G89" s="270">
        <f>+'únor 2025'!C87</f>
        <v>0</v>
      </c>
      <c r="H89" s="270">
        <f>+'březen 2025'!B87</f>
        <v>0</v>
      </c>
      <c r="I89" s="270">
        <f>+'březen 2025'!C87</f>
        <v>0</v>
      </c>
      <c r="J89" s="270">
        <f>+'duben 2025'!B87</f>
        <v>0</v>
      </c>
      <c r="K89" s="270">
        <f>+'duben 2025'!C87</f>
        <v>0</v>
      </c>
      <c r="L89" s="270">
        <f>+'květen 2025'!B89</f>
        <v>0</v>
      </c>
      <c r="M89" s="270">
        <f>+'květen 2025'!C89</f>
        <v>0</v>
      </c>
      <c r="N89" s="270">
        <f>+'červen 2025'!B89</f>
        <v>0</v>
      </c>
      <c r="O89" s="270">
        <f>+'červen 2025'!C89</f>
        <v>0</v>
      </c>
      <c r="P89" s="270">
        <f>+'červenec 2025'!B89</f>
        <v>0</v>
      </c>
      <c r="Q89" s="270">
        <f>+'červenec 2025'!C89</f>
        <v>0</v>
      </c>
      <c r="R89" s="270">
        <f>+'srpen 2025'!B89</f>
        <v>0</v>
      </c>
      <c r="S89" s="270">
        <f>+'srpen 2025'!C89</f>
        <v>0</v>
      </c>
      <c r="T89" s="270">
        <f>+'září 2025'!B89</f>
        <v>0</v>
      </c>
      <c r="U89" s="270">
        <f>+'září 2025'!C89</f>
        <v>0</v>
      </c>
      <c r="V89" s="270">
        <f>+'říjen 2025'!B89</f>
        <v>0</v>
      </c>
      <c r="W89" s="270">
        <f>+'říjen 2025'!C89</f>
        <v>0</v>
      </c>
      <c r="X89" s="270">
        <f>+'listopad 2025'!B89</f>
        <v>0</v>
      </c>
      <c r="Y89" s="270">
        <f>+'listopad 2025'!C89</f>
        <v>0</v>
      </c>
      <c r="Z89" s="270">
        <f>+'prosinec 2025'!B89</f>
        <v>0</v>
      </c>
      <c r="AA89" s="270">
        <f>+'prosinec 2025'!C89</f>
        <v>0</v>
      </c>
      <c r="AC89" s="339"/>
    </row>
    <row r="90" spans="1:104" s="78" customFormat="1" outlineLevel="2">
      <c r="A90" s="134" t="s">
        <v>28</v>
      </c>
      <c r="B90" s="229">
        <f t="shared" si="12"/>
        <v>0</v>
      </c>
      <c r="C90" s="229">
        <f t="shared" si="13"/>
        <v>0</v>
      </c>
      <c r="D90" s="270">
        <f>+'leden 2025'!B88</f>
        <v>0</v>
      </c>
      <c r="E90" s="270">
        <f>+'leden 2025'!C88</f>
        <v>0</v>
      </c>
      <c r="F90" s="270">
        <f>+'únor 2025'!B88</f>
        <v>0</v>
      </c>
      <c r="G90" s="270">
        <f>+'únor 2025'!C88</f>
        <v>0</v>
      </c>
      <c r="H90" s="270">
        <f>+'březen 2025'!B88</f>
        <v>0</v>
      </c>
      <c r="I90" s="270">
        <f>+'březen 2025'!C88</f>
        <v>0</v>
      </c>
      <c r="J90" s="270">
        <f>+'duben 2025'!B88</f>
        <v>0</v>
      </c>
      <c r="K90" s="270">
        <f>+'duben 2025'!C88</f>
        <v>0</v>
      </c>
      <c r="L90" s="270">
        <f>+'květen 2025'!B90</f>
        <v>0</v>
      </c>
      <c r="M90" s="270">
        <f>+'květen 2025'!C90</f>
        <v>0</v>
      </c>
      <c r="N90" s="270">
        <f>+'červen 2025'!B90</f>
        <v>0</v>
      </c>
      <c r="O90" s="270">
        <f>+'červen 2025'!C90</f>
        <v>0</v>
      </c>
      <c r="P90" s="270">
        <f>+'červenec 2025'!B90</f>
        <v>0</v>
      </c>
      <c r="Q90" s="270">
        <f>+'červenec 2025'!C90</f>
        <v>0</v>
      </c>
      <c r="R90" s="270">
        <f>+'srpen 2025'!B90</f>
        <v>0</v>
      </c>
      <c r="S90" s="270">
        <f>+'srpen 2025'!C90</f>
        <v>0</v>
      </c>
      <c r="T90" s="270">
        <f>+'září 2025'!B90</f>
        <v>0</v>
      </c>
      <c r="U90" s="270">
        <f>+'září 2025'!C90</f>
        <v>0</v>
      </c>
      <c r="V90" s="270">
        <f>+'říjen 2025'!B90</f>
        <v>0</v>
      </c>
      <c r="W90" s="270">
        <f>+'říjen 2025'!C90</f>
        <v>0</v>
      </c>
      <c r="X90" s="270">
        <f>+'listopad 2025'!B90</f>
        <v>0</v>
      </c>
      <c r="Y90" s="270">
        <f>+'listopad 2025'!C90</f>
        <v>0</v>
      </c>
      <c r="Z90" s="270">
        <f>+'prosinec 2025'!B90</f>
        <v>0</v>
      </c>
      <c r="AA90" s="270">
        <f>+'prosinec 2025'!C90</f>
        <v>0</v>
      </c>
      <c r="AC90" s="339"/>
    </row>
    <row r="91" spans="1:104" s="78" customFormat="1" outlineLevel="2">
      <c r="A91" s="134" t="s">
        <v>20</v>
      </c>
      <c r="B91" s="229">
        <f t="shared" si="12"/>
        <v>0</v>
      </c>
      <c r="C91" s="229">
        <f t="shared" si="13"/>
        <v>0</v>
      </c>
      <c r="D91" s="270">
        <f>+'leden 2025'!B89</f>
        <v>0</v>
      </c>
      <c r="E91" s="270">
        <f>+'leden 2025'!C89</f>
        <v>0</v>
      </c>
      <c r="F91" s="270">
        <f>+'únor 2025'!B89</f>
        <v>0</v>
      </c>
      <c r="G91" s="270">
        <f>+'únor 2025'!C89</f>
        <v>0</v>
      </c>
      <c r="H91" s="270">
        <f>+'březen 2025'!B89</f>
        <v>0</v>
      </c>
      <c r="I91" s="270">
        <f>+'březen 2025'!C89</f>
        <v>0</v>
      </c>
      <c r="J91" s="270">
        <f>+'duben 2025'!B89</f>
        <v>0</v>
      </c>
      <c r="K91" s="270">
        <f>+'duben 2025'!C89</f>
        <v>0</v>
      </c>
      <c r="L91" s="270">
        <f>+'květen 2025'!B91</f>
        <v>0</v>
      </c>
      <c r="M91" s="270">
        <f>+'květen 2025'!C91</f>
        <v>0</v>
      </c>
      <c r="N91" s="270">
        <f>+'červen 2025'!B91</f>
        <v>0</v>
      </c>
      <c r="O91" s="270">
        <f>+'červen 2025'!C91</f>
        <v>0</v>
      </c>
      <c r="P91" s="270">
        <f>+'červenec 2025'!B91</f>
        <v>0</v>
      </c>
      <c r="Q91" s="270">
        <f>+'červenec 2025'!C91</f>
        <v>0</v>
      </c>
      <c r="R91" s="270">
        <f>+'srpen 2025'!B91</f>
        <v>0</v>
      </c>
      <c r="S91" s="270">
        <f>+'srpen 2025'!C91</f>
        <v>0</v>
      </c>
      <c r="T91" s="270">
        <f>+'září 2025'!B91</f>
        <v>0</v>
      </c>
      <c r="U91" s="270">
        <f>+'září 2025'!C91</f>
        <v>0</v>
      </c>
      <c r="V91" s="270">
        <f>+'říjen 2025'!B91</f>
        <v>0</v>
      </c>
      <c r="W91" s="270">
        <f>+'říjen 2025'!C91</f>
        <v>0</v>
      </c>
      <c r="X91" s="270">
        <f>+'listopad 2025'!B91</f>
        <v>0</v>
      </c>
      <c r="Y91" s="270">
        <f>+'listopad 2025'!C91</f>
        <v>0</v>
      </c>
      <c r="Z91" s="270">
        <f>+'prosinec 2025'!B91</f>
        <v>0</v>
      </c>
      <c r="AA91" s="270">
        <f>+'prosinec 2025'!C91</f>
        <v>0</v>
      </c>
      <c r="AC91" s="339"/>
    </row>
    <row r="92" spans="1:104" s="78" customFormat="1" outlineLevel="2">
      <c r="A92" s="134" t="s">
        <v>21</v>
      </c>
      <c r="B92" s="229">
        <f t="shared" si="12"/>
        <v>0</v>
      </c>
      <c r="C92" s="229">
        <f t="shared" si="13"/>
        <v>0</v>
      </c>
      <c r="D92" s="270">
        <f>+'leden 2025'!B90</f>
        <v>0</v>
      </c>
      <c r="E92" s="270">
        <f>+'leden 2025'!C90</f>
        <v>0</v>
      </c>
      <c r="F92" s="270">
        <f>+'únor 2025'!B90</f>
        <v>0</v>
      </c>
      <c r="G92" s="270">
        <f>+'únor 2025'!C90</f>
        <v>0</v>
      </c>
      <c r="H92" s="270">
        <f>+'březen 2025'!B90</f>
        <v>0</v>
      </c>
      <c r="I92" s="270">
        <f>+'březen 2025'!C90</f>
        <v>0</v>
      </c>
      <c r="J92" s="270">
        <f>+'duben 2025'!B90</f>
        <v>0</v>
      </c>
      <c r="K92" s="270">
        <f>+'duben 2025'!C90</f>
        <v>0</v>
      </c>
      <c r="L92" s="270">
        <f>+'květen 2025'!B92</f>
        <v>0</v>
      </c>
      <c r="M92" s="270">
        <f>+'květen 2025'!C92</f>
        <v>0</v>
      </c>
      <c r="N92" s="270">
        <f>+'červen 2025'!B92</f>
        <v>0</v>
      </c>
      <c r="O92" s="270">
        <f>+'červen 2025'!C92</f>
        <v>0</v>
      </c>
      <c r="P92" s="270">
        <f>+'červenec 2025'!B92</f>
        <v>0</v>
      </c>
      <c r="Q92" s="270">
        <f>+'červenec 2025'!C92</f>
        <v>0</v>
      </c>
      <c r="R92" s="270">
        <f>+'srpen 2025'!B92</f>
        <v>0</v>
      </c>
      <c r="S92" s="270">
        <f>+'srpen 2025'!C92</f>
        <v>0</v>
      </c>
      <c r="T92" s="270">
        <f>+'září 2025'!B92</f>
        <v>0</v>
      </c>
      <c r="U92" s="270">
        <f>+'září 2025'!C92</f>
        <v>0</v>
      </c>
      <c r="V92" s="270">
        <f>+'říjen 2025'!B92</f>
        <v>0</v>
      </c>
      <c r="W92" s="270">
        <f>+'říjen 2025'!C92</f>
        <v>0</v>
      </c>
      <c r="X92" s="270">
        <f>+'listopad 2025'!B92</f>
        <v>0</v>
      </c>
      <c r="Y92" s="270">
        <f>+'listopad 2025'!C92</f>
        <v>0</v>
      </c>
      <c r="Z92" s="270">
        <f>+'prosinec 2025'!B92</f>
        <v>0</v>
      </c>
      <c r="AA92" s="270">
        <f>+'prosinec 2025'!C92</f>
        <v>0</v>
      </c>
      <c r="AC92" s="339"/>
    </row>
    <row r="93" spans="1:104" s="262" customFormat="1" outlineLevel="1">
      <c r="A93" s="135" t="s">
        <v>62</v>
      </c>
      <c r="B93" s="100">
        <f t="shared" si="12"/>
        <v>578880</v>
      </c>
      <c r="C93" s="100">
        <f t="shared" si="13"/>
        <v>385920</v>
      </c>
      <c r="D93" s="273">
        <f>+'leden 2025'!B91</f>
        <v>96480</v>
      </c>
      <c r="E93" s="273">
        <f>+'leden 2025'!C91</f>
        <v>96480</v>
      </c>
      <c r="F93" s="273">
        <f>+'únor 2025'!B91</f>
        <v>96480</v>
      </c>
      <c r="G93" s="273">
        <f>+'únor 2025'!C91</f>
        <v>96480</v>
      </c>
      <c r="H93" s="273">
        <f>+'březen 2025'!B91</f>
        <v>96480</v>
      </c>
      <c r="I93" s="273">
        <f>+'březen 2025'!C91</f>
        <v>96480</v>
      </c>
      <c r="J93" s="273">
        <f>+'duben 2025'!B91</f>
        <v>96480</v>
      </c>
      <c r="K93" s="273">
        <f>+'duben 2025'!C91</f>
        <v>96480</v>
      </c>
      <c r="L93" s="273">
        <f>+'květen 2025'!B93</f>
        <v>0</v>
      </c>
      <c r="M93" s="273">
        <f>+'květen 2025'!C93</f>
        <v>0</v>
      </c>
      <c r="N93" s="273">
        <f>+'červen 2025'!B93</f>
        <v>0</v>
      </c>
      <c r="O93" s="273">
        <f>+'červen 2025'!C93</f>
        <v>0</v>
      </c>
      <c r="P93" s="273">
        <f>+'červenec 2025'!B93</f>
        <v>96480</v>
      </c>
      <c r="Q93" s="273">
        <f>+'červenec 2025'!C93</f>
        <v>0</v>
      </c>
      <c r="R93" s="273">
        <f>+'srpen 2025'!B93</f>
        <v>0</v>
      </c>
      <c r="S93" s="273">
        <f>+'srpen 2025'!C93</f>
        <v>0</v>
      </c>
      <c r="T93" s="273">
        <f>+'září 2025'!B93</f>
        <v>0</v>
      </c>
      <c r="U93" s="273">
        <f>+'září 2025'!C93</f>
        <v>0</v>
      </c>
      <c r="V93" s="273">
        <f>+'říjen 2025'!B93</f>
        <v>96480</v>
      </c>
      <c r="W93" s="273">
        <f>+'říjen 2025'!C93</f>
        <v>0</v>
      </c>
      <c r="X93" s="273">
        <f>+'listopad 2025'!B93</f>
        <v>0</v>
      </c>
      <c r="Y93" s="273">
        <f>+'listopad 2025'!C93</f>
        <v>0</v>
      </c>
      <c r="Z93" s="273">
        <f>+'prosinec 2025'!B93</f>
        <v>0</v>
      </c>
      <c r="AA93" s="273">
        <f>+'prosinec 2025'!C93</f>
        <v>0</v>
      </c>
      <c r="AB93"/>
      <c r="AC93" s="336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</row>
    <row r="94" spans="1:104" outlineLevel="2">
      <c r="A94" s="133" t="s">
        <v>39</v>
      </c>
      <c r="B94" s="229">
        <f t="shared" si="12"/>
        <v>432000</v>
      </c>
      <c r="C94" s="229">
        <f t="shared" si="13"/>
        <v>288000</v>
      </c>
      <c r="D94" s="270">
        <f>+'leden 2025'!B92</f>
        <v>72000</v>
      </c>
      <c r="E94" s="270">
        <f>+'leden 2025'!C92</f>
        <v>72000</v>
      </c>
      <c r="F94" s="270">
        <f>+'únor 2025'!B92</f>
        <v>72000</v>
      </c>
      <c r="G94" s="270">
        <f>+'únor 2025'!C92</f>
        <v>72000</v>
      </c>
      <c r="H94" s="270">
        <f>+'březen 2025'!B92</f>
        <v>72000</v>
      </c>
      <c r="I94" s="270">
        <f>+'březen 2025'!C92</f>
        <v>72000</v>
      </c>
      <c r="J94" s="270">
        <f>+'duben 2025'!B92</f>
        <v>72000</v>
      </c>
      <c r="K94" s="270">
        <f>+'duben 2025'!C92</f>
        <v>72000</v>
      </c>
      <c r="L94" s="270">
        <f>+'květen 2025'!B94</f>
        <v>0</v>
      </c>
      <c r="M94" s="270">
        <f>+'květen 2025'!C94</f>
        <v>0</v>
      </c>
      <c r="N94" s="270">
        <f>+'červen 2025'!B94</f>
        <v>0</v>
      </c>
      <c r="O94" s="270">
        <f>+'červen 2025'!C94</f>
        <v>0</v>
      </c>
      <c r="P94" s="270">
        <f>+'červenec 2025'!B94</f>
        <v>72000</v>
      </c>
      <c r="Q94" s="270">
        <f>+'červenec 2025'!C94</f>
        <v>0</v>
      </c>
      <c r="R94" s="270">
        <f>+'srpen 2025'!B94</f>
        <v>0</v>
      </c>
      <c r="S94" s="270">
        <f>+'srpen 2025'!C94</f>
        <v>0</v>
      </c>
      <c r="T94" s="270">
        <f>+'září 2025'!B94</f>
        <v>0</v>
      </c>
      <c r="U94" s="270">
        <f>+'září 2025'!C94</f>
        <v>0</v>
      </c>
      <c r="V94" s="270">
        <f>+'říjen 2025'!B94</f>
        <v>72000</v>
      </c>
      <c r="W94" s="270">
        <f>+'říjen 2025'!C94</f>
        <v>0</v>
      </c>
      <c r="X94" s="270">
        <f>+'listopad 2025'!B94</f>
        <v>0</v>
      </c>
      <c r="Y94" s="270">
        <f>+'listopad 2025'!C94</f>
        <v>0</v>
      </c>
      <c r="Z94" s="270">
        <f>+'prosinec 2025'!B94</f>
        <v>0</v>
      </c>
      <c r="AA94" s="270">
        <f>+'prosinec 2025'!C94</f>
        <v>0</v>
      </c>
    </row>
    <row r="95" spans="1:104" s="78" customFormat="1" outlineLevel="2">
      <c r="A95" s="134" t="s">
        <v>36</v>
      </c>
      <c r="B95" s="229">
        <f t="shared" si="12"/>
        <v>0</v>
      </c>
      <c r="C95" s="229">
        <f t="shared" si="13"/>
        <v>0</v>
      </c>
      <c r="D95" s="270">
        <f>+'leden 2025'!B93</f>
        <v>0</v>
      </c>
      <c r="E95" s="270">
        <f>+'leden 2025'!C93</f>
        <v>0</v>
      </c>
      <c r="F95" s="270">
        <f>+'únor 2025'!B93</f>
        <v>0</v>
      </c>
      <c r="G95" s="270">
        <f>+'únor 2025'!C93</f>
        <v>0</v>
      </c>
      <c r="H95" s="270">
        <f>+'březen 2025'!B93</f>
        <v>0</v>
      </c>
      <c r="I95" s="270">
        <f>+'březen 2025'!C93</f>
        <v>0</v>
      </c>
      <c r="J95" s="270">
        <f>+'duben 2025'!B93</f>
        <v>0</v>
      </c>
      <c r="K95" s="270">
        <f>+'duben 2025'!C93</f>
        <v>0</v>
      </c>
      <c r="L95" s="270">
        <f>+'květen 2025'!B95</f>
        <v>0</v>
      </c>
      <c r="M95" s="270">
        <f>+'květen 2025'!C95</f>
        <v>0</v>
      </c>
      <c r="N95" s="270">
        <f>+'červen 2025'!B95</f>
        <v>0</v>
      </c>
      <c r="O95" s="270">
        <f>+'červen 2025'!C95</f>
        <v>0</v>
      </c>
      <c r="P95" s="270">
        <f>+'červenec 2025'!B95</f>
        <v>0</v>
      </c>
      <c r="Q95" s="270">
        <f>+'červenec 2025'!C95</f>
        <v>0</v>
      </c>
      <c r="R95" s="270">
        <f>+'srpen 2025'!B95</f>
        <v>0</v>
      </c>
      <c r="S95" s="270">
        <f>+'srpen 2025'!C95</f>
        <v>0</v>
      </c>
      <c r="T95" s="270">
        <f>+'září 2025'!B95</f>
        <v>0</v>
      </c>
      <c r="U95" s="270">
        <f>+'září 2025'!C95</f>
        <v>0</v>
      </c>
      <c r="V95" s="270">
        <f>+'říjen 2025'!B95</f>
        <v>0</v>
      </c>
      <c r="W95" s="270">
        <f>+'říjen 2025'!C95</f>
        <v>0</v>
      </c>
      <c r="X95" s="270">
        <f>+'listopad 2025'!B95</f>
        <v>0</v>
      </c>
      <c r="Y95" s="270">
        <f>+'listopad 2025'!C95</f>
        <v>0</v>
      </c>
      <c r="Z95" s="270">
        <f>+'prosinec 2025'!B95</f>
        <v>0</v>
      </c>
      <c r="AA95" s="270">
        <f>+'prosinec 2025'!C95</f>
        <v>0</v>
      </c>
      <c r="AC95" s="339"/>
    </row>
    <row r="96" spans="1:104" s="267" customFormat="1" outlineLevel="1">
      <c r="A96" s="136" t="s">
        <v>63</v>
      </c>
      <c r="B96" s="101">
        <f t="shared" si="12"/>
        <v>415400</v>
      </c>
      <c r="C96" s="101">
        <f t="shared" si="13"/>
        <v>390610</v>
      </c>
      <c r="D96" s="274">
        <f>+'leden 2025'!B94</f>
        <v>20100</v>
      </c>
      <c r="E96" s="274">
        <f>+'leden 2025'!C94</f>
        <v>20100</v>
      </c>
      <c r="F96" s="274">
        <f>+'únor 2025'!B94</f>
        <v>20100</v>
      </c>
      <c r="G96" s="274">
        <f>+'únor 2025'!C94</f>
        <v>20100</v>
      </c>
      <c r="H96" s="274">
        <f>+'březen 2025'!B94</f>
        <v>20100</v>
      </c>
      <c r="I96" s="274">
        <f>+'březen 2025'!C94</f>
        <v>20100</v>
      </c>
      <c r="J96" s="274">
        <f>+'duben 2025'!B94</f>
        <v>20100</v>
      </c>
      <c r="K96" s="274">
        <f>+'duben 2025'!C94</f>
        <v>20100</v>
      </c>
      <c r="L96" s="274">
        <f>+'květen 2025'!B96</f>
        <v>20100</v>
      </c>
      <c r="M96" s="274">
        <f>+'květen 2025'!C96</f>
        <v>20100</v>
      </c>
      <c r="N96" s="274">
        <f>+'červen 2025'!B96</f>
        <v>33500</v>
      </c>
      <c r="O96" s="274">
        <f>+'červen 2025'!C96</f>
        <v>33500</v>
      </c>
      <c r="P96" s="274">
        <f>+'červenec 2025'!B96</f>
        <v>33500</v>
      </c>
      <c r="Q96" s="274">
        <f>+'červenec 2025'!C96</f>
        <v>33500</v>
      </c>
      <c r="R96" s="274">
        <f>+'srpen 2025'!B96</f>
        <v>33500</v>
      </c>
      <c r="S96" s="274">
        <f>+'srpen 2025'!C96</f>
        <v>35510</v>
      </c>
      <c r="T96" s="274">
        <f>+'září 2025'!B96</f>
        <v>33500</v>
      </c>
      <c r="U96" s="274">
        <f>+'září 2025'!C96</f>
        <v>35510</v>
      </c>
      <c r="V96" s="274">
        <f>+'říjen 2025'!B96</f>
        <v>73700</v>
      </c>
      <c r="W96" s="274">
        <f>+'říjen 2025'!C96</f>
        <v>75710</v>
      </c>
      <c r="X96" s="274">
        <f>+'listopad 2025'!B96</f>
        <v>73700</v>
      </c>
      <c r="Y96" s="274">
        <f>+'listopad 2025'!C96</f>
        <v>76380</v>
      </c>
      <c r="Z96" s="274">
        <f>+'prosinec 2025'!B96</f>
        <v>33500</v>
      </c>
      <c r="AA96" s="274">
        <f>+'prosinec 2025'!C96</f>
        <v>0</v>
      </c>
      <c r="AB96"/>
      <c r="AC96" s="33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</row>
    <row r="97" spans="1:104" outlineLevel="2">
      <c r="A97" s="1" t="s">
        <v>41</v>
      </c>
      <c r="B97" s="229">
        <f t="shared" si="12"/>
        <v>310000</v>
      </c>
      <c r="C97" s="229">
        <f t="shared" si="13"/>
        <v>291500</v>
      </c>
      <c r="D97" s="270">
        <f>+'leden 2025'!B95</f>
        <v>15000</v>
      </c>
      <c r="E97" s="270">
        <f>+'leden 2025'!C95</f>
        <v>15000</v>
      </c>
      <c r="F97" s="270">
        <f>+'únor 2025'!B95</f>
        <v>15000</v>
      </c>
      <c r="G97" s="270">
        <f>+'únor 2025'!C95</f>
        <v>15000</v>
      </c>
      <c r="H97" s="270">
        <f>+'březen 2025'!B95</f>
        <v>15000</v>
      </c>
      <c r="I97" s="270">
        <f>+'březen 2025'!C95</f>
        <v>15000</v>
      </c>
      <c r="J97" s="270">
        <f>+'duben 2025'!B95</f>
        <v>15000</v>
      </c>
      <c r="K97" s="270">
        <f>+'duben 2025'!C95</f>
        <v>15000</v>
      </c>
      <c r="L97" s="270">
        <f>+'květen 2025'!B97</f>
        <v>15000</v>
      </c>
      <c r="M97" s="270">
        <f>+'květen 2025'!C97</f>
        <v>15000</v>
      </c>
      <c r="N97" s="270">
        <f>+'červen 2025'!B97</f>
        <v>25000</v>
      </c>
      <c r="O97" s="270">
        <f>+'červen 2025'!C97</f>
        <v>25000</v>
      </c>
      <c r="P97" s="270">
        <f>+'červenec 2025'!B97</f>
        <v>25000</v>
      </c>
      <c r="Q97" s="270">
        <f>+'červenec 2025'!C97</f>
        <v>25000</v>
      </c>
      <c r="R97" s="270">
        <f>+'srpen 2025'!B97</f>
        <v>25000</v>
      </c>
      <c r="S97" s="270">
        <f>+'srpen 2025'!C97</f>
        <v>26500</v>
      </c>
      <c r="T97" s="270">
        <f>+'září 2025'!B97</f>
        <v>25000</v>
      </c>
      <c r="U97" s="270">
        <f>+'září 2025'!C97</f>
        <v>26500</v>
      </c>
      <c r="V97" s="270">
        <f>+'říjen 2025'!B97</f>
        <v>55000</v>
      </c>
      <c r="W97" s="270">
        <f>+'říjen 2025'!C97</f>
        <v>56500</v>
      </c>
      <c r="X97" s="270">
        <f>+'listopad 2025'!B97</f>
        <v>55000</v>
      </c>
      <c r="Y97" s="270">
        <f>+'listopad 2025'!C97</f>
        <v>57000</v>
      </c>
      <c r="Z97" s="270">
        <f>+'prosinec 2025'!B97</f>
        <v>25000</v>
      </c>
      <c r="AA97" s="270">
        <f>+'prosinec 2025'!C97</f>
        <v>0</v>
      </c>
    </row>
    <row r="98" spans="1:104" s="78" customFormat="1" outlineLevel="2">
      <c r="A98" s="68" t="s">
        <v>36</v>
      </c>
      <c r="B98" s="229">
        <f t="shared" si="12"/>
        <v>0</v>
      </c>
      <c r="C98" s="229">
        <f t="shared" si="13"/>
        <v>0</v>
      </c>
      <c r="D98" s="270">
        <f>+'leden 2025'!B96</f>
        <v>0</v>
      </c>
      <c r="E98" s="270">
        <f>+'leden 2025'!C96</f>
        <v>0</v>
      </c>
      <c r="F98" s="270">
        <f>+'únor 2025'!B96</f>
        <v>0</v>
      </c>
      <c r="G98" s="270">
        <f>+'únor 2025'!C96</f>
        <v>0</v>
      </c>
      <c r="H98" s="270">
        <f>+'březen 2025'!B96</f>
        <v>0</v>
      </c>
      <c r="I98" s="270">
        <f>+'březen 2025'!C96</f>
        <v>0</v>
      </c>
      <c r="J98" s="270">
        <f>+'duben 2025'!B96</f>
        <v>0</v>
      </c>
      <c r="K98" s="270">
        <f>+'duben 2025'!C96</f>
        <v>0</v>
      </c>
      <c r="L98" s="270">
        <f>+'květen 2025'!B98</f>
        <v>0</v>
      </c>
      <c r="M98" s="270">
        <f>+'květen 2025'!C98</f>
        <v>0</v>
      </c>
      <c r="N98" s="270">
        <f>+'červen 2025'!B98</f>
        <v>0</v>
      </c>
      <c r="O98" s="270">
        <f>+'červen 2025'!C98</f>
        <v>0</v>
      </c>
      <c r="P98" s="270">
        <f>+'červenec 2025'!B98</f>
        <v>0</v>
      </c>
      <c r="Q98" s="270">
        <f>+'červenec 2025'!C98</f>
        <v>0</v>
      </c>
      <c r="R98" s="270">
        <f>+'srpen 2025'!B98</f>
        <v>0</v>
      </c>
      <c r="S98" s="270">
        <f>+'srpen 2025'!C98</f>
        <v>0</v>
      </c>
      <c r="T98" s="270">
        <f>+'září 2025'!B98</f>
        <v>0</v>
      </c>
      <c r="U98" s="270">
        <f>+'září 2025'!C98</f>
        <v>0</v>
      </c>
      <c r="V98" s="270">
        <f>+'říjen 2025'!B98</f>
        <v>0</v>
      </c>
      <c r="W98" s="270">
        <f>+'říjen 2025'!C98</f>
        <v>0</v>
      </c>
      <c r="X98" s="270">
        <f>+'listopad 2025'!B98</f>
        <v>0</v>
      </c>
      <c r="Y98" s="270">
        <f>+'listopad 2025'!C98</f>
        <v>0</v>
      </c>
      <c r="Z98" s="270">
        <f>+'prosinec 2025'!B98</f>
        <v>0</v>
      </c>
      <c r="AA98" s="270">
        <f>+'prosinec 2025'!C98</f>
        <v>0</v>
      </c>
      <c r="AC98" s="339"/>
    </row>
    <row r="99" spans="1:104" s="237" customFormat="1" outlineLevel="1">
      <c r="A99" s="238" t="s">
        <v>64</v>
      </c>
      <c r="B99" s="236">
        <f t="shared" si="12"/>
        <v>0</v>
      </c>
      <c r="C99" s="236">
        <f t="shared" si="13"/>
        <v>0</v>
      </c>
      <c r="D99" s="275">
        <f>+'leden 2025'!B97</f>
        <v>0</v>
      </c>
      <c r="E99" s="275">
        <f>+'leden 2025'!C97</f>
        <v>0</v>
      </c>
      <c r="F99" s="275">
        <f>+'únor 2025'!B97</f>
        <v>0</v>
      </c>
      <c r="G99" s="275">
        <f>+'únor 2025'!C97</f>
        <v>0</v>
      </c>
      <c r="H99" s="275">
        <f>+'březen 2025'!B97</f>
        <v>0</v>
      </c>
      <c r="I99" s="275">
        <f>+'březen 2025'!C97</f>
        <v>0</v>
      </c>
      <c r="J99" s="275">
        <f>+'duben 2025'!B97</f>
        <v>0</v>
      </c>
      <c r="K99" s="275">
        <f>+'duben 2025'!C97</f>
        <v>0</v>
      </c>
      <c r="L99" s="275">
        <f>+'květen 2025'!B99</f>
        <v>0</v>
      </c>
      <c r="M99" s="275">
        <f>+'květen 2025'!C99</f>
        <v>0</v>
      </c>
      <c r="N99" s="275">
        <f>+'červen 2025'!B99</f>
        <v>0</v>
      </c>
      <c r="O99" s="275">
        <f>+'červen 2025'!C99</f>
        <v>0</v>
      </c>
      <c r="P99" s="275">
        <f>+'červenec 2025'!B99</f>
        <v>0</v>
      </c>
      <c r="Q99" s="275">
        <f>+'červenec 2025'!C99</f>
        <v>0</v>
      </c>
      <c r="R99" s="275">
        <f>+'srpen 2025'!B99</f>
        <v>0</v>
      </c>
      <c r="S99" s="275">
        <f>+'srpen 2025'!C99</f>
        <v>0</v>
      </c>
      <c r="T99" s="275">
        <f>+'září 2025'!B99</f>
        <v>0</v>
      </c>
      <c r="U99" s="275">
        <f>+'září 2025'!C99</f>
        <v>0</v>
      </c>
      <c r="V99" s="275">
        <f>+'říjen 2025'!B99</f>
        <v>0</v>
      </c>
      <c r="W99" s="275">
        <f>+'říjen 2025'!C99</f>
        <v>0</v>
      </c>
      <c r="X99" s="275">
        <f>+'listopad 2025'!B99</f>
        <v>0</v>
      </c>
      <c r="Y99" s="275">
        <f>+'listopad 2025'!C99</f>
        <v>0</v>
      </c>
      <c r="Z99" s="275">
        <f>+'prosinec 2025'!B99</f>
        <v>0</v>
      </c>
      <c r="AA99" s="275">
        <f>+'prosinec 2025'!C99</f>
        <v>0</v>
      </c>
      <c r="AB99"/>
      <c r="AC99" s="336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</row>
    <row r="100" spans="1:104" s="78" customFormat="1" outlineLevel="2">
      <c r="A100" s="68" t="s">
        <v>43</v>
      </c>
      <c r="B100" s="229">
        <f t="shared" si="12"/>
        <v>0</v>
      </c>
      <c r="C100" s="229">
        <f t="shared" si="13"/>
        <v>0</v>
      </c>
      <c r="D100" s="270">
        <f>+'leden 2025'!B98</f>
        <v>0</v>
      </c>
      <c r="E100" s="270">
        <f>+'leden 2025'!C98</f>
        <v>0</v>
      </c>
      <c r="F100" s="270">
        <f>+'únor 2025'!B98</f>
        <v>0</v>
      </c>
      <c r="G100" s="270">
        <f>+'únor 2025'!C98</f>
        <v>0</v>
      </c>
      <c r="H100" s="270">
        <f>+'březen 2025'!B98</f>
        <v>0</v>
      </c>
      <c r="I100" s="270">
        <f>+'březen 2025'!C98</f>
        <v>0</v>
      </c>
      <c r="J100" s="270">
        <f>+'duben 2025'!B98</f>
        <v>0</v>
      </c>
      <c r="K100" s="270">
        <f>+'duben 2025'!C98</f>
        <v>0</v>
      </c>
      <c r="L100" s="270">
        <f>+'květen 2025'!B100</f>
        <v>0</v>
      </c>
      <c r="M100" s="270">
        <f>+'květen 2025'!C100</f>
        <v>0</v>
      </c>
      <c r="N100" s="270">
        <f>+'červen 2025'!B100</f>
        <v>0</v>
      </c>
      <c r="O100" s="270">
        <f>+'červen 2025'!C100</f>
        <v>0</v>
      </c>
      <c r="P100" s="270">
        <f>+'červenec 2025'!B100</f>
        <v>0</v>
      </c>
      <c r="Q100" s="270">
        <f>+'červenec 2025'!C100</f>
        <v>0</v>
      </c>
      <c r="R100" s="270">
        <f>+'srpen 2025'!B100</f>
        <v>0</v>
      </c>
      <c r="S100" s="270">
        <f>+'srpen 2025'!C100</f>
        <v>0</v>
      </c>
      <c r="T100" s="270">
        <f>+'září 2025'!B100</f>
        <v>0</v>
      </c>
      <c r="U100" s="270">
        <f>+'září 2025'!C100</f>
        <v>0</v>
      </c>
      <c r="V100" s="270">
        <f>+'říjen 2025'!B100</f>
        <v>0</v>
      </c>
      <c r="W100" s="270">
        <f>+'říjen 2025'!C100</f>
        <v>0</v>
      </c>
      <c r="X100" s="270">
        <f>+'listopad 2025'!B100</f>
        <v>0</v>
      </c>
      <c r="Y100" s="270">
        <f>+'listopad 2025'!C100</f>
        <v>0</v>
      </c>
      <c r="Z100" s="270">
        <f>+'prosinec 2025'!B100</f>
        <v>0</v>
      </c>
      <c r="AA100" s="270">
        <f>+'prosinec 2025'!C100</f>
        <v>0</v>
      </c>
      <c r="AC100" s="339"/>
    </row>
    <row r="101" spans="1:104" s="78" customFormat="1" outlineLevel="2">
      <c r="A101" s="68" t="s">
        <v>36</v>
      </c>
      <c r="B101" s="229">
        <f t="shared" si="12"/>
        <v>0</v>
      </c>
      <c r="C101" s="229">
        <f t="shared" si="13"/>
        <v>0</v>
      </c>
      <c r="D101" s="270">
        <f>+'leden 2025'!B99</f>
        <v>0</v>
      </c>
      <c r="E101" s="270">
        <f>+'leden 2025'!C99</f>
        <v>0</v>
      </c>
      <c r="F101" s="270">
        <f>+'únor 2025'!B99</f>
        <v>0</v>
      </c>
      <c r="G101" s="270">
        <f>+'únor 2025'!C99</f>
        <v>0</v>
      </c>
      <c r="H101" s="270">
        <f>+'březen 2025'!B99</f>
        <v>0</v>
      </c>
      <c r="I101" s="270">
        <f>+'březen 2025'!C99</f>
        <v>0</v>
      </c>
      <c r="J101" s="270">
        <f>+'duben 2025'!B99</f>
        <v>0</v>
      </c>
      <c r="K101" s="270">
        <f>+'duben 2025'!C99</f>
        <v>0</v>
      </c>
      <c r="L101" s="270">
        <f>+'květen 2025'!B101</f>
        <v>0</v>
      </c>
      <c r="M101" s="270">
        <f>+'květen 2025'!C101</f>
        <v>0</v>
      </c>
      <c r="N101" s="270">
        <f>+'červen 2025'!B101</f>
        <v>0</v>
      </c>
      <c r="O101" s="270">
        <f>+'červen 2025'!C101</f>
        <v>0</v>
      </c>
      <c r="P101" s="270">
        <f>+'červenec 2025'!B101</f>
        <v>0</v>
      </c>
      <c r="Q101" s="270">
        <f>+'červenec 2025'!C101</f>
        <v>0</v>
      </c>
      <c r="R101" s="270">
        <f>+'srpen 2025'!B101</f>
        <v>0</v>
      </c>
      <c r="S101" s="270">
        <f>+'srpen 2025'!C101</f>
        <v>0</v>
      </c>
      <c r="T101" s="270">
        <f>+'září 2025'!B101</f>
        <v>0</v>
      </c>
      <c r="U101" s="270">
        <f>+'září 2025'!C101</f>
        <v>0</v>
      </c>
      <c r="V101" s="270">
        <f>+'říjen 2025'!B101</f>
        <v>0</v>
      </c>
      <c r="W101" s="270">
        <f>+'říjen 2025'!C101</f>
        <v>0</v>
      </c>
      <c r="X101" s="270">
        <f>+'listopad 2025'!B101</f>
        <v>0</v>
      </c>
      <c r="Y101" s="270">
        <f>+'listopad 2025'!C101</f>
        <v>0</v>
      </c>
      <c r="Z101" s="270">
        <f>+'prosinec 2025'!B101</f>
        <v>0</v>
      </c>
      <c r="AA101" s="270">
        <f>+'prosinec 2025'!C101</f>
        <v>0</v>
      </c>
      <c r="AC101" s="339"/>
    </row>
    <row r="102" spans="1:104" s="237" customFormat="1" outlineLevel="1">
      <c r="A102" s="238" t="s">
        <v>65</v>
      </c>
      <c r="B102" s="236">
        <f t="shared" si="12"/>
        <v>131320</v>
      </c>
      <c r="C102" s="236">
        <f t="shared" si="13"/>
        <v>20904</v>
      </c>
      <c r="D102" s="275">
        <f>+'leden 2025'!B100</f>
        <v>0</v>
      </c>
      <c r="E102" s="275">
        <f>+'leden 2025'!C100</f>
        <v>0</v>
      </c>
      <c r="F102" s="275">
        <f>+'únor 2025'!B100</f>
        <v>0</v>
      </c>
      <c r="G102" s="275">
        <f>+'únor 2025'!C100</f>
        <v>0</v>
      </c>
      <c r="H102" s="275">
        <f>+'březen 2025'!B100</f>
        <v>0</v>
      </c>
      <c r="I102" s="275">
        <f>+'březen 2025'!C100</f>
        <v>0</v>
      </c>
      <c r="J102" s="275">
        <f>+'duben 2025'!B100</f>
        <v>0</v>
      </c>
      <c r="K102" s="275">
        <f>+'duben 2025'!C100</f>
        <v>0</v>
      </c>
      <c r="L102" s="275">
        <f>+'květen 2025'!B102</f>
        <v>18760</v>
      </c>
      <c r="M102" s="275">
        <f>+'květen 2025'!C102</f>
        <v>0</v>
      </c>
      <c r="N102" s="275">
        <f>+'červen 2025'!B102</f>
        <v>0</v>
      </c>
      <c r="O102" s="275">
        <f>+'červen 2025'!C102</f>
        <v>0</v>
      </c>
      <c r="P102" s="275">
        <f>+'červenec 2025'!B102</f>
        <v>18760</v>
      </c>
      <c r="Q102" s="275">
        <f>+'červenec 2025'!C102</f>
        <v>0</v>
      </c>
      <c r="R102" s="275">
        <f>+'srpen 2025'!B102</f>
        <v>18760</v>
      </c>
      <c r="S102" s="275">
        <f>+'srpen 2025'!C102</f>
        <v>0</v>
      </c>
      <c r="T102" s="275">
        <f>+'září 2025'!B102</f>
        <v>18760</v>
      </c>
      <c r="U102" s="275">
        <f>+'září 2025'!C102</f>
        <v>0</v>
      </c>
      <c r="V102" s="275">
        <f>+'říjen 2025'!B102</f>
        <v>18760</v>
      </c>
      <c r="W102" s="275">
        <f>+'říjen 2025'!C102</f>
        <v>0</v>
      </c>
      <c r="X102" s="275">
        <f>+'listopad 2025'!B102</f>
        <v>18760</v>
      </c>
      <c r="Y102" s="275">
        <f>+'listopad 2025'!C102</f>
        <v>20904</v>
      </c>
      <c r="Z102" s="275">
        <f>+'prosinec 2025'!B102</f>
        <v>18760</v>
      </c>
      <c r="AA102" s="275">
        <f>+'prosinec 2025'!C102</f>
        <v>0</v>
      </c>
      <c r="AB102"/>
      <c r="AC102" s="336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</row>
    <row r="103" spans="1:104" s="78" customFormat="1" outlineLevel="2">
      <c r="A103" s="315" t="s">
        <v>129</v>
      </c>
      <c r="B103" s="229">
        <f t="shared" si="12"/>
        <v>98000</v>
      </c>
      <c r="C103" s="229">
        <f t="shared" si="13"/>
        <v>15600</v>
      </c>
      <c r="D103" s="270">
        <f>+'leden 2025'!B101</f>
        <v>0</v>
      </c>
      <c r="E103" s="270">
        <f>+'leden 2025'!C101</f>
        <v>0</v>
      </c>
      <c r="F103" s="270">
        <f>+'únor 2025'!B101</f>
        <v>0</v>
      </c>
      <c r="G103" s="270">
        <f>+'únor 2025'!C101</f>
        <v>0</v>
      </c>
      <c r="H103" s="270">
        <f>+'březen 2025'!B101</f>
        <v>0</v>
      </c>
      <c r="I103" s="270">
        <f>+'březen 2025'!C101</f>
        <v>0</v>
      </c>
      <c r="J103" s="270">
        <f>+'duben 2025'!B101</f>
        <v>0</v>
      </c>
      <c r="K103" s="270">
        <f>+'duben 2025'!C101</f>
        <v>0</v>
      </c>
      <c r="L103" s="270">
        <f>+'květen 2025'!B103</f>
        <v>14000</v>
      </c>
      <c r="M103" s="270">
        <f>+'květen 2025'!C103</f>
        <v>0</v>
      </c>
      <c r="N103" s="270">
        <f>+'červen 2025'!B103</f>
        <v>0</v>
      </c>
      <c r="O103" s="270">
        <f>+'červen 2025'!C103</f>
        <v>0</v>
      </c>
      <c r="P103" s="270">
        <f>+'červenec 2025'!B103</f>
        <v>14000</v>
      </c>
      <c r="Q103" s="270">
        <f>+'červenec 2025'!C103</f>
        <v>0</v>
      </c>
      <c r="R103" s="270">
        <f>+'srpen 2025'!B103</f>
        <v>14000</v>
      </c>
      <c r="S103" s="270">
        <f>+'srpen 2025'!C103</f>
        <v>0</v>
      </c>
      <c r="T103" s="270">
        <f>+'září 2025'!B103</f>
        <v>14000</v>
      </c>
      <c r="U103" s="270">
        <f>+'září 2025'!C103</f>
        <v>0</v>
      </c>
      <c r="V103" s="270">
        <f>+'říjen 2025'!B103</f>
        <v>14000</v>
      </c>
      <c r="W103" s="270">
        <f>+'říjen 2025'!C103</f>
        <v>0</v>
      </c>
      <c r="X103" s="270">
        <f>+'listopad 2025'!B103</f>
        <v>14000</v>
      </c>
      <c r="Y103" s="270">
        <f>+'listopad 2025'!C103</f>
        <v>15600</v>
      </c>
      <c r="Z103" s="270">
        <f>+'prosinec 2025'!B103</f>
        <v>14000</v>
      </c>
      <c r="AA103" s="270">
        <f>+'prosinec 2025'!C103</f>
        <v>0</v>
      </c>
      <c r="AC103" s="339"/>
    </row>
    <row r="104" spans="1:104" s="78" customFormat="1" outlineLevel="2">
      <c r="A104" s="68" t="s">
        <v>36</v>
      </c>
      <c r="B104" s="229">
        <f t="shared" si="12"/>
        <v>0</v>
      </c>
      <c r="C104" s="229">
        <f t="shared" si="13"/>
        <v>0</v>
      </c>
      <c r="D104" s="270">
        <f>+'leden 2025'!B102</f>
        <v>0</v>
      </c>
      <c r="E104" s="270">
        <f>+'leden 2025'!C102</f>
        <v>0</v>
      </c>
      <c r="F104" s="270">
        <f>+'únor 2025'!B102</f>
        <v>0</v>
      </c>
      <c r="G104" s="270">
        <f>+'únor 2025'!C102</f>
        <v>0</v>
      </c>
      <c r="H104" s="270">
        <f>+'březen 2025'!B102</f>
        <v>0</v>
      </c>
      <c r="I104" s="270">
        <f>+'březen 2025'!C102</f>
        <v>0</v>
      </c>
      <c r="J104" s="270">
        <f>+'duben 2025'!B102</f>
        <v>0</v>
      </c>
      <c r="K104" s="270">
        <f>+'duben 2025'!C102</f>
        <v>0</v>
      </c>
      <c r="L104" s="270">
        <f>+'květen 2025'!B104</f>
        <v>0</v>
      </c>
      <c r="M104" s="270">
        <f>+'květen 2025'!C104</f>
        <v>0</v>
      </c>
      <c r="N104" s="270">
        <f>+'červen 2025'!B104</f>
        <v>0</v>
      </c>
      <c r="O104" s="270">
        <f>+'červen 2025'!C104</f>
        <v>0</v>
      </c>
      <c r="P104" s="270">
        <f>+'červenec 2025'!B104</f>
        <v>0</v>
      </c>
      <c r="Q104" s="270">
        <f>+'červenec 2025'!C104</f>
        <v>0</v>
      </c>
      <c r="R104" s="270">
        <f>+'srpen 2025'!B104</f>
        <v>0</v>
      </c>
      <c r="S104" s="270">
        <f>+'srpen 2025'!C104</f>
        <v>0</v>
      </c>
      <c r="T104" s="270">
        <f>+'září 2025'!B104</f>
        <v>0</v>
      </c>
      <c r="U104" s="270">
        <f>+'září 2025'!C104</f>
        <v>0</v>
      </c>
      <c r="V104" s="270">
        <f>+'říjen 2025'!B104</f>
        <v>0</v>
      </c>
      <c r="W104" s="270">
        <f>+'říjen 2025'!C104</f>
        <v>0</v>
      </c>
      <c r="X104" s="270">
        <f>+'listopad 2025'!B104</f>
        <v>0</v>
      </c>
      <c r="Y104" s="270">
        <f>+'listopad 2025'!C104</f>
        <v>0</v>
      </c>
      <c r="Z104" s="270">
        <f>+'prosinec 2025'!B104</f>
        <v>0</v>
      </c>
      <c r="AA104" s="270">
        <f>+'prosinec 2025'!C104</f>
        <v>0</v>
      </c>
      <c r="AC104" s="339"/>
    </row>
    <row r="105" spans="1:104" s="256" customFormat="1">
      <c r="A105" s="89" t="s">
        <v>66</v>
      </c>
      <c r="B105" s="255">
        <f t="shared" si="12"/>
        <v>4593255</v>
      </c>
      <c r="C105" s="255">
        <f t="shared" si="13"/>
        <v>3003525.5205000001</v>
      </c>
      <c r="D105" s="279">
        <f>+'leden 2025'!B103</f>
        <v>226500</v>
      </c>
      <c r="E105" s="279">
        <f>+'leden 2025'!C103</f>
        <v>155513.69999999998</v>
      </c>
      <c r="F105" s="279">
        <f>+'únor 2025'!B103</f>
        <v>226500</v>
      </c>
      <c r="G105" s="279">
        <f>+'únor 2025'!C103</f>
        <v>148320.59999999998</v>
      </c>
      <c r="H105" s="279">
        <f>+'březen 2025'!B103</f>
        <v>324600</v>
      </c>
      <c r="I105" s="279">
        <f>+'březen 2025'!C103</f>
        <v>223814.67599999998</v>
      </c>
      <c r="J105" s="279">
        <f>+'duben 2025'!B103</f>
        <v>324600</v>
      </c>
      <c r="K105" s="279">
        <f>+'duben 2025'!C103</f>
        <v>194694.82499999998</v>
      </c>
      <c r="L105" s="279">
        <f>+'květen 2025'!B105</f>
        <v>370500</v>
      </c>
      <c r="M105" s="279">
        <f>+'květen 2025'!C105</f>
        <v>268750.84499999997</v>
      </c>
      <c r="N105" s="279">
        <f>+'červen 2025'!B105</f>
        <v>374250</v>
      </c>
      <c r="O105" s="279">
        <f>+'červen 2025'!C105</f>
        <v>296874.45300000004</v>
      </c>
      <c r="P105" s="279">
        <f>+'červenec 2025'!B105</f>
        <v>363000</v>
      </c>
      <c r="Q105" s="279">
        <f>+'červenec 2025'!C105</f>
        <v>266791.01849999995</v>
      </c>
      <c r="R105" s="279">
        <f>+'srpen 2025'!B105</f>
        <v>422250</v>
      </c>
      <c r="S105" s="279">
        <f>+'srpen 2025'!C105</f>
        <v>260157.15299999999</v>
      </c>
      <c r="T105" s="279">
        <f>+'září 2025'!B105</f>
        <v>403500</v>
      </c>
      <c r="U105" s="279">
        <f>+'září 2025'!C105</f>
        <v>311158.26</v>
      </c>
      <c r="V105" s="279">
        <f>+'říjen 2025'!B105</f>
        <v>446250</v>
      </c>
      <c r="W105" s="279">
        <f>+'říjen 2025'!C105</f>
        <v>318554.99400000001</v>
      </c>
      <c r="X105" s="279">
        <f>+'listopad 2025'!B105</f>
        <v>473250</v>
      </c>
      <c r="Y105" s="279">
        <f>+'listopad 2025'!C105</f>
        <v>366995.21400000004</v>
      </c>
      <c r="Z105" s="279">
        <f>+'prosinec 2025'!B105</f>
        <v>638055</v>
      </c>
      <c r="AA105" s="279">
        <f>+'prosinec 2025'!C105</f>
        <v>191899.78199999998</v>
      </c>
      <c r="AB105" s="286"/>
      <c r="AC105" s="338"/>
      <c r="AD105" s="286"/>
      <c r="AE105" s="286"/>
      <c r="AF105" s="286"/>
      <c r="AG105" s="286"/>
      <c r="AH105" s="286"/>
      <c r="AI105" s="286"/>
      <c r="AJ105" s="286"/>
      <c r="AK105" s="286"/>
      <c r="AL105" s="286"/>
      <c r="AM105" s="286"/>
      <c r="AN105" s="286"/>
      <c r="AO105" s="286"/>
      <c r="AP105" s="286"/>
      <c r="AQ105" s="286"/>
      <c r="AR105" s="286"/>
      <c r="AS105" s="286"/>
      <c r="AT105" s="286"/>
      <c r="AU105" s="286"/>
      <c r="AV105" s="286"/>
      <c r="AW105" s="286"/>
      <c r="AX105" s="286"/>
      <c r="AY105" s="286"/>
      <c r="AZ105" s="286"/>
      <c r="BA105" s="286"/>
      <c r="BB105" s="286"/>
      <c r="BC105" s="286"/>
      <c r="BD105" s="286"/>
      <c r="BE105" s="286"/>
      <c r="BF105" s="286"/>
      <c r="BG105" s="286"/>
      <c r="BH105" s="286"/>
      <c r="BI105" s="286"/>
      <c r="BJ105" s="286"/>
      <c r="BK105" s="286"/>
      <c r="BL105" s="286"/>
      <c r="BM105" s="286"/>
      <c r="BN105" s="286"/>
      <c r="BO105" s="286"/>
      <c r="BP105" s="286"/>
      <c r="BQ105" s="286"/>
      <c r="BR105" s="286"/>
      <c r="BS105" s="286"/>
      <c r="BT105" s="286"/>
      <c r="BU105" s="286"/>
      <c r="BV105" s="286"/>
      <c r="BW105" s="286"/>
      <c r="BX105" s="286"/>
      <c r="BY105" s="286"/>
      <c r="BZ105" s="286"/>
      <c r="CA105" s="286"/>
      <c r="CB105" s="286"/>
      <c r="CC105" s="286"/>
      <c r="CD105" s="286"/>
      <c r="CE105" s="286"/>
      <c r="CF105" s="286"/>
      <c r="CG105" s="286"/>
      <c r="CH105" s="286"/>
      <c r="CI105" s="286"/>
      <c r="CJ105" s="286"/>
      <c r="CK105" s="286"/>
      <c r="CL105" s="286"/>
      <c r="CM105" s="286"/>
      <c r="CN105" s="286"/>
      <c r="CO105" s="286"/>
      <c r="CP105" s="286"/>
      <c r="CQ105" s="286"/>
      <c r="CR105" s="286"/>
      <c r="CS105" s="286"/>
      <c r="CT105" s="286"/>
      <c r="CU105" s="286"/>
      <c r="CV105" s="286"/>
      <c r="CW105" s="286"/>
      <c r="CX105" s="286"/>
      <c r="CY105" s="286"/>
      <c r="CZ105" s="286"/>
    </row>
    <row r="106" spans="1:104" outlineLevel="1">
      <c r="A106" s="44" t="s">
        <v>67</v>
      </c>
      <c r="B106" s="91">
        <f t="shared" si="12"/>
        <v>2252250</v>
      </c>
      <c r="C106" s="91">
        <f t="shared" si="13"/>
        <v>1709316.7994999997</v>
      </c>
      <c r="D106" s="269">
        <f>+'leden 2025'!B104</f>
        <v>137250</v>
      </c>
      <c r="E106" s="269">
        <f>+'leden 2025'!C104</f>
        <v>113082.3</v>
      </c>
      <c r="F106" s="269">
        <f>+'únor 2025'!B104</f>
        <v>137250</v>
      </c>
      <c r="G106" s="269">
        <f>+'únor 2025'!C104</f>
        <v>107697.9</v>
      </c>
      <c r="H106" s="269">
        <f>+'březen 2025'!B104</f>
        <v>230250</v>
      </c>
      <c r="I106" s="269">
        <f>+'březen 2025'!C104</f>
        <v>167572.476</v>
      </c>
      <c r="J106" s="269">
        <f>+'duben 2025'!B104</f>
        <v>204750</v>
      </c>
      <c r="K106" s="269">
        <f>+'duben 2025'!C104</f>
        <v>139029.894</v>
      </c>
      <c r="L106" s="269">
        <f>+'květen 2025'!B106</f>
        <v>204750</v>
      </c>
      <c r="M106" s="269">
        <f>+'květen 2025'!C106</f>
        <v>162930.68999999997</v>
      </c>
      <c r="N106" s="269">
        <f>+'červen 2025'!B106</f>
        <v>174750</v>
      </c>
      <c r="O106" s="269">
        <f>+'červen 2025'!C106</f>
        <v>180187.46400000004</v>
      </c>
      <c r="P106" s="269">
        <f>+'červenec 2025'!B106</f>
        <v>174750</v>
      </c>
      <c r="Q106" s="269">
        <f>+'červenec 2025'!C106</f>
        <v>155852.91149999999</v>
      </c>
      <c r="R106" s="269">
        <f>+'srpen 2025'!B106</f>
        <v>208500</v>
      </c>
      <c r="S106" s="269">
        <f>+'srpen 2025'!C106</f>
        <v>147166.63199999998</v>
      </c>
      <c r="T106" s="269">
        <f>+'září 2025'!B106</f>
        <v>210750</v>
      </c>
      <c r="U106" s="269">
        <f>+'září 2025'!C106</f>
        <v>182673.79199999999</v>
      </c>
      <c r="V106" s="269">
        <f>+'říjen 2025'!B106</f>
        <v>240750</v>
      </c>
      <c r="W106" s="269">
        <f>+'říjen 2025'!C106</f>
        <v>186961.77</v>
      </c>
      <c r="X106" s="269">
        <f>+'listopad 2025'!B106</f>
        <v>164250</v>
      </c>
      <c r="Y106" s="269">
        <f>+'listopad 2025'!C106</f>
        <v>120346.398</v>
      </c>
      <c r="Z106" s="269">
        <f>+'prosinec 2025'!B106</f>
        <v>164250</v>
      </c>
      <c r="AA106" s="269">
        <f>+'prosinec 2025'!C106</f>
        <v>45814.572000000007</v>
      </c>
    </row>
    <row r="107" spans="1:104" s="242" customFormat="1" outlineLevel="1">
      <c r="A107" s="58" t="s">
        <v>68</v>
      </c>
      <c r="B107" s="96">
        <f t="shared" si="12"/>
        <v>759000</v>
      </c>
      <c r="C107" s="96">
        <f t="shared" si="13"/>
        <v>452945.37299999996</v>
      </c>
      <c r="D107" s="271">
        <f>+'leden 2025'!B105</f>
        <v>25500</v>
      </c>
      <c r="E107" s="271">
        <f>+'leden 2025'!C105</f>
        <v>15149.099999999999</v>
      </c>
      <c r="F107" s="271">
        <f>+'únor 2025'!B105</f>
        <v>25500</v>
      </c>
      <c r="G107" s="271">
        <f>+'únor 2025'!C105</f>
        <v>11321.4</v>
      </c>
      <c r="H107" s="271">
        <f>+'březen 2025'!B105</f>
        <v>25500</v>
      </c>
      <c r="I107" s="271">
        <f>+'březen 2025'!C105</f>
        <v>15927.156000000001</v>
      </c>
      <c r="J107" s="271">
        <f>+'duben 2025'!B105</f>
        <v>51000</v>
      </c>
      <c r="K107" s="271">
        <f>+'duben 2025'!C105</f>
        <v>23918.517</v>
      </c>
      <c r="L107" s="271">
        <f>+'květen 2025'!B107</f>
        <v>51000</v>
      </c>
      <c r="M107" s="271">
        <f>+'květen 2025'!C107</f>
        <v>31582.803</v>
      </c>
      <c r="N107" s="271">
        <f>+'červen 2025'!B107</f>
        <v>51000</v>
      </c>
      <c r="O107" s="271">
        <f>+'červen 2025'!C107</f>
        <v>37035.767999999996</v>
      </c>
      <c r="P107" s="271">
        <f>+'červenec 2025'!B107</f>
        <v>60000</v>
      </c>
      <c r="Q107" s="271">
        <f>+'červenec 2025'!C107</f>
        <v>33714.155999999995</v>
      </c>
      <c r="R107" s="271">
        <f>+'srpen 2025'!B107</f>
        <v>60000</v>
      </c>
      <c r="S107" s="271">
        <f>+'srpen 2025'!C107</f>
        <v>35238.986999999994</v>
      </c>
      <c r="T107" s="271">
        <f>+'září 2025'!B107</f>
        <v>60000</v>
      </c>
      <c r="U107" s="271">
        <f>+'září 2025'!C107</f>
        <v>43281.650999999991</v>
      </c>
      <c r="V107" s="271">
        <f>+'říjen 2025'!B107</f>
        <v>60000</v>
      </c>
      <c r="W107" s="271">
        <f>+'říjen 2025'!C107</f>
        <v>41021.673000000003</v>
      </c>
      <c r="X107" s="271">
        <f>+'listopad 2025'!B107</f>
        <v>129750</v>
      </c>
      <c r="Y107" s="271">
        <f>+'listopad 2025'!C107</f>
        <v>104944.41000000002</v>
      </c>
      <c r="Z107" s="271">
        <f>+'prosinec 2025'!B107</f>
        <v>159750</v>
      </c>
      <c r="AA107" s="271">
        <f>+'prosinec 2025'!C107</f>
        <v>59809.751999999993</v>
      </c>
      <c r="AB107"/>
      <c r="AC107" s="336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</row>
    <row r="108" spans="1:104" s="259" customFormat="1" outlineLevel="1">
      <c r="A108" s="57" t="s">
        <v>69</v>
      </c>
      <c r="B108" s="98">
        <f t="shared" si="12"/>
        <v>956250</v>
      </c>
      <c r="C108" s="98">
        <f t="shared" si="13"/>
        <v>602037.91800000006</v>
      </c>
      <c r="D108" s="272">
        <f>+'leden 2025'!B106</f>
        <v>25500</v>
      </c>
      <c r="E108" s="272">
        <f>+'leden 2025'!C106</f>
        <v>15883.05</v>
      </c>
      <c r="F108" s="272">
        <f>+'únor 2025'!B106</f>
        <v>25500</v>
      </c>
      <c r="G108" s="272">
        <f>+'únor 2025'!C106</f>
        <v>14872.05</v>
      </c>
      <c r="H108" s="272">
        <f>+'březen 2025'!B106</f>
        <v>25500</v>
      </c>
      <c r="I108" s="272">
        <f>+'březen 2025'!C106</f>
        <v>16454.738999999998</v>
      </c>
      <c r="J108" s="272">
        <f>+'duben 2025'!B106</f>
        <v>25500</v>
      </c>
      <c r="K108" s="272">
        <f>+'duben 2025'!C106</f>
        <v>16411.374</v>
      </c>
      <c r="L108" s="272">
        <f>+'květen 2025'!B108</f>
        <v>76500</v>
      </c>
      <c r="M108" s="272">
        <f>+'květen 2025'!C108</f>
        <v>44856.755999999994</v>
      </c>
      <c r="N108" s="272">
        <f>+'červen 2025'!B108</f>
        <v>110250</v>
      </c>
      <c r="O108" s="272">
        <f>+'červen 2025'!C108</f>
        <v>52987.067999999999</v>
      </c>
      <c r="P108" s="272">
        <f>+'červenec 2025'!B108</f>
        <v>90000</v>
      </c>
      <c r="Q108" s="272">
        <f>+'červenec 2025'!C108</f>
        <v>51658.004999999997</v>
      </c>
      <c r="R108" s="272">
        <f>+'srpen 2025'!B108</f>
        <v>90000</v>
      </c>
      <c r="S108" s="272">
        <f>+'srpen 2025'!C108</f>
        <v>55493.381999999998</v>
      </c>
      <c r="T108" s="272">
        <f>+'září 2025'!B108</f>
        <v>90000</v>
      </c>
      <c r="U108" s="272">
        <f>+'září 2025'!C108</f>
        <v>60519.899999999994</v>
      </c>
      <c r="V108" s="272">
        <f>+'říjen 2025'!B108</f>
        <v>90000</v>
      </c>
      <c r="W108" s="272">
        <f>+'říjen 2025'!C108</f>
        <v>62296.248</v>
      </c>
      <c r="X108" s="272">
        <f>+'listopad 2025'!B108</f>
        <v>153750</v>
      </c>
      <c r="Y108" s="272">
        <f>+'listopad 2025'!C108</f>
        <v>126297.62999999999</v>
      </c>
      <c r="Z108" s="272">
        <f>+'prosinec 2025'!B108</f>
        <v>153750</v>
      </c>
      <c r="AA108" s="272">
        <f>+'prosinec 2025'!C108</f>
        <v>84307.715999999986</v>
      </c>
      <c r="AB108"/>
      <c r="AC108" s="336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</row>
    <row r="109" spans="1:104" outlineLevel="1">
      <c r="A109" s="50" t="s">
        <v>70</v>
      </c>
      <c r="B109" s="91">
        <f t="shared" si="12"/>
        <v>307005</v>
      </c>
      <c r="C109" s="91">
        <f t="shared" si="13"/>
        <v>87693.849000000002</v>
      </c>
      <c r="D109" s="269">
        <f>+'leden 2025'!B107</f>
        <v>0</v>
      </c>
      <c r="E109" s="269">
        <f>+'leden 2025'!C107</f>
        <v>0</v>
      </c>
      <c r="F109" s="269">
        <f>+'únor 2025'!B107</f>
        <v>0</v>
      </c>
      <c r="G109" s="269">
        <f>+'únor 2025'!C107</f>
        <v>0</v>
      </c>
      <c r="H109" s="269">
        <f>+'březen 2025'!B107</f>
        <v>5100</v>
      </c>
      <c r="I109" s="269">
        <f>+'březen 2025'!C107</f>
        <v>3208.2750000000001</v>
      </c>
      <c r="J109" s="269">
        <f>+'duben 2025'!B107</f>
        <v>5100</v>
      </c>
      <c r="K109" s="269">
        <f>+'duben 2025'!C107</f>
        <v>4013.5409999999993</v>
      </c>
      <c r="L109" s="269">
        <f>+'květen 2025'!B109</f>
        <v>25500</v>
      </c>
      <c r="M109" s="269">
        <f>+'květen 2025'!C109</f>
        <v>15899.52</v>
      </c>
      <c r="N109" s="269">
        <f>+'červen 2025'!B109</f>
        <v>25500</v>
      </c>
      <c r="O109" s="269">
        <f>+'červen 2025'!C109</f>
        <v>16647.72</v>
      </c>
      <c r="P109" s="269">
        <f>+'červenec 2025'!B109</f>
        <v>25500</v>
      </c>
      <c r="Q109" s="269">
        <f>+'červenec 2025'!C109</f>
        <v>14493.905999999999</v>
      </c>
      <c r="R109" s="269">
        <f>+'srpen 2025'!B109</f>
        <v>25500</v>
      </c>
      <c r="S109" s="269">
        <f>+'srpen 2025'!C109</f>
        <v>11927.580000000002</v>
      </c>
      <c r="T109" s="269">
        <f>+'září 2025'!B109</f>
        <v>30000</v>
      </c>
      <c r="U109" s="269">
        <f>+'září 2025'!C109</f>
        <v>14231.216999999999</v>
      </c>
      <c r="V109" s="269">
        <f>+'říjen 2025'!B109</f>
        <v>30000</v>
      </c>
      <c r="W109" s="269">
        <f>+'říjen 2025'!C109</f>
        <v>7272.0900000000011</v>
      </c>
      <c r="X109" s="269">
        <f>+'listopad 2025'!B109</f>
        <v>0</v>
      </c>
      <c r="Y109" s="269">
        <f>+'listopad 2025'!C109</f>
        <v>0</v>
      </c>
      <c r="Z109" s="269">
        <f>+'prosinec 2025'!B109</f>
        <v>134805</v>
      </c>
      <c r="AA109" s="269">
        <f>+'prosinec 2025'!C109</f>
        <v>0</v>
      </c>
    </row>
    <row r="110" spans="1:104" s="262" customFormat="1" outlineLevel="1">
      <c r="A110" s="67" t="s">
        <v>71</v>
      </c>
      <c r="B110" s="100">
        <f t="shared" si="12"/>
        <v>127500</v>
      </c>
      <c r="C110" s="100">
        <f t="shared" si="13"/>
        <v>27959.387999999995</v>
      </c>
      <c r="D110" s="273">
        <f>+'leden 2025'!B108</f>
        <v>25500</v>
      </c>
      <c r="E110" s="273">
        <f>+'leden 2025'!C108</f>
        <v>2773.0499999999997</v>
      </c>
      <c r="F110" s="273">
        <f>+'únor 2025'!B108</f>
        <v>25500</v>
      </c>
      <c r="G110" s="273">
        <f>+'únor 2025'!C108</f>
        <v>6487.3499999999995</v>
      </c>
      <c r="H110" s="273">
        <f>+'březen 2025'!B108</f>
        <v>25500</v>
      </c>
      <c r="I110" s="273">
        <f>+'březen 2025'!C108</f>
        <v>13109.607</v>
      </c>
      <c r="J110" s="273">
        <f>+'duben 2025'!B108</f>
        <v>25500</v>
      </c>
      <c r="K110" s="273">
        <f>+'duben 2025'!C108</f>
        <v>5589.3809999999985</v>
      </c>
      <c r="L110" s="273">
        <f>+'květen 2025'!B110</f>
        <v>0</v>
      </c>
      <c r="M110" s="273">
        <f>+'květen 2025'!C110</f>
        <v>0</v>
      </c>
      <c r="N110" s="273">
        <f>+'červen 2025'!B110</f>
        <v>0</v>
      </c>
      <c r="O110" s="273">
        <f>+'červen 2025'!C110</f>
        <v>0</v>
      </c>
      <c r="P110" s="273">
        <f>+'červenec 2025'!B110</f>
        <v>0</v>
      </c>
      <c r="Q110" s="273">
        <f>+'červenec 2025'!C110</f>
        <v>0</v>
      </c>
      <c r="R110" s="273">
        <f>+'srpen 2025'!B110</f>
        <v>25500</v>
      </c>
      <c r="S110" s="273">
        <f>+'srpen 2025'!C110</f>
        <v>0</v>
      </c>
      <c r="T110" s="273">
        <f>+'září 2025'!B110</f>
        <v>0</v>
      </c>
      <c r="U110" s="273">
        <f>+'září 2025'!C110</f>
        <v>0</v>
      </c>
      <c r="V110" s="273">
        <f>+'říjen 2025'!B110</f>
        <v>0</v>
      </c>
      <c r="W110" s="273">
        <f>+'říjen 2025'!C110</f>
        <v>0</v>
      </c>
      <c r="X110" s="273">
        <f>+'listopad 2025'!B110</f>
        <v>0</v>
      </c>
      <c r="Y110" s="273">
        <f>+'listopad 2025'!C110</f>
        <v>0</v>
      </c>
      <c r="Z110" s="273">
        <f>+'prosinec 2025'!B110</f>
        <v>0</v>
      </c>
      <c r="AA110" s="273">
        <f>+'prosinec 2025'!C110</f>
        <v>0</v>
      </c>
      <c r="AB110"/>
      <c r="AC110" s="336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</row>
    <row r="111" spans="1:104" s="267" customFormat="1" outlineLevel="1">
      <c r="A111" s="47" t="s">
        <v>72</v>
      </c>
      <c r="B111" s="101">
        <f t="shared" si="12"/>
        <v>191250</v>
      </c>
      <c r="C111" s="101">
        <f t="shared" si="13"/>
        <v>123572.19299999998</v>
      </c>
      <c r="D111" s="274">
        <f>+'leden 2025'!B109</f>
        <v>12750</v>
      </c>
      <c r="E111" s="274">
        <f>+'leden 2025'!C109</f>
        <v>8626.1999999999989</v>
      </c>
      <c r="F111" s="274">
        <f>+'únor 2025'!B109</f>
        <v>12750</v>
      </c>
      <c r="G111" s="274">
        <f>+'únor 2025'!C109</f>
        <v>7941.9</v>
      </c>
      <c r="H111" s="274">
        <f>+'březen 2025'!B109</f>
        <v>12750</v>
      </c>
      <c r="I111" s="274">
        <f>+'březen 2025'!C109</f>
        <v>7542.4229999999998</v>
      </c>
      <c r="J111" s="274">
        <f>+'duben 2025'!B109</f>
        <v>12750</v>
      </c>
      <c r="K111" s="274">
        <f>+'duben 2025'!C109</f>
        <v>5732.1180000000004</v>
      </c>
      <c r="L111" s="274">
        <f>+'květen 2025'!B111</f>
        <v>12750</v>
      </c>
      <c r="M111" s="274">
        <f>+'květen 2025'!C111</f>
        <v>13481.076000000001</v>
      </c>
      <c r="N111" s="274">
        <f>+'červen 2025'!B111</f>
        <v>12750</v>
      </c>
      <c r="O111" s="274">
        <f>+'červen 2025'!C111</f>
        <v>10016.432999999999</v>
      </c>
      <c r="P111" s="274">
        <f>+'červenec 2025'!B111</f>
        <v>12750</v>
      </c>
      <c r="Q111" s="274">
        <f>+'červenec 2025'!C111</f>
        <v>11072.039999999999</v>
      </c>
      <c r="R111" s="274">
        <f>+'srpen 2025'!B111</f>
        <v>12750</v>
      </c>
      <c r="S111" s="274">
        <f>+'srpen 2025'!C111</f>
        <v>10330.571999999998</v>
      </c>
      <c r="T111" s="274">
        <f>+'září 2025'!B111</f>
        <v>12750</v>
      </c>
      <c r="U111" s="274">
        <f>+'září 2025'!C111</f>
        <v>10451.699999999999</v>
      </c>
      <c r="V111" s="274">
        <f>+'říjen 2025'!B111</f>
        <v>25500</v>
      </c>
      <c r="W111" s="274">
        <f>+'říjen 2025'!C111</f>
        <v>21003.213</v>
      </c>
      <c r="X111" s="274">
        <f>+'listopad 2025'!B111</f>
        <v>25500</v>
      </c>
      <c r="Y111" s="274">
        <f>+'listopad 2025'!C111</f>
        <v>15406.775999999998</v>
      </c>
      <c r="Z111" s="274">
        <f>+'prosinec 2025'!B111</f>
        <v>25500</v>
      </c>
      <c r="AA111" s="274">
        <f>+'prosinec 2025'!C111</f>
        <v>1967.742</v>
      </c>
      <c r="AB111"/>
      <c r="AC111" s="336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</row>
    <row r="112" spans="1:104" s="237" customFormat="1" outlineLevel="1">
      <c r="A112" s="235" t="s">
        <v>73</v>
      </c>
      <c r="B112" s="236">
        <f t="shared" si="12"/>
        <v>0</v>
      </c>
      <c r="C112" s="236">
        <f t="shared" si="13"/>
        <v>0</v>
      </c>
      <c r="D112" s="275">
        <f>+'leden 2025'!B110</f>
        <v>0</v>
      </c>
      <c r="E112" s="275">
        <f>+'leden 2025'!C110</f>
        <v>0</v>
      </c>
      <c r="F112" s="275">
        <f>+'únor 2025'!B110</f>
        <v>0</v>
      </c>
      <c r="G112" s="275">
        <f>+'únor 2025'!C110</f>
        <v>0</v>
      </c>
      <c r="H112" s="275">
        <f>+'březen 2025'!B110</f>
        <v>0</v>
      </c>
      <c r="I112" s="275">
        <f>+'březen 2025'!C110</f>
        <v>0</v>
      </c>
      <c r="J112" s="275">
        <f>+'duben 2025'!B110</f>
        <v>0</v>
      </c>
      <c r="K112" s="275">
        <f>+'duben 2025'!C110</f>
        <v>0</v>
      </c>
      <c r="L112" s="275">
        <f>+'květen 2025'!B112</f>
        <v>0</v>
      </c>
      <c r="M112" s="275">
        <f>+'květen 2025'!C112</f>
        <v>0</v>
      </c>
      <c r="N112" s="275">
        <f>+'červen 2025'!B112</f>
        <v>0</v>
      </c>
      <c r="O112" s="275">
        <f>+'červen 2025'!C112</f>
        <v>0</v>
      </c>
      <c r="P112" s="275">
        <f>+'červenec 2025'!B112</f>
        <v>0</v>
      </c>
      <c r="Q112" s="275">
        <f>+'červenec 2025'!C112</f>
        <v>0</v>
      </c>
      <c r="R112" s="275">
        <f>+'srpen 2025'!B112</f>
        <v>0</v>
      </c>
      <c r="S112" s="275">
        <f>+'srpen 2025'!C112</f>
        <v>0</v>
      </c>
      <c r="T112" s="275">
        <f>+'září 2025'!B112</f>
        <v>0</v>
      </c>
      <c r="U112" s="275">
        <f>+'září 2025'!C112</f>
        <v>0</v>
      </c>
      <c r="V112" s="275">
        <f>+'říjen 2025'!B112</f>
        <v>0</v>
      </c>
      <c r="W112" s="275">
        <f>+'říjen 2025'!C112</f>
        <v>0</v>
      </c>
      <c r="X112" s="275">
        <f>+'listopad 2025'!B112</f>
        <v>0</v>
      </c>
      <c r="Y112" s="275">
        <f>+'listopad 2025'!C112</f>
        <v>0</v>
      </c>
      <c r="Z112" s="275">
        <f>+'prosinec 2025'!B112</f>
        <v>0</v>
      </c>
      <c r="AA112" s="275">
        <f>+'prosinec 2025'!C112</f>
        <v>0</v>
      </c>
      <c r="AB112"/>
      <c r="AC112" s="336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</row>
    <row r="113" spans="1:104" s="237" customFormat="1" outlineLevel="1">
      <c r="A113" s="235" t="s">
        <v>74</v>
      </c>
      <c r="B113" s="236">
        <f t="shared" si="12"/>
        <v>0</v>
      </c>
      <c r="C113" s="236">
        <f t="shared" si="13"/>
        <v>0</v>
      </c>
      <c r="D113" s="275">
        <f>+'leden 2025'!B111</f>
        <v>0</v>
      </c>
      <c r="E113" s="275">
        <f>+'leden 2025'!C111</f>
        <v>0</v>
      </c>
      <c r="F113" s="275">
        <f>+'únor 2025'!B111</f>
        <v>0</v>
      </c>
      <c r="G113" s="275">
        <f>+'únor 2025'!C111</f>
        <v>0</v>
      </c>
      <c r="H113" s="275">
        <f>+'březen 2025'!B111</f>
        <v>0</v>
      </c>
      <c r="I113" s="275">
        <f>+'březen 2025'!C111</f>
        <v>0</v>
      </c>
      <c r="J113" s="275">
        <f>+'duben 2025'!B111</f>
        <v>0</v>
      </c>
      <c r="K113" s="275">
        <f>+'duben 2025'!C111</f>
        <v>0</v>
      </c>
      <c r="L113" s="275">
        <f>+'květen 2025'!B113</f>
        <v>0</v>
      </c>
      <c r="M113" s="275">
        <f>+'květen 2025'!C113</f>
        <v>0</v>
      </c>
      <c r="N113" s="275">
        <f>+'červen 2025'!B113</f>
        <v>0</v>
      </c>
      <c r="O113" s="275">
        <f>+'červen 2025'!C113</f>
        <v>0</v>
      </c>
      <c r="P113" s="275">
        <f>+'červenec 2025'!B113</f>
        <v>0</v>
      </c>
      <c r="Q113" s="275">
        <f>+'červenec 2025'!C113</f>
        <v>0</v>
      </c>
      <c r="R113" s="275">
        <f>+'srpen 2025'!B113</f>
        <v>0</v>
      </c>
      <c r="S113" s="275">
        <f>+'srpen 2025'!C113</f>
        <v>0</v>
      </c>
      <c r="T113" s="275">
        <f>+'září 2025'!B113</f>
        <v>0</v>
      </c>
      <c r="U113" s="275">
        <f>+'září 2025'!C113</f>
        <v>0</v>
      </c>
      <c r="V113" s="275">
        <f>+'říjen 2025'!B113</f>
        <v>0</v>
      </c>
      <c r="W113" s="275">
        <f>+'říjen 2025'!C113</f>
        <v>0</v>
      </c>
      <c r="X113" s="275">
        <f>+'listopad 2025'!B113</f>
        <v>0</v>
      </c>
      <c r="Y113" s="275">
        <f>+'listopad 2025'!C113</f>
        <v>0</v>
      </c>
      <c r="Z113" s="275">
        <f>+'prosinec 2025'!B113</f>
        <v>0</v>
      </c>
      <c r="AA113" s="275">
        <f>+'prosinec 2025'!C113</f>
        <v>0</v>
      </c>
      <c r="AB113"/>
      <c r="AC113" s="336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</row>
    <row r="114" spans="1:104" s="254" customFormat="1">
      <c r="A114" s="252" t="s">
        <v>75</v>
      </c>
      <c r="B114" s="253">
        <f t="shared" si="12"/>
        <v>840000</v>
      </c>
      <c r="C114" s="253">
        <f t="shared" si="13"/>
        <v>770000</v>
      </c>
      <c r="D114" s="280">
        <f>+'leden 2025'!B112</f>
        <v>70000</v>
      </c>
      <c r="E114" s="280">
        <f>+'leden 2025'!C112</f>
        <v>70000</v>
      </c>
      <c r="F114" s="280">
        <f>+'únor 2025'!B112</f>
        <v>70000</v>
      </c>
      <c r="G114" s="280">
        <f>+'únor 2025'!C112</f>
        <v>70000</v>
      </c>
      <c r="H114" s="280">
        <f>+'březen 2025'!B112</f>
        <v>70000</v>
      </c>
      <c r="I114" s="280">
        <f>+'březen 2025'!C112</f>
        <v>70000</v>
      </c>
      <c r="J114" s="280">
        <f>+'duben 2025'!B112</f>
        <v>70000</v>
      </c>
      <c r="K114" s="280">
        <f>+'duben 2025'!C112</f>
        <v>70000</v>
      </c>
      <c r="L114" s="280">
        <f>+'květen 2025'!B114</f>
        <v>70000</v>
      </c>
      <c r="M114" s="280">
        <f>+'květen 2025'!C114</f>
        <v>70000</v>
      </c>
      <c r="N114" s="280">
        <f>+'červen 2025'!B114</f>
        <v>70000</v>
      </c>
      <c r="O114" s="280">
        <f>+'červen 2025'!C114</f>
        <v>70000</v>
      </c>
      <c r="P114" s="280">
        <f>+'červenec 2025'!B114</f>
        <v>70000</v>
      </c>
      <c r="Q114" s="280">
        <f>+'červenec 2025'!C114</f>
        <v>70000</v>
      </c>
      <c r="R114" s="280">
        <f>+'srpen 2025'!B114</f>
        <v>70000</v>
      </c>
      <c r="S114" s="280">
        <f>+'srpen 2025'!C114</f>
        <v>70000</v>
      </c>
      <c r="T114" s="280">
        <f>+'září 2025'!B114</f>
        <v>70000</v>
      </c>
      <c r="U114" s="280">
        <f>+'září 2025'!C114</f>
        <v>70000</v>
      </c>
      <c r="V114" s="280">
        <f>+'říjen 2025'!B114</f>
        <v>70000</v>
      </c>
      <c r="W114" s="280">
        <f>+'říjen 2025'!C114</f>
        <v>70000</v>
      </c>
      <c r="X114" s="280">
        <f>+'listopad 2025'!B114</f>
        <v>70000</v>
      </c>
      <c r="Y114" s="280">
        <f>+'listopad 2025'!C114</f>
        <v>70000</v>
      </c>
      <c r="Z114" s="280">
        <f>+'prosinec 2025'!B114</f>
        <v>70000</v>
      </c>
      <c r="AA114" s="280">
        <f>+'prosinec 2025'!C114</f>
        <v>0</v>
      </c>
      <c r="AB114" s="286"/>
      <c r="AC114" s="338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  <c r="AV114" s="286"/>
      <c r="AW114" s="286"/>
      <c r="AX114" s="286"/>
      <c r="AY114" s="286"/>
      <c r="AZ114" s="286"/>
      <c r="BA114" s="286"/>
      <c r="BB114" s="286"/>
      <c r="BC114" s="286"/>
      <c r="BD114" s="286"/>
      <c r="BE114" s="286"/>
      <c r="BF114" s="286"/>
      <c r="BG114" s="286"/>
      <c r="BH114" s="286"/>
      <c r="BI114" s="286"/>
      <c r="BJ114" s="286"/>
      <c r="BK114" s="286"/>
      <c r="BL114" s="286"/>
      <c r="BM114" s="286"/>
      <c r="BN114" s="286"/>
      <c r="BO114" s="286"/>
      <c r="BP114" s="286"/>
      <c r="BQ114" s="286"/>
      <c r="BR114" s="286"/>
      <c r="BS114" s="286"/>
      <c r="BT114" s="286"/>
      <c r="BU114" s="286"/>
      <c r="BV114" s="286"/>
      <c r="BW114" s="286"/>
      <c r="BX114" s="286"/>
      <c r="BY114" s="286"/>
      <c r="BZ114" s="286"/>
      <c r="CA114" s="286"/>
      <c r="CB114" s="286"/>
      <c r="CC114" s="286"/>
      <c r="CD114" s="286"/>
      <c r="CE114" s="286"/>
      <c r="CF114" s="286"/>
      <c r="CG114" s="286"/>
      <c r="CH114" s="286"/>
      <c r="CI114" s="286"/>
      <c r="CJ114" s="286"/>
      <c r="CK114" s="286"/>
      <c r="CL114" s="286"/>
      <c r="CM114" s="286"/>
      <c r="CN114" s="286"/>
      <c r="CO114" s="286"/>
      <c r="CP114" s="286"/>
      <c r="CQ114" s="286"/>
      <c r="CR114" s="286"/>
      <c r="CS114" s="286"/>
      <c r="CT114" s="286"/>
      <c r="CU114" s="286"/>
      <c r="CV114" s="286"/>
      <c r="CW114" s="286"/>
      <c r="CX114" s="286"/>
      <c r="CY114" s="286"/>
      <c r="CZ114" s="286"/>
    </row>
    <row r="115" spans="1:104" outlineLevel="1">
      <c r="A115" s="44" t="s">
        <v>76</v>
      </c>
      <c r="B115" s="91">
        <f t="shared" si="12"/>
        <v>360000</v>
      </c>
      <c r="C115" s="91">
        <f t="shared" si="13"/>
        <v>330000</v>
      </c>
      <c r="D115" s="269">
        <f>+'leden 2025'!B113</f>
        <v>30000</v>
      </c>
      <c r="E115" s="269">
        <f>+'leden 2025'!C113</f>
        <v>30000</v>
      </c>
      <c r="F115" s="269">
        <f>+'únor 2025'!B113</f>
        <v>30000</v>
      </c>
      <c r="G115" s="269">
        <f>+'únor 2025'!C113</f>
        <v>30000</v>
      </c>
      <c r="H115" s="269">
        <f>+'březen 2025'!B113</f>
        <v>30000</v>
      </c>
      <c r="I115" s="269">
        <f>+'březen 2025'!C113</f>
        <v>30000</v>
      </c>
      <c r="J115" s="269">
        <f>+'duben 2025'!B113</f>
        <v>30000</v>
      </c>
      <c r="K115" s="269">
        <f>+'duben 2025'!C113</f>
        <v>30000</v>
      </c>
      <c r="L115" s="269">
        <f>+'květen 2025'!B115</f>
        <v>30000</v>
      </c>
      <c r="M115" s="269">
        <f>+'květen 2025'!C115</f>
        <v>30000</v>
      </c>
      <c r="N115" s="269">
        <f>+'červen 2025'!B115</f>
        <v>30000</v>
      </c>
      <c r="O115" s="269">
        <f>+'červen 2025'!C115</f>
        <v>30000</v>
      </c>
      <c r="P115" s="269">
        <f>+'červenec 2025'!B115</f>
        <v>30000</v>
      </c>
      <c r="Q115" s="269">
        <f>+'červenec 2025'!C115</f>
        <v>30000</v>
      </c>
      <c r="R115" s="269">
        <f>+'srpen 2025'!B115</f>
        <v>30000</v>
      </c>
      <c r="S115" s="269">
        <f>+'srpen 2025'!C115</f>
        <v>30000</v>
      </c>
      <c r="T115" s="269">
        <f>+'září 2025'!B115</f>
        <v>30000</v>
      </c>
      <c r="U115" s="269">
        <f>+'září 2025'!C115</f>
        <v>30000</v>
      </c>
      <c r="V115" s="269">
        <f>+'říjen 2025'!B115</f>
        <v>30000</v>
      </c>
      <c r="W115" s="269">
        <f>+'říjen 2025'!C115</f>
        <v>30000</v>
      </c>
      <c r="X115" s="269">
        <f>+'listopad 2025'!B115</f>
        <v>30000</v>
      </c>
      <c r="Y115" s="269">
        <f>+'listopad 2025'!C115</f>
        <v>30000</v>
      </c>
      <c r="Z115" s="269">
        <f>+'prosinec 2025'!B115</f>
        <v>30000</v>
      </c>
      <c r="AA115" s="269">
        <f>+'prosinec 2025'!C115</f>
        <v>0</v>
      </c>
    </row>
    <row r="116" spans="1:104" s="243" customFormat="1" outlineLevel="1">
      <c r="A116" s="58" t="s">
        <v>77</v>
      </c>
      <c r="B116" s="96">
        <f t="shared" si="12"/>
        <v>240000</v>
      </c>
      <c r="C116" s="96">
        <f t="shared" si="13"/>
        <v>220000</v>
      </c>
      <c r="D116" s="271">
        <f>+'leden 2025'!B114</f>
        <v>20000</v>
      </c>
      <c r="E116" s="271">
        <f>+'leden 2025'!C114</f>
        <v>20000</v>
      </c>
      <c r="F116" s="271">
        <f>+'únor 2025'!B114</f>
        <v>20000</v>
      </c>
      <c r="G116" s="271">
        <f>+'únor 2025'!C114</f>
        <v>20000</v>
      </c>
      <c r="H116" s="271">
        <f>+'březen 2025'!B114</f>
        <v>20000</v>
      </c>
      <c r="I116" s="271">
        <f>+'březen 2025'!C114</f>
        <v>20000</v>
      </c>
      <c r="J116" s="271">
        <f>+'duben 2025'!B114</f>
        <v>20000</v>
      </c>
      <c r="K116" s="271">
        <f>+'duben 2025'!C114</f>
        <v>20000</v>
      </c>
      <c r="L116" s="271">
        <f>+'květen 2025'!B116</f>
        <v>20000</v>
      </c>
      <c r="M116" s="271">
        <f>+'květen 2025'!C116</f>
        <v>20000</v>
      </c>
      <c r="N116" s="271">
        <f>+'červen 2025'!B116</f>
        <v>20000</v>
      </c>
      <c r="O116" s="271">
        <f>+'červen 2025'!C116</f>
        <v>20000</v>
      </c>
      <c r="P116" s="271">
        <f>+'červenec 2025'!B116</f>
        <v>20000</v>
      </c>
      <c r="Q116" s="271">
        <f>+'červenec 2025'!C116</f>
        <v>20000</v>
      </c>
      <c r="R116" s="271">
        <f>+'srpen 2025'!B116</f>
        <v>20000</v>
      </c>
      <c r="S116" s="271">
        <f>+'srpen 2025'!C116</f>
        <v>20000</v>
      </c>
      <c r="T116" s="271">
        <f>+'září 2025'!B116</f>
        <v>20000</v>
      </c>
      <c r="U116" s="271">
        <f>+'září 2025'!C116</f>
        <v>20000</v>
      </c>
      <c r="V116" s="271">
        <f>+'říjen 2025'!B116</f>
        <v>20000</v>
      </c>
      <c r="W116" s="271">
        <f>+'říjen 2025'!C116</f>
        <v>20000</v>
      </c>
      <c r="X116" s="271">
        <f>+'listopad 2025'!B116</f>
        <v>20000</v>
      </c>
      <c r="Y116" s="271">
        <f>+'listopad 2025'!C116</f>
        <v>20000</v>
      </c>
      <c r="Z116" s="271">
        <f>+'prosinec 2025'!B116</f>
        <v>20000</v>
      </c>
      <c r="AA116" s="271">
        <f>+'prosinec 2025'!C116</f>
        <v>0</v>
      </c>
      <c r="AB116" s="16"/>
      <c r="AC116" s="342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</row>
    <row r="117" spans="1:104" s="260" customFormat="1" outlineLevel="1">
      <c r="A117" s="57" t="s">
        <v>78</v>
      </c>
      <c r="B117" s="98">
        <f t="shared" si="12"/>
        <v>240000</v>
      </c>
      <c r="C117" s="98">
        <f t="shared" si="13"/>
        <v>220000</v>
      </c>
      <c r="D117" s="272">
        <f>+'leden 2025'!B115</f>
        <v>20000</v>
      </c>
      <c r="E117" s="272">
        <f>+'leden 2025'!C115</f>
        <v>20000</v>
      </c>
      <c r="F117" s="272">
        <f>+'únor 2025'!B115</f>
        <v>20000</v>
      </c>
      <c r="G117" s="272">
        <f>+'únor 2025'!C115</f>
        <v>20000</v>
      </c>
      <c r="H117" s="272">
        <f>+'březen 2025'!B115</f>
        <v>20000</v>
      </c>
      <c r="I117" s="272">
        <f>+'březen 2025'!C115</f>
        <v>20000</v>
      </c>
      <c r="J117" s="272">
        <f>+'duben 2025'!B115</f>
        <v>20000</v>
      </c>
      <c r="K117" s="272">
        <f>+'duben 2025'!C115</f>
        <v>20000</v>
      </c>
      <c r="L117" s="272">
        <f>+'květen 2025'!B117</f>
        <v>20000</v>
      </c>
      <c r="M117" s="272">
        <f>+'květen 2025'!C117</f>
        <v>20000</v>
      </c>
      <c r="N117" s="272">
        <f>+'červen 2025'!B117</f>
        <v>20000</v>
      </c>
      <c r="O117" s="272">
        <f>+'červen 2025'!C117</f>
        <v>20000</v>
      </c>
      <c r="P117" s="272">
        <f>+'červenec 2025'!B117</f>
        <v>20000</v>
      </c>
      <c r="Q117" s="272">
        <f>+'červenec 2025'!C117</f>
        <v>20000</v>
      </c>
      <c r="R117" s="272">
        <f>+'srpen 2025'!B117</f>
        <v>20000</v>
      </c>
      <c r="S117" s="272">
        <f>+'srpen 2025'!C117</f>
        <v>20000</v>
      </c>
      <c r="T117" s="272">
        <f>+'září 2025'!B117</f>
        <v>20000</v>
      </c>
      <c r="U117" s="272">
        <f>+'září 2025'!C117</f>
        <v>20000</v>
      </c>
      <c r="V117" s="272">
        <f>+'říjen 2025'!B117</f>
        <v>20000</v>
      </c>
      <c r="W117" s="272">
        <f>+'říjen 2025'!C117</f>
        <v>20000</v>
      </c>
      <c r="X117" s="272">
        <f>+'listopad 2025'!B117</f>
        <v>20000</v>
      </c>
      <c r="Y117" s="272">
        <f>+'listopad 2025'!C117</f>
        <v>20000</v>
      </c>
      <c r="Z117" s="272">
        <f>+'prosinec 2025'!B117</f>
        <v>20000</v>
      </c>
      <c r="AA117" s="272">
        <f>+'prosinec 2025'!C117</f>
        <v>0</v>
      </c>
      <c r="AB117" s="16"/>
      <c r="AC117" s="342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</row>
    <row r="118" spans="1:104" outlineLevel="1">
      <c r="A118" s="50" t="s">
        <v>79</v>
      </c>
      <c r="B118" s="91">
        <f t="shared" si="12"/>
        <v>0</v>
      </c>
      <c r="C118" s="91">
        <f t="shared" si="13"/>
        <v>0</v>
      </c>
      <c r="D118" s="269">
        <f>+'leden 2025'!B116</f>
        <v>0</v>
      </c>
      <c r="E118" s="269">
        <f>+'leden 2025'!C116</f>
        <v>0</v>
      </c>
      <c r="F118" s="269">
        <f>+'únor 2025'!B116</f>
        <v>0</v>
      </c>
      <c r="G118" s="269">
        <f>+'únor 2025'!C116</f>
        <v>0</v>
      </c>
      <c r="H118" s="269">
        <f>+'březen 2025'!B116</f>
        <v>0</v>
      </c>
      <c r="I118" s="269">
        <f>+'březen 2025'!C116</f>
        <v>0</v>
      </c>
      <c r="J118" s="269">
        <f>+'duben 2025'!B116</f>
        <v>0</v>
      </c>
      <c r="K118" s="269">
        <f>+'duben 2025'!C116</f>
        <v>0</v>
      </c>
      <c r="L118" s="269">
        <f>+'květen 2025'!B118</f>
        <v>0</v>
      </c>
      <c r="M118" s="269">
        <f>+'květen 2025'!C118</f>
        <v>0</v>
      </c>
      <c r="N118" s="269">
        <f>+'červen 2025'!B118</f>
        <v>0</v>
      </c>
      <c r="O118" s="269">
        <f>+'červen 2025'!C118</f>
        <v>0</v>
      </c>
      <c r="P118" s="269">
        <f>+'červenec 2025'!B118</f>
        <v>0</v>
      </c>
      <c r="Q118" s="269">
        <f>+'červenec 2025'!C118</f>
        <v>0</v>
      </c>
      <c r="R118" s="269">
        <f>+'srpen 2025'!B118</f>
        <v>0</v>
      </c>
      <c r="S118" s="269">
        <f>+'srpen 2025'!C118</f>
        <v>0</v>
      </c>
      <c r="T118" s="269">
        <f>+'září 2025'!B118</f>
        <v>0</v>
      </c>
      <c r="U118" s="269">
        <f>+'září 2025'!C118</f>
        <v>0</v>
      </c>
      <c r="V118" s="269">
        <f>+'říjen 2025'!B118</f>
        <v>0</v>
      </c>
      <c r="W118" s="269">
        <f>+'říjen 2025'!C118</f>
        <v>0</v>
      </c>
      <c r="X118" s="269">
        <f>+'listopad 2025'!B118</f>
        <v>0</v>
      </c>
      <c r="Y118" s="269">
        <f>+'listopad 2025'!C118</f>
        <v>0</v>
      </c>
      <c r="Z118" s="269">
        <f>+'prosinec 2025'!B118</f>
        <v>0</v>
      </c>
      <c r="AA118" s="269">
        <f>+'prosinec 2025'!C118</f>
        <v>0</v>
      </c>
    </row>
    <row r="119" spans="1:104" s="263" customFormat="1" outlineLevel="1">
      <c r="A119" s="67" t="s">
        <v>80</v>
      </c>
      <c r="B119" s="100">
        <f t="shared" si="12"/>
        <v>0</v>
      </c>
      <c r="C119" s="100">
        <f t="shared" si="13"/>
        <v>0</v>
      </c>
      <c r="D119" s="273">
        <f>+'leden 2025'!B117</f>
        <v>0</v>
      </c>
      <c r="E119" s="273">
        <f>+'leden 2025'!C117</f>
        <v>0</v>
      </c>
      <c r="F119" s="273">
        <f>+'únor 2025'!B117</f>
        <v>0</v>
      </c>
      <c r="G119" s="273">
        <f>+'únor 2025'!C117</f>
        <v>0</v>
      </c>
      <c r="H119" s="273">
        <f>+'březen 2025'!B117</f>
        <v>0</v>
      </c>
      <c r="I119" s="273">
        <f>+'březen 2025'!C117</f>
        <v>0</v>
      </c>
      <c r="J119" s="273">
        <f>+'duben 2025'!B117</f>
        <v>0</v>
      </c>
      <c r="K119" s="273">
        <f>+'duben 2025'!C117</f>
        <v>0</v>
      </c>
      <c r="L119" s="273">
        <f>+'květen 2025'!B119</f>
        <v>0</v>
      </c>
      <c r="M119" s="273">
        <f>+'květen 2025'!C119</f>
        <v>0</v>
      </c>
      <c r="N119" s="273">
        <f>+'červen 2025'!B119</f>
        <v>0</v>
      </c>
      <c r="O119" s="273">
        <f>+'červen 2025'!C119</f>
        <v>0</v>
      </c>
      <c r="P119" s="273">
        <f>+'červenec 2025'!B119</f>
        <v>0</v>
      </c>
      <c r="Q119" s="273">
        <f>+'červenec 2025'!C119</f>
        <v>0</v>
      </c>
      <c r="R119" s="273">
        <f>+'srpen 2025'!B119</f>
        <v>0</v>
      </c>
      <c r="S119" s="273">
        <f>+'srpen 2025'!C119</f>
        <v>0</v>
      </c>
      <c r="T119" s="273">
        <f>+'září 2025'!B119</f>
        <v>0</v>
      </c>
      <c r="U119" s="273">
        <f>+'září 2025'!C119</f>
        <v>0</v>
      </c>
      <c r="V119" s="273">
        <f>+'říjen 2025'!B119</f>
        <v>0</v>
      </c>
      <c r="W119" s="273">
        <f>+'říjen 2025'!C119</f>
        <v>0</v>
      </c>
      <c r="X119" s="273">
        <f>+'listopad 2025'!B119</f>
        <v>0</v>
      </c>
      <c r="Y119" s="273">
        <f>+'listopad 2025'!C119</f>
        <v>0</v>
      </c>
      <c r="Z119" s="273">
        <f>+'prosinec 2025'!B119</f>
        <v>0</v>
      </c>
      <c r="AA119" s="273">
        <f>+'prosinec 2025'!C119</f>
        <v>0</v>
      </c>
      <c r="AB119" s="16"/>
      <c r="AC119" s="342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</row>
    <row r="120" spans="1:104" s="266" customFormat="1" outlineLevel="1">
      <c r="A120" s="47" t="s">
        <v>81</v>
      </c>
      <c r="B120" s="101">
        <f t="shared" ref="B120:B150" si="14">+D120+F120+H120+J120+L120+N120+P120+R120+T120+V120+X120+Z120</f>
        <v>0</v>
      </c>
      <c r="C120" s="101">
        <f t="shared" ref="C120:C150" si="15">+E120+G120+I120+K120+M120+O120+Q120+S120+U120+W120+Y120+AA120</f>
        <v>0</v>
      </c>
      <c r="D120" s="274">
        <f>+'leden 2025'!B118</f>
        <v>0</v>
      </c>
      <c r="E120" s="274">
        <f>+'leden 2025'!C118</f>
        <v>0</v>
      </c>
      <c r="F120" s="274">
        <f>+'únor 2025'!B118</f>
        <v>0</v>
      </c>
      <c r="G120" s="274">
        <f>+'únor 2025'!C118</f>
        <v>0</v>
      </c>
      <c r="H120" s="274">
        <f>+'březen 2025'!B118</f>
        <v>0</v>
      </c>
      <c r="I120" s="274">
        <f>+'březen 2025'!C118</f>
        <v>0</v>
      </c>
      <c r="J120" s="274">
        <f>+'duben 2025'!B118</f>
        <v>0</v>
      </c>
      <c r="K120" s="274">
        <f>+'duben 2025'!C118</f>
        <v>0</v>
      </c>
      <c r="L120" s="274">
        <f>+'květen 2025'!B120</f>
        <v>0</v>
      </c>
      <c r="M120" s="274">
        <f>+'květen 2025'!C120</f>
        <v>0</v>
      </c>
      <c r="N120" s="274">
        <f>+'červen 2025'!B120</f>
        <v>0</v>
      </c>
      <c r="O120" s="274">
        <f>+'červen 2025'!C120</f>
        <v>0</v>
      </c>
      <c r="P120" s="274">
        <f>+'červenec 2025'!B120</f>
        <v>0</v>
      </c>
      <c r="Q120" s="274">
        <f>+'červenec 2025'!C120</f>
        <v>0</v>
      </c>
      <c r="R120" s="274">
        <f>+'srpen 2025'!B120</f>
        <v>0</v>
      </c>
      <c r="S120" s="274">
        <f>+'srpen 2025'!C120</f>
        <v>0</v>
      </c>
      <c r="T120" s="274">
        <f>+'září 2025'!B120</f>
        <v>0</v>
      </c>
      <c r="U120" s="274">
        <f>+'září 2025'!C120</f>
        <v>0</v>
      </c>
      <c r="V120" s="274">
        <f>+'říjen 2025'!B120</f>
        <v>0</v>
      </c>
      <c r="W120" s="274">
        <f>+'říjen 2025'!C120</f>
        <v>0</v>
      </c>
      <c r="X120" s="274">
        <f>+'listopad 2025'!B120</f>
        <v>0</v>
      </c>
      <c r="Y120" s="274">
        <f>+'listopad 2025'!C120</f>
        <v>0</v>
      </c>
      <c r="Z120" s="274">
        <f>+'prosinec 2025'!B120</f>
        <v>0</v>
      </c>
      <c r="AA120" s="274">
        <f>+'prosinec 2025'!C120</f>
        <v>0</v>
      </c>
      <c r="AB120" s="16"/>
      <c r="AC120" s="342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</row>
    <row r="121" spans="1:104" s="239" customFormat="1" outlineLevel="1">
      <c r="A121" s="235" t="s">
        <v>82</v>
      </c>
      <c r="B121" s="236">
        <f t="shared" si="14"/>
        <v>0</v>
      </c>
      <c r="C121" s="236">
        <f t="shared" si="15"/>
        <v>0</v>
      </c>
      <c r="D121" s="275">
        <f>+'leden 2025'!B119</f>
        <v>0</v>
      </c>
      <c r="E121" s="275">
        <f>+'leden 2025'!C119</f>
        <v>0</v>
      </c>
      <c r="F121" s="275">
        <f>+'únor 2025'!B119</f>
        <v>0</v>
      </c>
      <c r="G121" s="275">
        <f>+'únor 2025'!C119</f>
        <v>0</v>
      </c>
      <c r="H121" s="275">
        <f>+'březen 2025'!B119</f>
        <v>0</v>
      </c>
      <c r="I121" s="275">
        <f>+'březen 2025'!C119</f>
        <v>0</v>
      </c>
      <c r="J121" s="275">
        <f>+'duben 2025'!B119</f>
        <v>0</v>
      </c>
      <c r="K121" s="275">
        <f>+'duben 2025'!C119</f>
        <v>0</v>
      </c>
      <c r="L121" s="275">
        <f>+'květen 2025'!B121</f>
        <v>0</v>
      </c>
      <c r="M121" s="275">
        <f>+'květen 2025'!C121</f>
        <v>0</v>
      </c>
      <c r="N121" s="275">
        <f>+'červen 2025'!B121</f>
        <v>0</v>
      </c>
      <c r="O121" s="275">
        <f>+'červen 2025'!C121</f>
        <v>0</v>
      </c>
      <c r="P121" s="275">
        <f>+'červenec 2025'!B121</f>
        <v>0</v>
      </c>
      <c r="Q121" s="275">
        <f>+'červenec 2025'!C121</f>
        <v>0</v>
      </c>
      <c r="R121" s="275">
        <f>+'srpen 2025'!B121</f>
        <v>0</v>
      </c>
      <c r="S121" s="275">
        <f>+'srpen 2025'!C121</f>
        <v>0</v>
      </c>
      <c r="T121" s="275">
        <f>+'září 2025'!B121</f>
        <v>0</v>
      </c>
      <c r="U121" s="275">
        <f>+'září 2025'!C121</f>
        <v>0</v>
      </c>
      <c r="V121" s="275">
        <f>+'říjen 2025'!B121</f>
        <v>0</v>
      </c>
      <c r="W121" s="275">
        <f>+'říjen 2025'!C121</f>
        <v>0</v>
      </c>
      <c r="X121" s="275">
        <f>+'listopad 2025'!B121</f>
        <v>0</v>
      </c>
      <c r="Y121" s="275">
        <f>+'listopad 2025'!C121</f>
        <v>0</v>
      </c>
      <c r="Z121" s="275">
        <f>+'prosinec 2025'!B121</f>
        <v>0</v>
      </c>
      <c r="AA121" s="275">
        <f>+'prosinec 2025'!C121</f>
        <v>0</v>
      </c>
      <c r="AB121" s="16"/>
      <c r="AC121" s="342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</row>
    <row r="122" spans="1:104" s="239" customFormat="1" outlineLevel="1">
      <c r="A122" s="235" t="s">
        <v>83</v>
      </c>
      <c r="B122" s="236">
        <f t="shared" si="14"/>
        <v>0</v>
      </c>
      <c r="C122" s="236">
        <f t="shared" si="15"/>
        <v>0</v>
      </c>
      <c r="D122" s="275">
        <f>+'leden 2025'!B120</f>
        <v>0</v>
      </c>
      <c r="E122" s="275">
        <f>+'leden 2025'!C120</f>
        <v>0</v>
      </c>
      <c r="F122" s="275">
        <f>+'únor 2025'!B120</f>
        <v>0</v>
      </c>
      <c r="G122" s="275">
        <f>+'únor 2025'!C120</f>
        <v>0</v>
      </c>
      <c r="H122" s="275">
        <f>+'březen 2025'!B120</f>
        <v>0</v>
      </c>
      <c r="I122" s="275">
        <f>+'březen 2025'!C120</f>
        <v>0</v>
      </c>
      <c r="J122" s="275">
        <f>+'duben 2025'!B120</f>
        <v>0</v>
      </c>
      <c r="K122" s="275">
        <f>+'duben 2025'!C120</f>
        <v>0</v>
      </c>
      <c r="L122" s="275">
        <f>+'květen 2025'!B122</f>
        <v>0</v>
      </c>
      <c r="M122" s="275">
        <f>+'květen 2025'!C122</f>
        <v>0</v>
      </c>
      <c r="N122" s="275">
        <f>+'červen 2025'!B122</f>
        <v>0</v>
      </c>
      <c r="O122" s="275">
        <f>+'červen 2025'!C122</f>
        <v>0</v>
      </c>
      <c r="P122" s="275">
        <f>+'červenec 2025'!B122</f>
        <v>0</v>
      </c>
      <c r="Q122" s="275">
        <f>+'červenec 2025'!C122</f>
        <v>0</v>
      </c>
      <c r="R122" s="275">
        <f>+'srpen 2025'!B122</f>
        <v>0</v>
      </c>
      <c r="S122" s="275">
        <f>+'srpen 2025'!C122</f>
        <v>0</v>
      </c>
      <c r="T122" s="275">
        <f>+'září 2025'!B122</f>
        <v>0</v>
      </c>
      <c r="U122" s="275">
        <f>+'září 2025'!C122</f>
        <v>0</v>
      </c>
      <c r="V122" s="275">
        <f>+'říjen 2025'!B122</f>
        <v>0</v>
      </c>
      <c r="W122" s="275">
        <f>+'říjen 2025'!C122</f>
        <v>0</v>
      </c>
      <c r="X122" s="275">
        <f>+'listopad 2025'!B122</f>
        <v>0</v>
      </c>
      <c r="Y122" s="275">
        <f>+'listopad 2025'!C122</f>
        <v>0</v>
      </c>
      <c r="Z122" s="275">
        <f>+'prosinec 2025'!B122</f>
        <v>0</v>
      </c>
      <c r="AA122" s="275">
        <f>+'prosinec 2025'!C122</f>
        <v>0</v>
      </c>
      <c r="AB122" s="16"/>
      <c r="AC122" s="342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</row>
    <row r="123" spans="1:104" s="251" customFormat="1">
      <c r="A123" s="150" t="s">
        <v>84</v>
      </c>
      <c r="B123" s="250">
        <f t="shared" si="14"/>
        <v>3062170</v>
      </c>
      <c r="C123" s="250">
        <f t="shared" si="15"/>
        <v>2002350.3470000003</v>
      </c>
      <c r="D123" s="281">
        <f>+'leden 2025'!B121</f>
        <v>151000</v>
      </c>
      <c r="E123" s="281">
        <f>+'leden 2025'!C121</f>
        <v>103675.79999999999</v>
      </c>
      <c r="F123" s="281">
        <f>+'únor 2025'!B121</f>
        <v>151000</v>
      </c>
      <c r="G123" s="281">
        <f>+'únor 2025'!C121</f>
        <v>98880.400000000009</v>
      </c>
      <c r="H123" s="281">
        <f>+'březen 2025'!B121</f>
        <v>216400</v>
      </c>
      <c r="I123" s="281">
        <f>+'březen 2025'!C121</f>
        <v>149209.78400000004</v>
      </c>
      <c r="J123" s="281">
        <f>+'duben 2025'!B121</f>
        <v>216400</v>
      </c>
      <c r="K123" s="281">
        <f>+'duben 2025'!C121</f>
        <v>129796.54999999999</v>
      </c>
      <c r="L123" s="281">
        <f>+'květen 2025'!B123</f>
        <v>247000</v>
      </c>
      <c r="M123" s="281">
        <f>+'květen 2025'!C123</f>
        <v>179167.22999999998</v>
      </c>
      <c r="N123" s="281">
        <f>+'červen 2025'!B123</f>
        <v>249500</v>
      </c>
      <c r="O123" s="281">
        <f>+'červen 2025'!C123</f>
        <v>197916.30200000003</v>
      </c>
      <c r="P123" s="281">
        <f>+'červenec 2025'!B123</f>
        <v>242000</v>
      </c>
      <c r="Q123" s="281">
        <f>+'červenec 2025'!C123</f>
        <v>177860.679</v>
      </c>
      <c r="R123" s="281">
        <f>+'srpen 2025'!B123</f>
        <v>281500</v>
      </c>
      <c r="S123" s="281">
        <f>+'srpen 2025'!C123</f>
        <v>173438.10199999998</v>
      </c>
      <c r="T123" s="281">
        <f>+'září 2025'!B123</f>
        <v>269000</v>
      </c>
      <c r="U123" s="281">
        <f>+'září 2025'!C123</f>
        <v>207438.84</v>
      </c>
      <c r="V123" s="281">
        <f>+'říjen 2025'!B123</f>
        <v>297500</v>
      </c>
      <c r="W123" s="281">
        <f>+'říjen 2025'!C123</f>
        <v>212369.99599999998</v>
      </c>
      <c r="X123" s="281">
        <f>+'listopad 2025'!B123</f>
        <v>315500</v>
      </c>
      <c r="Y123" s="281">
        <f>+'listopad 2025'!C123</f>
        <v>244663.47600000002</v>
      </c>
      <c r="Z123" s="281">
        <f>+'prosinec 2025'!B123</f>
        <v>425370</v>
      </c>
      <c r="AA123" s="281">
        <f>+'prosinec 2025'!C123</f>
        <v>127933.18799999998</v>
      </c>
      <c r="AB123" s="287"/>
      <c r="AC123" s="343"/>
      <c r="AD123" s="287"/>
      <c r="AE123" s="287"/>
      <c r="AF123" s="287"/>
      <c r="AG123" s="287"/>
      <c r="AH123" s="287"/>
      <c r="AI123" s="287"/>
      <c r="AJ123" s="287"/>
      <c r="AK123" s="287"/>
      <c r="AL123" s="287"/>
      <c r="AM123" s="287"/>
      <c r="AN123" s="287"/>
      <c r="AO123" s="287"/>
      <c r="AP123" s="287"/>
      <c r="AQ123" s="287"/>
      <c r="AR123" s="287"/>
      <c r="AS123" s="287"/>
      <c r="AT123" s="287"/>
      <c r="AU123" s="287"/>
      <c r="AV123" s="287"/>
      <c r="AW123" s="287"/>
      <c r="AX123" s="287"/>
      <c r="AY123" s="287"/>
      <c r="AZ123" s="287"/>
      <c r="BA123" s="287"/>
      <c r="BB123" s="287"/>
      <c r="BC123" s="287"/>
      <c r="BD123" s="287"/>
      <c r="BE123" s="287"/>
      <c r="BF123" s="287"/>
      <c r="BG123" s="287"/>
      <c r="BH123" s="287"/>
      <c r="BI123" s="287"/>
      <c r="BJ123" s="287"/>
      <c r="BK123" s="287"/>
      <c r="BL123" s="287"/>
      <c r="BM123" s="287"/>
      <c r="BN123" s="287"/>
      <c r="BO123" s="287"/>
      <c r="BP123" s="287"/>
      <c r="BQ123" s="287"/>
      <c r="BR123" s="287"/>
      <c r="BS123" s="287"/>
      <c r="BT123" s="287"/>
      <c r="BU123" s="287"/>
      <c r="BV123" s="287"/>
      <c r="BW123" s="287"/>
      <c r="BX123" s="287"/>
      <c r="BY123" s="287"/>
      <c r="BZ123" s="287"/>
      <c r="CA123" s="287"/>
      <c r="CB123" s="287"/>
      <c r="CC123" s="287"/>
      <c r="CD123" s="287"/>
      <c r="CE123" s="287"/>
      <c r="CF123" s="287"/>
      <c r="CG123" s="287"/>
      <c r="CH123" s="287"/>
      <c r="CI123" s="287"/>
      <c r="CJ123" s="287"/>
      <c r="CK123" s="287"/>
      <c r="CL123" s="287"/>
      <c r="CM123" s="287"/>
      <c r="CN123" s="287"/>
      <c r="CO123" s="287"/>
      <c r="CP123" s="287"/>
      <c r="CQ123" s="287"/>
      <c r="CR123" s="287"/>
      <c r="CS123" s="287"/>
      <c r="CT123" s="287"/>
      <c r="CU123" s="287"/>
      <c r="CV123" s="287"/>
      <c r="CW123" s="287"/>
      <c r="CX123" s="287"/>
      <c r="CY123" s="287"/>
      <c r="CZ123" s="287"/>
    </row>
    <row r="124" spans="1:104" outlineLevel="1">
      <c r="A124" s="44" t="s">
        <v>85</v>
      </c>
      <c r="B124" s="91">
        <f t="shared" si="14"/>
        <v>1501500</v>
      </c>
      <c r="C124" s="91">
        <f t="shared" si="15"/>
        <v>1139544.5330000001</v>
      </c>
      <c r="D124" s="269">
        <f>+'leden 2025'!B122</f>
        <v>91500</v>
      </c>
      <c r="E124" s="269">
        <f>+'leden 2025'!C122</f>
        <v>75388.2</v>
      </c>
      <c r="F124" s="269">
        <f>+'únor 2025'!B122</f>
        <v>91500</v>
      </c>
      <c r="G124" s="269">
        <f>+'únor 2025'!C122</f>
        <v>71798.600000000006</v>
      </c>
      <c r="H124" s="269">
        <f>+'březen 2025'!B122</f>
        <v>153500</v>
      </c>
      <c r="I124" s="269">
        <f>+'březen 2025'!C122</f>
        <v>111714.98400000001</v>
      </c>
      <c r="J124" s="269">
        <f>+'duben 2025'!B122</f>
        <v>136500</v>
      </c>
      <c r="K124" s="269">
        <f>+'duben 2025'!C122</f>
        <v>92686.59599999999</v>
      </c>
      <c r="L124" s="269">
        <f>+'květen 2025'!B124</f>
        <v>136500</v>
      </c>
      <c r="M124" s="269">
        <f>+'květen 2025'!C124</f>
        <v>108620.45999999999</v>
      </c>
      <c r="N124" s="269">
        <f>+'červen 2025'!B124</f>
        <v>116500</v>
      </c>
      <c r="O124" s="269">
        <f>+'červen 2025'!C124</f>
        <v>120124.97600000002</v>
      </c>
      <c r="P124" s="269">
        <f>+'červenec 2025'!B124</f>
        <v>116500</v>
      </c>
      <c r="Q124" s="269">
        <f>+'červenec 2025'!C124</f>
        <v>103901.94100000001</v>
      </c>
      <c r="R124" s="269">
        <f>+'srpen 2025'!B124</f>
        <v>139000</v>
      </c>
      <c r="S124" s="269">
        <f>+'srpen 2025'!C124</f>
        <v>98111.087999999989</v>
      </c>
      <c r="T124" s="269">
        <f>+'září 2025'!B124</f>
        <v>140500</v>
      </c>
      <c r="U124" s="269">
        <f>+'září 2025'!C124</f>
        <v>121782.52800000001</v>
      </c>
      <c r="V124" s="269">
        <f>+'říjen 2025'!B124</f>
        <v>160500</v>
      </c>
      <c r="W124" s="269">
        <f>+'říjen 2025'!C124</f>
        <v>124641.18000000001</v>
      </c>
      <c r="X124" s="269">
        <f>+'listopad 2025'!B124</f>
        <v>109500</v>
      </c>
      <c r="Y124" s="269">
        <f>+'listopad 2025'!C124</f>
        <v>80230.932000000001</v>
      </c>
      <c r="Z124" s="269">
        <f>+'prosinec 2025'!B124</f>
        <v>109500</v>
      </c>
      <c r="AA124" s="269">
        <f>+'prosinec 2025'!C124</f>
        <v>30543.048000000003</v>
      </c>
    </row>
    <row r="125" spans="1:104" s="243" customFormat="1" outlineLevel="1">
      <c r="A125" s="58" t="s">
        <v>86</v>
      </c>
      <c r="B125" s="96">
        <f t="shared" si="14"/>
        <v>506000</v>
      </c>
      <c r="C125" s="96">
        <f t="shared" si="15"/>
        <v>301963.58200000005</v>
      </c>
      <c r="D125" s="271">
        <f>+'leden 2025'!B123</f>
        <v>17000</v>
      </c>
      <c r="E125" s="271">
        <f>+'leden 2025'!C123</f>
        <v>10099.4</v>
      </c>
      <c r="F125" s="271">
        <f>+'únor 2025'!B123</f>
        <v>17000</v>
      </c>
      <c r="G125" s="271">
        <f>+'únor 2025'!C123</f>
        <v>7547.6</v>
      </c>
      <c r="H125" s="271">
        <f>+'březen 2025'!B123</f>
        <v>17000</v>
      </c>
      <c r="I125" s="271">
        <f>+'březen 2025'!C123</f>
        <v>10618.104000000001</v>
      </c>
      <c r="J125" s="271">
        <f>+'duben 2025'!B123</f>
        <v>34000</v>
      </c>
      <c r="K125" s="271">
        <f>+'duben 2025'!C123</f>
        <v>15945.678</v>
      </c>
      <c r="L125" s="271">
        <f>+'květen 2025'!B125</f>
        <v>34000</v>
      </c>
      <c r="M125" s="271">
        <f>+'květen 2025'!C125</f>
        <v>21055.202000000001</v>
      </c>
      <c r="N125" s="271">
        <f>+'červen 2025'!B125</f>
        <v>34000</v>
      </c>
      <c r="O125" s="271">
        <f>+'červen 2025'!C125</f>
        <v>24690.511999999999</v>
      </c>
      <c r="P125" s="271">
        <f>+'červenec 2025'!B125</f>
        <v>40000</v>
      </c>
      <c r="Q125" s="271">
        <f>+'červenec 2025'!C125</f>
        <v>22476.103999999999</v>
      </c>
      <c r="R125" s="271">
        <f>+'srpen 2025'!B125</f>
        <v>40000</v>
      </c>
      <c r="S125" s="271">
        <f>+'srpen 2025'!C125</f>
        <v>23492.657999999999</v>
      </c>
      <c r="T125" s="271">
        <f>+'září 2025'!B125</f>
        <v>40000</v>
      </c>
      <c r="U125" s="271">
        <f>+'září 2025'!C125</f>
        <v>28854.433999999997</v>
      </c>
      <c r="V125" s="271">
        <f>+'říjen 2025'!B125</f>
        <v>40000</v>
      </c>
      <c r="W125" s="271">
        <f>+'říjen 2025'!C125</f>
        <v>27347.781999999999</v>
      </c>
      <c r="X125" s="271">
        <f>+'listopad 2025'!B125</f>
        <v>86500</v>
      </c>
      <c r="Y125" s="271">
        <f>+'listopad 2025'!C125</f>
        <v>69962.940000000017</v>
      </c>
      <c r="Z125" s="271">
        <f>+'prosinec 2025'!B125</f>
        <v>106500</v>
      </c>
      <c r="AA125" s="271">
        <f>+'prosinec 2025'!C125</f>
        <v>39873.167999999998</v>
      </c>
      <c r="AB125" s="16"/>
      <c r="AC125" s="342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</row>
    <row r="126" spans="1:104" s="260" customFormat="1" outlineLevel="1">
      <c r="A126" s="57" t="s">
        <v>87</v>
      </c>
      <c r="B126" s="98">
        <f t="shared" si="14"/>
        <v>637500</v>
      </c>
      <c r="C126" s="98">
        <f t="shared" si="15"/>
        <v>401358.61199999996</v>
      </c>
      <c r="D126" s="272">
        <f>+'leden 2025'!B124</f>
        <v>17000</v>
      </c>
      <c r="E126" s="272">
        <f>+'leden 2025'!C124</f>
        <v>10588.7</v>
      </c>
      <c r="F126" s="272">
        <f>+'únor 2025'!B124</f>
        <v>17000</v>
      </c>
      <c r="G126" s="272">
        <f>+'únor 2025'!C124</f>
        <v>9914.7000000000007</v>
      </c>
      <c r="H126" s="272">
        <f>+'březen 2025'!B124</f>
        <v>17000</v>
      </c>
      <c r="I126" s="272">
        <f>+'březen 2025'!C124</f>
        <v>10969.825999999999</v>
      </c>
      <c r="J126" s="272">
        <f>+'duben 2025'!B124</f>
        <v>17000</v>
      </c>
      <c r="K126" s="272">
        <f>+'duben 2025'!C124</f>
        <v>10940.916000000001</v>
      </c>
      <c r="L126" s="272">
        <f>+'květen 2025'!B126</f>
        <v>51000</v>
      </c>
      <c r="M126" s="272">
        <f>+'květen 2025'!C126</f>
        <v>29904.503999999997</v>
      </c>
      <c r="N126" s="272">
        <f>+'červen 2025'!B126</f>
        <v>73500</v>
      </c>
      <c r="O126" s="272">
        <f>+'červen 2025'!C126</f>
        <v>35324.712</v>
      </c>
      <c r="P126" s="272">
        <f>+'červenec 2025'!B126</f>
        <v>60000</v>
      </c>
      <c r="Q126" s="272">
        <f>+'červenec 2025'!C126</f>
        <v>34438.67</v>
      </c>
      <c r="R126" s="272">
        <f>+'srpen 2025'!B126</f>
        <v>60000</v>
      </c>
      <c r="S126" s="272">
        <f>+'srpen 2025'!C126</f>
        <v>36995.588000000003</v>
      </c>
      <c r="T126" s="272">
        <f>+'září 2025'!B126</f>
        <v>60000</v>
      </c>
      <c r="U126" s="272">
        <f>+'září 2025'!C126</f>
        <v>40346.6</v>
      </c>
      <c r="V126" s="272">
        <f>+'říjen 2025'!B126</f>
        <v>60000</v>
      </c>
      <c r="W126" s="272">
        <f>+'říjen 2025'!C126</f>
        <v>41530.832000000002</v>
      </c>
      <c r="X126" s="272">
        <f>+'listopad 2025'!B126</f>
        <v>102500</v>
      </c>
      <c r="Y126" s="272">
        <f>+'listopad 2025'!C126</f>
        <v>84198.42</v>
      </c>
      <c r="Z126" s="272">
        <f>+'prosinec 2025'!B126</f>
        <v>102500</v>
      </c>
      <c r="AA126" s="272">
        <f>+'prosinec 2025'!C126</f>
        <v>56205.143999999993</v>
      </c>
      <c r="AB126" s="16"/>
      <c r="AC126" s="342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</row>
    <row r="127" spans="1:104" outlineLevel="1">
      <c r="A127" s="50" t="s">
        <v>88</v>
      </c>
      <c r="B127" s="91">
        <f t="shared" si="14"/>
        <v>204670</v>
      </c>
      <c r="C127" s="91">
        <f t="shared" si="15"/>
        <v>58462.565999999992</v>
      </c>
      <c r="D127" s="269">
        <f>+'leden 2025'!B125</f>
        <v>0</v>
      </c>
      <c r="E127" s="269">
        <f>+'leden 2025'!C125</f>
        <v>0</v>
      </c>
      <c r="F127" s="269">
        <f>+'únor 2025'!B125</f>
        <v>0</v>
      </c>
      <c r="G127" s="269">
        <f>+'únor 2025'!C125</f>
        <v>0</v>
      </c>
      <c r="H127" s="269">
        <f>+'březen 2025'!B125</f>
        <v>3400</v>
      </c>
      <c r="I127" s="269">
        <f>+'březen 2025'!C125</f>
        <v>2138.85</v>
      </c>
      <c r="J127" s="269">
        <f>+'duben 2025'!B125</f>
        <v>3400</v>
      </c>
      <c r="K127" s="269">
        <f>+'duben 2025'!C125</f>
        <v>2675.6939999999995</v>
      </c>
      <c r="L127" s="269">
        <f>+'květen 2025'!B127</f>
        <v>17000</v>
      </c>
      <c r="M127" s="269">
        <f>+'květen 2025'!C127</f>
        <v>10599.68</v>
      </c>
      <c r="N127" s="269">
        <f>+'červen 2025'!B127</f>
        <v>17000</v>
      </c>
      <c r="O127" s="269">
        <f>+'červen 2025'!C127</f>
        <v>11098.48</v>
      </c>
      <c r="P127" s="269">
        <f>+'červenec 2025'!B127</f>
        <v>17000</v>
      </c>
      <c r="Q127" s="269">
        <f>+'červenec 2025'!C127</f>
        <v>9662.6039999999994</v>
      </c>
      <c r="R127" s="269">
        <f>+'srpen 2025'!B127</f>
        <v>17000</v>
      </c>
      <c r="S127" s="269">
        <f>+'srpen 2025'!C127</f>
        <v>7951.7200000000012</v>
      </c>
      <c r="T127" s="269">
        <f>+'září 2025'!B127</f>
        <v>20000</v>
      </c>
      <c r="U127" s="269">
        <f>+'září 2025'!C127</f>
        <v>9487.4779999999992</v>
      </c>
      <c r="V127" s="269">
        <f>+'říjen 2025'!B127</f>
        <v>20000</v>
      </c>
      <c r="W127" s="269">
        <f>+'říjen 2025'!C127</f>
        <v>4848.0600000000004</v>
      </c>
      <c r="X127" s="269">
        <f>+'listopad 2025'!B127</f>
        <v>0</v>
      </c>
      <c r="Y127" s="269">
        <f>+'listopad 2025'!C127</f>
        <v>0</v>
      </c>
      <c r="Z127" s="269">
        <f>+'prosinec 2025'!B127</f>
        <v>89870</v>
      </c>
      <c r="AA127" s="269">
        <f>+'prosinec 2025'!C127</f>
        <v>0</v>
      </c>
    </row>
    <row r="128" spans="1:104" s="263" customFormat="1" outlineLevel="1">
      <c r="A128" s="67" t="s">
        <v>89</v>
      </c>
      <c r="B128" s="100">
        <f t="shared" si="14"/>
        <v>85000</v>
      </c>
      <c r="C128" s="100">
        <f t="shared" si="15"/>
        <v>18639.592000000001</v>
      </c>
      <c r="D128" s="273">
        <f>+'leden 2025'!B126</f>
        <v>17000</v>
      </c>
      <c r="E128" s="273">
        <f>+'leden 2025'!C126</f>
        <v>1848.7</v>
      </c>
      <c r="F128" s="273">
        <f>+'únor 2025'!B126</f>
        <v>17000</v>
      </c>
      <c r="G128" s="273">
        <f>+'únor 2025'!C126</f>
        <v>4324.8999999999996</v>
      </c>
      <c r="H128" s="273">
        <f>+'březen 2025'!B126</f>
        <v>17000</v>
      </c>
      <c r="I128" s="273">
        <f>+'březen 2025'!C126</f>
        <v>8739.7380000000012</v>
      </c>
      <c r="J128" s="273">
        <f>+'duben 2025'!B126</f>
        <v>17000</v>
      </c>
      <c r="K128" s="273">
        <f>+'duben 2025'!C126</f>
        <v>3726.2539999999995</v>
      </c>
      <c r="L128" s="273">
        <f>+'květen 2025'!B128</f>
        <v>0</v>
      </c>
      <c r="M128" s="273">
        <f>+'květen 2025'!C128</f>
        <v>0</v>
      </c>
      <c r="N128" s="273">
        <f>+'červen 2025'!B128</f>
        <v>0</v>
      </c>
      <c r="O128" s="273">
        <f>+'červen 2025'!C128</f>
        <v>0</v>
      </c>
      <c r="P128" s="273">
        <f>+'červenec 2025'!B128</f>
        <v>0</v>
      </c>
      <c r="Q128" s="273">
        <f>+'červenec 2025'!C128</f>
        <v>0</v>
      </c>
      <c r="R128" s="273">
        <f>+'srpen 2025'!B128</f>
        <v>17000</v>
      </c>
      <c r="S128" s="273">
        <f>+'srpen 2025'!C128</f>
        <v>0</v>
      </c>
      <c r="T128" s="273">
        <f>+'září 2025'!B128</f>
        <v>0</v>
      </c>
      <c r="U128" s="273">
        <f>+'září 2025'!C128</f>
        <v>0</v>
      </c>
      <c r="V128" s="273">
        <f>+'říjen 2025'!B128</f>
        <v>0</v>
      </c>
      <c r="W128" s="273">
        <f>+'říjen 2025'!C128</f>
        <v>0</v>
      </c>
      <c r="X128" s="273">
        <f>+'listopad 2025'!B128</f>
        <v>0</v>
      </c>
      <c r="Y128" s="273">
        <f>+'listopad 2025'!C128</f>
        <v>0</v>
      </c>
      <c r="Z128" s="273">
        <f>+'prosinec 2025'!B128</f>
        <v>0</v>
      </c>
      <c r="AA128" s="273">
        <f>+'prosinec 2025'!C128</f>
        <v>0</v>
      </c>
      <c r="AB128" s="16"/>
      <c r="AC128" s="342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</row>
    <row r="129" spans="1:104" s="266" customFormat="1" outlineLevel="1">
      <c r="A129" s="47" t="s">
        <v>90</v>
      </c>
      <c r="B129" s="101">
        <f t="shared" si="14"/>
        <v>127500</v>
      </c>
      <c r="C129" s="101">
        <f t="shared" si="15"/>
        <v>82381.462</v>
      </c>
      <c r="D129" s="274">
        <f>+'leden 2025'!B127</f>
        <v>8500</v>
      </c>
      <c r="E129" s="274">
        <f>+'leden 2025'!C127</f>
        <v>5750.8</v>
      </c>
      <c r="F129" s="274">
        <f>+'únor 2025'!B127</f>
        <v>8500</v>
      </c>
      <c r="G129" s="274">
        <f>+'únor 2025'!C127</f>
        <v>5294.6</v>
      </c>
      <c r="H129" s="274">
        <f>+'březen 2025'!B127</f>
        <v>8500</v>
      </c>
      <c r="I129" s="274">
        <f>+'březen 2025'!C127</f>
        <v>5028.2820000000002</v>
      </c>
      <c r="J129" s="274">
        <f>+'duben 2025'!B127</f>
        <v>8500</v>
      </c>
      <c r="K129" s="274">
        <f>+'duben 2025'!C127</f>
        <v>3821.4120000000003</v>
      </c>
      <c r="L129" s="274">
        <f>+'květen 2025'!B129</f>
        <v>8500</v>
      </c>
      <c r="M129" s="274">
        <f>+'květen 2025'!C129</f>
        <v>8987.3840000000018</v>
      </c>
      <c r="N129" s="274">
        <f>+'červen 2025'!B129</f>
        <v>8500</v>
      </c>
      <c r="O129" s="274">
        <f>+'červen 2025'!C129</f>
        <v>6677.6220000000003</v>
      </c>
      <c r="P129" s="274">
        <f>+'červenec 2025'!B129</f>
        <v>8500</v>
      </c>
      <c r="Q129" s="274">
        <f>+'červenec 2025'!C129</f>
        <v>7381.3599999999988</v>
      </c>
      <c r="R129" s="274">
        <f>+'srpen 2025'!B129</f>
        <v>8500</v>
      </c>
      <c r="S129" s="274">
        <f>+'srpen 2025'!C129</f>
        <v>6887.0479999999998</v>
      </c>
      <c r="T129" s="274">
        <f>+'září 2025'!B129</f>
        <v>8500</v>
      </c>
      <c r="U129" s="274">
        <f>+'září 2025'!C129</f>
        <v>6967.8</v>
      </c>
      <c r="V129" s="274">
        <f>+'říjen 2025'!B129</f>
        <v>17000</v>
      </c>
      <c r="W129" s="274">
        <f>+'říjen 2025'!C129</f>
        <v>14002.142000000002</v>
      </c>
      <c r="X129" s="274">
        <f>+'listopad 2025'!B129</f>
        <v>17000</v>
      </c>
      <c r="Y129" s="274">
        <f>+'listopad 2025'!C129</f>
        <v>10271.183999999999</v>
      </c>
      <c r="Z129" s="274">
        <f>+'prosinec 2025'!B129</f>
        <v>17000</v>
      </c>
      <c r="AA129" s="274">
        <f>+'prosinec 2025'!C129</f>
        <v>1311.828</v>
      </c>
      <c r="AB129" s="16"/>
      <c r="AC129" s="342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</row>
    <row r="130" spans="1:104" s="239" customFormat="1" outlineLevel="1">
      <c r="A130" s="235" t="s">
        <v>91</v>
      </c>
      <c r="B130" s="236">
        <f t="shared" si="14"/>
        <v>0</v>
      </c>
      <c r="C130" s="236">
        <f t="shared" si="15"/>
        <v>0</v>
      </c>
      <c r="D130" s="275">
        <f>+'leden 2025'!B128</f>
        <v>0</v>
      </c>
      <c r="E130" s="275">
        <f>+'leden 2025'!C128</f>
        <v>0</v>
      </c>
      <c r="F130" s="275">
        <f>+'únor 2025'!B128</f>
        <v>0</v>
      </c>
      <c r="G130" s="275">
        <f>+'únor 2025'!C128</f>
        <v>0</v>
      </c>
      <c r="H130" s="275">
        <f>+'březen 2025'!B128</f>
        <v>0</v>
      </c>
      <c r="I130" s="275">
        <f>+'březen 2025'!C128</f>
        <v>0</v>
      </c>
      <c r="J130" s="275">
        <f>+'duben 2025'!B128</f>
        <v>0</v>
      </c>
      <c r="K130" s="275">
        <f>+'duben 2025'!C128</f>
        <v>0</v>
      </c>
      <c r="L130" s="275">
        <f>+'květen 2025'!B130</f>
        <v>0</v>
      </c>
      <c r="M130" s="275">
        <f>+'květen 2025'!C130</f>
        <v>0</v>
      </c>
      <c r="N130" s="275">
        <f>+'červen 2025'!B130</f>
        <v>0</v>
      </c>
      <c r="O130" s="275">
        <f>+'červen 2025'!C130</f>
        <v>0</v>
      </c>
      <c r="P130" s="275">
        <f>+'červenec 2025'!B130</f>
        <v>0</v>
      </c>
      <c r="Q130" s="275">
        <f>+'červenec 2025'!C130</f>
        <v>0</v>
      </c>
      <c r="R130" s="275">
        <f>+'srpen 2025'!B130</f>
        <v>0</v>
      </c>
      <c r="S130" s="275">
        <f>+'srpen 2025'!C130</f>
        <v>0</v>
      </c>
      <c r="T130" s="275">
        <f>+'září 2025'!B130</f>
        <v>0</v>
      </c>
      <c r="U130" s="275">
        <f>+'září 2025'!C130</f>
        <v>0</v>
      </c>
      <c r="V130" s="275">
        <f>+'říjen 2025'!B130</f>
        <v>0</v>
      </c>
      <c r="W130" s="275">
        <f>+'říjen 2025'!C130</f>
        <v>0</v>
      </c>
      <c r="X130" s="275">
        <f>+'listopad 2025'!B130</f>
        <v>0</v>
      </c>
      <c r="Y130" s="275">
        <f>+'listopad 2025'!C130</f>
        <v>0</v>
      </c>
      <c r="Z130" s="275">
        <f>+'prosinec 2025'!B130</f>
        <v>0</v>
      </c>
      <c r="AA130" s="275">
        <f>+'prosinec 2025'!C130</f>
        <v>0</v>
      </c>
      <c r="AB130" s="16"/>
      <c r="AC130" s="342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</row>
    <row r="131" spans="1:104" s="240" customFormat="1" ht="13.15" outlineLevel="1">
      <c r="A131" s="235" t="s">
        <v>92</v>
      </c>
      <c r="B131" s="236">
        <f t="shared" si="14"/>
        <v>0</v>
      </c>
      <c r="C131" s="236">
        <f t="shared" si="15"/>
        <v>0</v>
      </c>
      <c r="D131" s="275">
        <f>+'leden 2025'!B129</f>
        <v>0</v>
      </c>
      <c r="E131" s="275">
        <f>+'leden 2025'!C129</f>
        <v>0</v>
      </c>
      <c r="F131" s="275">
        <f>+'únor 2025'!B129</f>
        <v>0</v>
      </c>
      <c r="G131" s="275">
        <f>+'únor 2025'!C129</f>
        <v>0</v>
      </c>
      <c r="H131" s="275">
        <f>+'březen 2025'!B129</f>
        <v>0</v>
      </c>
      <c r="I131" s="275">
        <f>+'březen 2025'!C129</f>
        <v>0</v>
      </c>
      <c r="J131" s="275">
        <f>+'duben 2025'!B129</f>
        <v>0</v>
      </c>
      <c r="K131" s="275">
        <f>+'duben 2025'!C129</f>
        <v>0</v>
      </c>
      <c r="L131" s="275">
        <f>+'květen 2025'!B131</f>
        <v>0</v>
      </c>
      <c r="M131" s="275">
        <f>+'květen 2025'!C131</f>
        <v>0</v>
      </c>
      <c r="N131" s="275">
        <f>+'červen 2025'!B131</f>
        <v>0</v>
      </c>
      <c r="O131" s="275">
        <f>+'červen 2025'!C131</f>
        <v>0</v>
      </c>
      <c r="P131" s="275">
        <f>+'červenec 2025'!B131</f>
        <v>0</v>
      </c>
      <c r="Q131" s="275">
        <f>+'červenec 2025'!C131</f>
        <v>0</v>
      </c>
      <c r="R131" s="275">
        <f>+'srpen 2025'!B131</f>
        <v>0</v>
      </c>
      <c r="S131" s="275">
        <f>+'srpen 2025'!C131</f>
        <v>0</v>
      </c>
      <c r="T131" s="275">
        <f>+'září 2025'!B131</f>
        <v>0</v>
      </c>
      <c r="U131" s="275">
        <f>+'září 2025'!C131</f>
        <v>0</v>
      </c>
      <c r="V131" s="275">
        <f>+'říjen 2025'!B131</f>
        <v>0</v>
      </c>
      <c r="W131" s="275">
        <f>+'říjen 2025'!C131</f>
        <v>0</v>
      </c>
      <c r="X131" s="275">
        <f>+'listopad 2025'!B131</f>
        <v>0</v>
      </c>
      <c r="Y131" s="275">
        <f>+'listopad 2025'!C131</f>
        <v>0</v>
      </c>
      <c r="Z131" s="275">
        <f>+'prosinec 2025'!B131</f>
        <v>0</v>
      </c>
      <c r="AA131" s="275">
        <f>+'prosinec 2025'!C131</f>
        <v>0</v>
      </c>
      <c r="AB131" s="6"/>
      <c r="AC131" s="344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</row>
    <row r="132" spans="1:104" s="249" customFormat="1" ht="18">
      <c r="A132" s="247" t="s">
        <v>93</v>
      </c>
      <c r="B132" s="292">
        <f t="shared" si="14"/>
        <v>22269285</v>
      </c>
      <c r="C132" s="248">
        <f t="shared" si="15"/>
        <v>17993612.627500001</v>
      </c>
      <c r="D132" s="282">
        <f>+'leden 2025'!B130</f>
        <v>1110800</v>
      </c>
      <c r="E132" s="282">
        <f>+'leden 2025'!C130</f>
        <v>996509.5</v>
      </c>
      <c r="F132" s="282">
        <f>+'únor 2025'!B130</f>
        <v>1110800</v>
      </c>
      <c r="G132" s="282">
        <f>+'únor 2025'!C130</f>
        <v>991355</v>
      </c>
      <c r="H132" s="282">
        <f>+'březen 2025'!B130</f>
        <v>1581160</v>
      </c>
      <c r="I132" s="282">
        <f>+'březen 2025'!C130</f>
        <v>1422631.46</v>
      </c>
      <c r="J132" s="282">
        <f>+'duben 2025'!B130</f>
        <v>1601260</v>
      </c>
      <c r="K132" s="282">
        <f>+'duben 2025'!C130</f>
        <v>1385488.375</v>
      </c>
      <c r="L132" s="282">
        <f>+'květen 2025'!B132</f>
        <v>1849280</v>
      </c>
      <c r="M132" s="282">
        <f>+'květen 2025'!C132</f>
        <v>1671725.075</v>
      </c>
      <c r="N132" s="282">
        <f>+'červen 2025'!B132</f>
        <v>1901090</v>
      </c>
      <c r="O132" s="282">
        <f>+'červen 2025'!C132</f>
        <v>1775834.5150000001</v>
      </c>
      <c r="P132" s="282">
        <f>+'červenec 2025'!B132</f>
        <v>1943980</v>
      </c>
      <c r="Q132" s="282">
        <f>+'červenec 2025'!C132</f>
        <v>1682528.6975</v>
      </c>
      <c r="R132" s="282">
        <f>+'srpen 2025'!B132</f>
        <v>1946250</v>
      </c>
      <c r="S132" s="282">
        <f>+'srpen 2025'!C132</f>
        <v>1667385.2549999999</v>
      </c>
      <c r="T132" s="282">
        <f>+'září 2025'!B132</f>
        <v>1998080</v>
      </c>
      <c r="U132" s="282">
        <f>+'září 2025'!C132</f>
        <v>1822871.1</v>
      </c>
      <c r="V132" s="282">
        <f>+'říjen 2025'!B132</f>
        <v>2340010</v>
      </c>
      <c r="W132" s="282">
        <f>+'říjen 2025'!C132</f>
        <v>2056633.99</v>
      </c>
      <c r="X132" s="282">
        <f>+'listopad 2025'!B132</f>
        <v>2299250</v>
      </c>
      <c r="Y132" s="282">
        <f>+'listopad 2025'!C132</f>
        <v>2200816.6900000004</v>
      </c>
      <c r="Z132" s="282">
        <f>+'prosinec 2025'!B132</f>
        <v>2587325</v>
      </c>
      <c r="AA132" s="282">
        <f>+'prosinec 2025'!C132</f>
        <v>319832.96999999997</v>
      </c>
      <c r="AB132" s="288"/>
      <c r="AC132" s="345"/>
      <c r="AD132" s="288"/>
      <c r="AE132" s="288"/>
      <c r="AF132" s="288"/>
      <c r="AG132" s="288"/>
      <c r="AH132" s="288"/>
      <c r="AI132" s="288"/>
      <c r="AJ132" s="288"/>
      <c r="AK132" s="288"/>
      <c r="AL132" s="288"/>
      <c r="AM132" s="288"/>
      <c r="AN132" s="288"/>
      <c r="AO132" s="288"/>
      <c r="AP132" s="288"/>
      <c r="AQ132" s="288"/>
      <c r="AR132" s="288"/>
      <c r="AS132" s="288"/>
      <c r="AT132" s="288"/>
      <c r="AU132" s="288"/>
      <c r="AV132" s="288"/>
      <c r="AW132" s="288"/>
      <c r="AX132" s="288"/>
      <c r="AY132" s="288"/>
      <c r="AZ132" s="288"/>
      <c r="BA132" s="288"/>
      <c r="BB132" s="288"/>
      <c r="BC132" s="288"/>
      <c r="BD132" s="288"/>
      <c r="BE132" s="288"/>
      <c r="BF132" s="288"/>
      <c r="BG132" s="288"/>
      <c r="BH132" s="288"/>
      <c r="BI132" s="288"/>
      <c r="BJ132" s="288"/>
      <c r="BK132" s="288"/>
      <c r="BL132" s="288"/>
      <c r="BM132" s="288"/>
      <c r="BN132" s="288"/>
      <c r="BO132" s="288"/>
      <c r="BP132" s="288"/>
      <c r="BQ132" s="288"/>
      <c r="BR132" s="288"/>
      <c r="BS132" s="288"/>
      <c r="BT132" s="288"/>
      <c r="BU132" s="288"/>
      <c r="BV132" s="288"/>
      <c r="BW132" s="288"/>
      <c r="BX132" s="288"/>
      <c r="BY132" s="288"/>
      <c r="BZ132" s="288"/>
      <c r="CA132" s="288"/>
      <c r="CB132" s="288"/>
      <c r="CC132" s="288"/>
      <c r="CD132" s="288"/>
      <c r="CE132" s="288"/>
      <c r="CF132" s="288"/>
      <c r="CG132" s="288"/>
      <c r="CH132" s="288"/>
      <c r="CI132" s="288"/>
      <c r="CJ132" s="288"/>
      <c r="CK132" s="288"/>
      <c r="CL132" s="288"/>
      <c r="CM132" s="288"/>
      <c r="CN132" s="288"/>
      <c r="CO132" s="288"/>
      <c r="CP132" s="288"/>
      <c r="CQ132" s="288"/>
      <c r="CR132" s="288"/>
      <c r="CS132" s="288"/>
      <c r="CT132" s="288"/>
      <c r="CU132" s="288"/>
      <c r="CV132" s="288"/>
      <c r="CW132" s="288"/>
      <c r="CX132" s="288"/>
      <c r="CY132" s="288"/>
      <c r="CZ132" s="288"/>
    </row>
    <row r="133" spans="1:104" outlineLevel="1">
      <c r="A133" s="44" t="s">
        <v>94</v>
      </c>
      <c r="B133" s="91">
        <f t="shared" si="14"/>
        <v>11042890</v>
      </c>
      <c r="C133" s="91">
        <f t="shared" si="15"/>
        <v>9749034.0924999993</v>
      </c>
      <c r="D133" s="269">
        <f>+'leden 2025'!B131</f>
        <v>631270</v>
      </c>
      <c r="E133" s="269">
        <f>+'leden 2025'!C131</f>
        <v>590990.5</v>
      </c>
      <c r="F133" s="269">
        <f>+'únor 2025'!B131</f>
        <v>631270</v>
      </c>
      <c r="G133" s="269">
        <f>+'únor 2025'!C131</f>
        <v>588850.5</v>
      </c>
      <c r="H133" s="269">
        <f>+'březen 2025'!B131</f>
        <v>1074370</v>
      </c>
      <c r="I133" s="269">
        <f>+'březen 2025'!C131</f>
        <v>973324.46000000008</v>
      </c>
      <c r="J133" s="269">
        <f>+'duben 2025'!B131</f>
        <v>971570</v>
      </c>
      <c r="K133" s="269">
        <f>+'duben 2025'!C131</f>
        <v>860763.49</v>
      </c>
      <c r="L133" s="269">
        <f>+'květen 2025'!B133</f>
        <v>1005070</v>
      </c>
      <c r="M133" s="269">
        <f>+'květen 2025'!C133</f>
        <v>932088.14999999991</v>
      </c>
      <c r="N133" s="269">
        <f>+'červen 2025'!B133</f>
        <v>995270</v>
      </c>
      <c r="O133" s="269">
        <f>+'červen 2025'!C133</f>
        <v>1015406.2000000001</v>
      </c>
      <c r="P133" s="269">
        <f>+'červenec 2025'!B133</f>
        <v>955070</v>
      </c>
      <c r="Q133" s="269">
        <f>+'červenec 2025'!C133</f>
        <v>926991.85249999992</v>
      </c>
      <c r="R133" s="269">
        <f>+'srpen 2025'!B133</f>
        <v>1011320</v>
      </c>
      <c r="S133" s="269">
        <f>+'srpen 2025'!C133</f>
        <v>909097.72</v>
      </c>
      <c r="T133" s="269">
        <f>+'září 2025'!B133</f>
        <v>1035170</v>
      </c>
      <c r="U133" s="269">
        <f>+'září 2025'!C133</f>
        <v>977790.32000000007</v>
      </c>
      <c r="V133" s="269">
        <f>+'říjen 2025'!B133</f>
        <v>1152170</v>
      </c>
      <c r="W133" s="269">
        <f>+'říjen 2025'!C133</f>
        <v>1097161.95</v>
      </c>
      <c r="X133" s="269">
        <f>+'listopad 2025'!B133</f>
        <v>810270</v>
      </c>
      <c r="Y133" s="269">
        <f>+'listopad 2025'!C133</f>
        <v>800211.33000000007</v>
      </c>
      <c r="Z133" s="269">
        <f>+'prosinec 2025'!B133</f>
        <v>770070</v>
      </c>
      <c r="AA133" s="269">
        <f>+'prosinec 2025'!C133</f>
        <v>76357.62000000001</v>
      </c>
    </row>
    <row r="134" spans="1:104" s="244" customFormat="1" ht="13.15" outlineLevel="1">
      <c r="A134" s="58" t="s">
        <v>95</v>
      </c>
      <c r="B134" s="96">
        <f t="shared" si="14"/>
        <v>3781660</v>
      </c>
      <c r="C134" s="96">
        <f t="shared" si="15"/>
        <v>2856938.9550000001</v>
      </c>
      <c r="D134" s="271">
        <f>+'leden 2025'!B132</f>
        <v>136200</v>
      </c>
      <c r="E134" s="271">
        <f>+'leden 2025'!C132</f>
        <v>118948.5</v>
      </c>
      <c r="F134" s="271">
        <f>+'únor 2025'!B132</f>
        <v>136200</v>
      </c>
      <c r="G134" s="271">
        <f>+'únor 2025'!C132</f>
        <v>114579</v>
      </c>
      <c r="H134" s="271">
        <f>+'březen 2025'!B132</f>
        <v>136200</v>
      </c>
      <c r="I134" s="271">
        <f>+'březen 2025'!C132</f>
        <v>122255.26000000001</v>
      </c>
      <c r="J134" s="271">
        <f>+'duben 2025'!B132</f>
        <v>259100</v>
      </c>
      <c r="K134" s="271">
        <f>+'duben 2025'!C132</f>
        <v>213964.19500000001</v>
      </c>
      <c r="L134" s="271">
        <f>+'květen 2025'!B134</f>
        <v>259100</v>
      </c>
      <c r="M134" s="271">
        <f>+'květen 2025'!C134</f>
        <v>230088.005</v>
      </c>
      <c r="N134" s="271">
        <f>+'červen 2025'!B134</f>
        <v>259100</v>
      </c>
      <c r="O134" s="271">
        <f>+'červen 2025'!C134</f>
        <v>239846.27999999997</v>
      </c>
      <c r="P134" s="271">
        <f>+'červenec 2025'!B134</f>
        <v>274100</v>
      </c>
      <c r="Q134" s="271">
        <f>+'červenec 2025'!C134</f>
        <v>230290.25999999998</v>
      </c>
      <c r="R134" s="271">
        <f>+'srpen 2025'!B134</f>
        <v>274100</v>
      </c>
      <c r="S134" s="271">
        <f>+'srpen 2025'!C134</f>
        <v>236851.64499999999</v>
      </c>
      <c r="T134" s="271">
        <f>+'září 2025'!B134</f>
        <v>316980</v>
      </c>
      <c r="U134" s="271">
        <f>+'září 2025'!C134</f>
        <v>291126.08500000002</v>
      </c>
      <c r="V134" s="271">
        <f>+'říjen 2025'!B134</f>
        <v>383980</v>
      </c>
      <c r="W134" s="271">
        <f>+'říjen 2025'!C134</f>
        <v>358379.45500000002</v>
      </c>
      <c r="X134" s="271">
        <f>+'listopad 2025'!B134</f>
        <v>638250</v>
      </c>
      <c r="Y134" s="271">
        <f>+'listopad 2025'!C134</f>
        <v>600927.35000000009</v>
      </c>
      <c r="Z134" s="271">
        <f>+'prosinec 2025'!B134</f>
        <v>708350</v>
      </c>
      <c r="AA134" s="271">
        <f>+'prosinec 2025'!C134</f>
        <v>99682.919999999984</v>
      </c>
      <c r="AB134" s="6"/>
      <c r="AC134" s="344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</row>
    <row r="135" spans="1:104" s="261" customFormat="1" ht="13.15" outlineLevel="1">
      <c r="A135" s="57" t="s">
        <v>96</v>
      </c>
      <c r="B135" s="98">
        <f t="shared" si="14"/>
        <v>4595490</v>
      </c>
      <c r="C135" s="98">
        <f t="shared" si="15"/>
        <v>3589166.53</v>
      </c>
      <c r="D135" s="272">
        <f>+'leden 2025'!B133</f>
        <v>163000</v>
      </c>
      <c r="E135" s="272">
        <f>+'leden 2025'!C133</f>
        <v>150991.75</v>
      </c>
      <c r="F135" s="272">
        <f>+'únor 2025'!B133</f>
        <v>163000</v>
      </c>
      <c r="G135" s="272">
        <f>+'únor 2025'!C133</f>
        <v>147296.75</v>
      </c>
      <c r="H135" s="272">
        <f>+'březen 2025'!B133</f>
        <v>163000</v>
      </c>
      <c r="I135" s="272">
        <f>+'březen 2025'!C133</f>
        <v>151944.565</v>
      </c>
      <c r="J135" s="272">
        <f>+'duben 2025'!B133</f>
        <v>163000</v>
      </c>
      <c r="K135" s="272">
        <f>+'duben 2025'!C133</f>
        <v>149862.29</v>
      </c>
      <c r="L135" s="272">
        <f>+'květen 2025'!B135</f>
        <v>402100</v>
      </c>
      <c r="M135" s="272">
        <f>+'květen 2025'!C135</f>
        <v>346681.26000000007</v>
      </c>
      <c r="N135" s="272">
        <f>+'červen 2025'!B135</f>
        <v>455670</v>
      </c>
      <c r="O135" s="272">
        <f>+'červen 2025'!C135</f>
        <v>348841.77999999997</v>
      </c>
      <c r="P135" s="272">
        <f>+'červenec 2025'!B135</f>
        <v>408520</v>
      </c>
      <c r="Q135" s="272">
        <f>+'červenec 2025'!C135</f>
        <v>353326.67499999999</v>
      </c>
      <c r="R135" s="272">
        <f>+'srpen 2025'!B135</f>
        <v>408520</v>
      </c>
      <c r="S135" s="272">
        <f>+'srpen 2025'!C135</f>
        <v>355028.97</v>
      </c>
      <c r="T135" s="272">
        <f>+'září 2025'!B135</f>
        <v>428620</v>
      </c>
      <c r="U135" s="272">
        <f>+'září 2025'!C135</f>
        <v>383506.5</v>
      </c>
      <c r="V135" s="272">
        <f>+'říjen 2025'!B135</f>
        <v>428620</v>
      </c>
      <c r="W135" s="272">
        <f>+'říjen 2025'!C135</f>
        <v>384457.08</v>
      </c>
      <c r="X135" s="272">
        <f>+'listopad 2025'!B135</f>
        <v>715770</v>
      </c>
      <c r="Y135" s="272">
        <f>+'listopad 2025'!C135</f>
        <v>676716.05</v>
      </c>
      <c r="Z135" s="272">
        <f>+'prosinec 2025'!B135</f>
        <v>695670</v>
      </c>
      <c r="AA135" s="272">
        <f>+'prosinec 2025'!C135</f>
        <v>140512.85999999999</v>
      </c>
      <c r="AB135" s="6"/>
      <c r="AC135" s="344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</row>
    <row r="136" spans="1:104" outlineLevel="1">
      <c r="A136" s="50" t="s">
        <v>97</v>
      </c>
      <c r="B136" s="91">
        <f t="shared" si="14"/>
        <v>1192395</v>
      </c>
      <c r="C136" s="91">
        <f t="shared" si="15"/>
        <v>748486.41500000015</v>
      </c>
      <c r="D136" s="269">
        <f>+'leden 2025'!B134</f>
        <v>0</v>
      </c>
      <c r="E136" s="269">
        <f>+'leden 2025'!C134</f>
        <v>0</v>
      </c>
      <c r="F136" s="269">
        <f>+'únor 2025'!B134</f>
        <v>0</v>
      </c>
      <c r="G136" s="269">
        <f>+'únor 2025'!C134</f>
        <v>0</v>
      </c>
      <c r="H136" s="269">
        <f>+'březen 2025'!B134</f>
        <v>27260</v>
      </c>
      <c r="I136" s="269">
        <f>+'březen 2025'!C134</f>
        <v>24107.125</v>
      </c>
      <c r="J136" s="269">
        <f>+'duben 2025'!B134</f>
        <v>27260</v>
      </c>
      <c r="K136" s="269">
        <f>+'duben 2025'!C134</f>
        <v>25449.234999999997</v>
      </c>
      <c r="L136" s="269">
        <f>+'květen 2025'!B136</f>
        <v>122900</v>
      </c>
      <c r="M136" s="269">
        <f>+'květen 2025'!C136</f>
        <v>120299.20000000001</v>
      </c>
      <c r="N136" s="269">
        <f>+'červen 2025'!B136</f>
        <v>136300</v>
      </c>
      <c r="O136" s="269">
        <f>+'červen 2025'!C136</f>
        <v>121546.2</v>
      </c>
      <c r="P136" s="269">
        <f>+'červenec 2025'!B136</f>
        <v>136300</v>
      </c>
      <c r="Q136" s="269">
        <f>+'červenec 2025'!C136</f>
        <v>119966.51000000001</v>
      </c>
      <c r="R136" s="269">
        <f>+'srpen 2025'!B136</f>
        <v>136300</v>
      </c>
      <c r="S136" s="269">
        <f>+'srpen 2025'!C136</f>
        <v>113679.3</v>
      </c>
      <c r="T136" s="269">
        <f>+'září 2025'!B136</f>
        <v>143800</v>
      </c>
      <c r="U136" s="269">
        <f>+'září 2025'!C136</f>
        <v>117518.69500000001</v>
      </c>
      <c r="V136" s="269">
        <f>+'říjen 2025'!B136</f>
        <v>143800</v>
      </c>
      <c r="W136" s="269">
        <f>+'říjen 2025'!C136</f>
        <v>105920.15</v>
      </c>
      <c r="X136" s="269">
        <f>+'listopad 2025'!B136</f>
        <v>0</v>
      </c>
      <c r="Y136" s="269">
        <f>+'listopad 2025'!C136</f>
        <v>0</v>
      </c>
      <c r="Z136" s="269">
        <f>+'prosinec 2025'!B136</f>
        <v>318475</v>
      </c>
      <c r="AA136" s="269">
        <f>+'prosinec 2025'!C136</f>
        <v>0</v>
      </c>
    </row>
    <row r="137" spans="1:104" s="264" customFormat="1" ht="13.15" outlineLevel="1">
      <c r="A137" s="67" t="s">
        <v>98</v>
      </c>
      <c r="B137" s="100">
        <f t="shared" si="14"/>
        <v>791380</v>
      </c>
      <c r="C137" s="100">
        <f t="shared" si="15"/>
        <v>432518.98</v>
      </c>
      <c r="D137" s="273">
        <f>+'leden 2025'!B135</f>
        <v>138980</v>
      </c>
      <c r="E137" s="273">
        <f>+'leden 2025'!C135</f>
        <v>101101.75</v>
      </c>
      <c r="F137" s="273">
        <f>+'únor 2025'!B135</f>
        <v>138980</v>
      </c>
      <c r="G137" s="273">
        <f>+'únor 2025'!C135</f>
        <v>107292.25</v>
      </c>
      <c r="H137" s="273">
        <f>+'březen 2025'!B135</f>
        <v>138980</v>
      </c>
      <c r="I137" s="273">
        <f>+'březen 2025'!C135</f>
        <v>118329.345</v>
      </c>
      <c r="J137" s="273">
        <f>+'duben 2025'!B135</f>
        <v>138980</v>
      </c>
      <c r="K137" s="273">
        <f>+'duben 2025'!C135</f>
        <v>105795.63499999999</v>
      </c>
      <c r="L137" s="273">
        <f>+'květen 2025'!B137</f>
        <v>0</v>
      </c>
      <c r="M137" s="273">
        <f>+'květen 2025'!C137</f>
        <v>0</v>
      </c>
      <c r="N137" s="273">
        <f>+'červen 2025'!B137</f>
        <v>0</v>
      </c>
      <c r="O137" s="273">
        <f>+'červen 2025'!C137</f>
        <v>0</v>
      </c>
      <c r="P137" s="273">
        <f>+'červenec 2025'!B137</f>
        <v>96480</v>
      </c>
      <c r="Q137" s="273">
        <f>+'červenec 2025'!C137</f>
        <v>0</v>
      </c>
      <c r="R137" s="273">
        <f>+'srpen 2025'!B137</f>
        <v>42500</v>
      </c>
      <c r="S137" s="273">
        <f>+'srpen 2025'!C137</f>
        <v>0</v>
      </c>
      <c r="T137" s="273">
        <f>+'září 2025'!B137</f>
        <v>0</v>
      </c>
      <c r="U137" s="273">
        <f>+'září 2025'!C137</f>
        <v>0</v>
      </c>
      <c r="V137" s="273">
        <f>+'říjen 2025'!B137</f>
        <v>96480</v>
      </c>
      <c r="W137" s="273">
        <f>+'říjen 2025'!C137</f>
        <v>0</v>
      </c>
      <c r="X137" s="273">
        <f>+'listopad 2025'!B137</f>
        <v>0</v>
      </c>
      <c r="Y137" s="273">
        <f>+'listopad 2025'!C137</f>
        <v>0</v>
      </c>
      <c r="Z137" s="273">
        <f>+'prosinec 2025'!B137</f>
        <v>0</v>
      </c>
      <c r="AA137" s="273">
        <f>+'prosinec 2025'!C137</f>
        <v>0</v>
      </c>
      <c r="AB137" s="6"/>
      <c r="AC137" s="344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</row>
    <row r="138" spans="1:104" s="265" customFormat="1" ht="13.15" outlineLevel="1">
      <c r="A138" s="47" t="s">
        <v>99</v>
      </c>
      <c r="B138" s="101">
        <f t="shared" si="14"/>
        <v>734150</v>
      </c>
      <c r="C138" s="101">
        <f t="shared" si="15"/>
        <v>596563.65499999991</v>
      </c>
      <c r="D138" s="274">
        <f>+'leden 2025'!B136</f>
        <v>41350</v>
      </c>
      <c r="E138" s="274">
        <f>+'leden 2025'!C136</f>
        <v>34477</v>
      </c>
      <c r="F138" s="274">
        <f>+'únor 2025'!B136</f>
        <v>41350</v>
      </c>
      <c r="G138" s="274">
        <f>+'únor 2025'!C136</f>
        <v>33336.5</v>
      </c>
      <c r="H138" s="274">
        <f>+'březen 2025'!B136</f>
        <v>41350</v>
      </c>
      <c r="I138" s="274">
        <f>+'březen 2025'!C136</f>
        <v>32670.705000000002</v>
      </c>
      <c r="J138" s="274">
        <f>+'duben 2025'!B136</f>
        <v>41350</v>
      </c>
      <c r="K138" s="274">
        <f>+'duben 2025'!C136</f>
        <v>29653.53</v>
      </c>
      <c r="L138" s="274">
        <f>+'květen 2025'!B138</f>
        <v>41350</v>
      </c>
      <c r="M138" s="274">
        <f>+'květen 2025'!C138</f>
        <v>42568.460000000006</v>
      </c>
      <c r="N138" s="274">
        <f>+'červen 2025'!B138</f>
        <v>54750</v>
      </c>
      <c r="O138" s="274">
        <f>+'červen 2025'!C138</f>
        <v>50194.055</v>
      </c>
      <c r="P138" s="274">
        <f>+'červenec 2025'!B138</f>
        <v>54750</v>
      </c>
      <c r="Q138" s="274">
        <f>+'červenec 2025'!C138</f>
        <v>51953.399999999994</v>
      </c>
      <c r="R138" s="274">
        <f>+'srpen 2025'!B138</f>
        <v>54750</v>
      </c>
      <c r="S138" s="274">
        <f>+'srpen 2025'!C138</f>
        <v>52727.619999999995</v>
      </c>
      <c r="T138" s="274">
        <f>+'září 2025'!B138</f>
        <v>54750</v>
      </c>
      <c r="U138" s="274">
        <f>+'září 2025'!C138</f>
        <v>52929.5</v>
      </c>
      <c r="V138" s="274">
        <f>+'říjen 2025'!B138</f>
        <v>116200</v>
      </c>
      <c r="W138" s="274">
        <f>+'říjen 2025'!C138</f>
        <v>110715.35500000001</v>
      </c>
      <c r="X138" s="274">
        <f>+'listopad 2025'!B138</f>
        <v>116200</v>
      </c>
      <c r="Y138" s="274">
        <f>+'listopad 2025'!C138</f>
        <v>102057.95999999999</v>
      </c>
      <c r="Z138" s="274">
        <f>+'prosinec 2025'!B138</f>
        <v>76000</v>
      </c>
      <c r="AA138" s="274">
        <f>+'prosinec 2025'!C138</f>
        <v>3279.5699999999997</v>
      </c>
      <c r="AB138" s="6"/>
      <c r="AC138" s="344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</row>
    <row r="139" spans="1:104" s="240" customFormat="1" ht="13.15" outlineLevel="1">
      <c r="A139" s="235" t="s">
        <v>100</v>
      </c>
      <c r="B139" s="236">
        <f t="shared" si="14"/>
        <v>0</v>
      </c>
      <c r="C139" s="236">
        <f t="shared" si="15"/>
        <v>0</v>
      </c>
      <c r="D139" s="275">
        <f>+'leden 2025'!B137</f>
        <v>0</v>
      </c>
      <c r="E139" s="275">
        <f>+'leden 2025'!C137</f>
        <v>0</v>
      </c>
      <c r="F139" s="275">
        <f>+'únor 2025'!B137</f>
        <v>0</v>
      </c>
      <c r="G139" s="275">
        <f>+'únor 2025'!C137</f>
        <v>0</v>
      </c>
      <c r="H139" s="275">
        <f>+'březen 2025'!B137</f>
        <v>0</v>
      </c>
      <c r="I139" s="275">
        <f>+'březen 2025'!C137</f>
        <v>0</v>
      </c>
      <c r="J139" s="275">
        <f>+'duben 2025'!B137</f>
        <v>0</v>
      </c>
      <c r="K139" s="275">
        <f>+'duben 2025'!C137</f>
        <v>0</v>
      </c>
      <c r="L139" s="275">
        <f>+'květen 2025'!B139</f>
        <v>0</v>
      </c>
      <c r="M139" s="275">
        <f>+'květen 2025'!C139</f>
        <v>0</v>
      </c>
      <c r="N139" s="275">
        <f>+'červen 2025'!B139</f>
        <v>0</v>
      </c>
      <c r="O139" s="275">
        <f>+'červen 2025'!C139</f>
        <v>0</v>
      </c>
      <c r="P139" s="275">
        <f>+'červenec 2025'!B139</f>
        <v>0</v>
      </c>
      <c r="Q139" s="275">
        <f>+'červenec 2025'!C139</f>
        <v>0</v>
      </c>
      <c r="R139" s="275">
        <f>+'srpen 2025'!B139</f>
        <v>0</v>
      </c>
      <c r="S139" s="275">
        <f>+'srpen 2025'!C139</f>
        <v>0</v>
      </c>
      <c r="T139" s="275">
        <f>+'září 2025'!B139</f>
        <v>0</v>
      </c>
      <c r="U139" s="275">
        <f>+'září 2025'!C139</f>
        <v>0</v>
      </c>
      <c r="V139" s="275">
        <f>+'říjen 2025'!B139</f>
        <v>0</v>
      </c>
      <c r="W139" s="275">
        <f>+'říjen 2025'!C139</f>
        <v>0</v>
      </c>
      <c r="X139" s="275">
        <f>+'listopad 2025'!B139</f>
        <v>0</v>
      </c>
      <c r="Y139" s="275">
        <f>+'listopad 2025'!C139</f>
        <v>0</v>
      </c>
      <c r="Z139" s="275">
        <f>+'prosinec 2025'!B139</f>
        <v>0</v>
      </c>
      <c r="AA139" s="275">
        <f>+'prosinec 2025'!C139</f>
        <v>0</v>
      </c>
      <c r="AB139" s="6"/>
      <c r="AC139" s="344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</row>
    <row r="140" spans="1:104" s="240" customFormat="1" ht="13.15" outlineLevel="1">
      <c r="A140" s="235" t="s">
        <v>101</v>
      </c>
      <c r="B140" s="236">
        <f t="shared" si="14"/>
        <v>131320</v>
      </c>
      <c r="C140" s="236">
        <f t="shared" si="15"/>
        <v>20904</v>
      </c>
      <c r="D140" s="275">
        <f>+'leden 2025'!B138</f>
        <v>0</v>
      </c>
      <c r="E140" s="275">
        <f>+'leden 2025'!C138</f>
        <v>0</v>
      </c>
      <c r="F140" s="275">
        <f>+'únor 2025'!B138</f>
        <v>0</v>
      </c>
      <c r="G140" s="275">
        <f>+'únor 2025'!C138</f>
        <v>0</v>
      </c>
      <c r="H140" s="275">
        <f>+'březen 2025'!B138</f>
        <v>0</v>
      </c>
      <c r="I140" s="275">
        <f>+'březen 2025'!C138</f>
        <v>0</v>
      </c>
      <c r="J140" s="275">
        <f>+'duben 2025'!B138</f>
        <v>0</v>
      </c>
      <c r="K140" s="275">
        <f>+'duben 2025'!C138</f>
        <v>0</v>
      </c>
      <c r="L140" s="275">
        <f>+'květen 2025'!B140</f>
        <v>18760</v>
      </c>
      <c r="M140" s="275">
        <f>+'květen 2025'!C140</f>
        <v>0</v>
      </c>
      <c r="N140" s="275">
        <f>+'červen 2025'!B140</f>
        <v>0</v>
      </c>
      <c r="O140" s="275">
        <f>+'červen 2025'!C140</f>
        <v>0</v>
      </c>
      <c r="P140" s="275">
        <f>+'červenec 2025'!B140</f>
        <v>18760</v>
      </c>
      <c r="Q140" s="275">
        <f>+'červenec 2025'!C140</f>
        <v>0</v>
      </c>
      <c r="R140" s="275">
        <f>+'srpen 2025'!B140</f>
        <v>18760</v>
      </c>
      <c r="S140" s="275">
        <f>+'srpen 2025'!C140</f>
        <v>0</v>
      </c>
      <c r="T140" s="275">
        <f>+'září 2025'!B140</f>
        <v>18760</v>
      </c>
      <c r="U140" s="275">
        <f>+'září 2025'!C140</f>
        <v>0</v>
      </c>
      <c r="V140" s="275">
        <f>+'říjen 2025'!B140</f>
        <v>18760</v>
      </c>
      <c r="W140" s="275">
        <f>+'říjen 2025'!C140</f>
        <v>0</v>
      </c>
      <c r="X140" s="275">
        <f>+'listopad 2025'!B140</f>
        <v>18760</v>
      </c>
      <c r="Y140" s="275">
        <f>+'listopad 2025'!C140</f>
        <v>20904</v>
      </c>
      <c r="Z140" s="275">
        <f>+'prosinec 2025'!B140</f>
        <v>18760</v>
      </c>
      <c r="AA140" s="275">
        <f>+'prosinec 2025'!C140</f>
        <v>0</v>
      </c>
      <c r="AB140" s="6"/>
      <c r="AC140" s="344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</row>
    <row r="141" spans="1:104" s="6" customFormat="1" ht="14.65" thickBot="1">
      <c r="A141" s="7"/>
      <c r="B141" s="229"/>
      <c r="C141" s="327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  <c r="AC141" s="344"/>
    </row>
    <row r="142" spans="1:104" s="246" customFormat="1" ht="18.399999999999999" thickBot="1">
      <c r="A142" s="245" t="s">
        <v>102</v>
      </c>
      <c r="B142" s="325">
        <f t="shared" si="14"/>
        <v>8352415</v>
      </c>
      <c r="C142" s="329">
        <f t="shared" si="15"/>
        <v>2029890.8424999996</v>
      </c>
      <c r="D142" s="326">
        <f>+'leden 2025'!B140</f>
        <v>399200</v>
      </c>
      <c r="E142" s="283">
        <f>+'leden 2025'!C140</f>
        <v>40248.5</v>
      </c>
      <c r="F142" s="283">
        <f>+'únor 2025'!B140</f>
        <v>399200</v>
      </c>
      <c r="G142" s="283">
        <f>+'únor 2025'!C140</f>
        <v>-2551</v>
      </c>
      <c r="H142" s="283">
        <f>+'březen 2025'!B140</f>
        <v>582840</v>
      </c>
      <c r="I142" s="283">
        <f>+'březen 2025'!C140</f>
        <v>69466.380000000121</v>
      </c>
      <c r="J142" s="283">
        <f>+'duben 2025'!B140</f>
        <v>562740</v>
      </c>
      <c r="K142" s="283">
        <f>+'duben 2025'!C140</f>
        <v>-87522.875</v>
      </c>
      <c r="L142" s="283">
        <f>+'květen 2025'!B142</f>
        <v>620720</v>
      </c>
      <c r="M142" s="283">
        <f>+'květen 2025'!C142</f>
        <v>119947.22500000009</v>
      </c>
      <c r="N142" s="283">
        <f>+'červen 2025'!B142</f>
        <v>593910</v>
      </c>
      <c r="O142" s="283">
        <f>+'červen 2025'!C142</f>
        <v>203328.50500000012</v>
      </c>
      <c r="P142" s="283">
        <f>+'červenec 2025'!B142</f>
        <v>476020</v>
      </c>
      <c r="Q142" s="283">
        <f>+'červenec 2025'!C142</f>
        <v>96078.092500000028</v>
      </c>
      <c r="R142" s="283">
        <f>+'srpen 2025'!B142</f>
        <v>868750</v>
      </c>
      <c r="S142" s="283">
        <f>+'srpen 2025'!C142</f>
        <v>66995.76500000013</v>
      </c>
      <c r="T142" s="283">
        <f>+'září 2025'!B142</f>
        <v>691920</v>
      </c>
      <c r="U142" s="283">
        <f>+'září 2025'!C142</f>
        <v>251517.29999999981</v>
      </c>
      <c r="V142" s="283">
        <f>+'říjen 2025'!B142</f>
        <v>634990</v>
      </c>
      <c r="W142" s="283">
        <f>+'říjen 2025'!C142</f>
        <v>67065.969999999972</v>
      </c>
      <c r="X142" s="283">
        <f>+'listopad 2025'!B142</f>
        <v>855750</v>
      </c>
      <c r="Y142" s="283">
        <f>+'listopad 2025'!C142</f>
        <v>245818.06999999937</v>
      </c>
      <c r="Z142" s="283">
        <f>+'prosinec 2025'!B142</f>
        <v>1666375</v>
      </c>
      <c r="AA142" s="283">
        <f>+'prosinec 2025'!C142</f>
        <v>959498.90999999992</v>
      </c>
      <c r="AB142" s="288"/>
      <c r="AC142" s="345"/>
      <c r="AD142" s="288"/>
      <c r="AE142" s="288"/>
      <c r="AF142" s="288"/>
      <c r="AG142" s="288"/>
      <c r="AH142" s="288"/>
      <c r="AI142" s="288"/>
      <c r="AJ142" s="288"/>
      <c r="AK142" s="288"/>
      <c r="AL142" s="288"/>
      <c r="AM142" s="288"/>
      <c r="AN142" s="288"/>
      <c r="AO142" s="288"/>
      <c r="AP142" s="288"/>
      <c r="AQ142" s="288"/>
      <c r="AR142" s="288"/>
      <c r="AS142" s="288"/>
      <c r="AT142" s="288"/>
      <c r="AU142" s="288"/>
      <c r="AV142" s="288"/>
      <c r="AW142" s="288"/>
      <c r="AX142" s="288"/>
      <c r="AY142" s="288"/>
      <c r="AZ142" s="288"/>
      <c r="BA142" s="288"/>
      <c r="BB142" s="288"/>
      <c r="BC142" s="288"/>
      <c r="BD142" s="288"/>
      <c r="BE142" s="288"/>
      <c r="BF142" s="288"/>
      <c r="BG142" s="288"/>
      <c r="BH142" s="288"/>
      <c r="BI142" s="288"/>
      <c r="BJ142" s="288"/>
      <c r="BK142" s="288"/>
      <c r="BL142" s="288"/>
      <c r="BM142" s="288"/>
      <c r="BN142" s="288"/>
      <c r="BO142" s="288"/>
      <c r="BP142" s="288"/>
      <c r="BQ142" s="288"/>
      <c r="BR142" s="288"/>
      <c r="BS142" s="288"/>
      <c r="BT142" s="288"/>
      <c r="BU142" s="288"/>
      <c r="BV142" s="288"/>
      <c r="BW142" s="288"/>
      <c r="BX142" s="288"/>
      <c r="BY142" s="288"/>
      <c r="BZ142" s="288"/>
      <c r="CA142" s="288"/>
      <c r="CB142" s="288"/>
      <c r="CC142" s="288"/>
      <c r="CD142" s="288"/>
      <c r="CE142" s="288"/>
      <c r="CF142" s="288"/>
      <c r="CG142" s="288"/>
      <c r="CH142" s="288"/>
      <c r="CI142" s="288"/>
      <c r="CJ142" s="288"/>
      <c r="CK142" s="288"/>
      <c r="CL142" s="288"/>
      <c r="CM142" s="288"/>
      <c r="CN142" s="288"/>
      <c r="CO142" s="288"/>
      <c r="CP142" s="288"/>
      <c r="CQ142" s="288"/>
      <c r="CR142" s="288"/>
      <c r="CS142" s="288"/>
      <c r="CT142" s="288"/>
      <c r="CU142" s="288"/>
      <c r="CV142" s="288"/>
      <c r="CW142" s="288"/>
      <c r="CX142" s="288"/>
      <c r="CY142" s="288"/>
      <c r="CZ142" s="288"/>
    </row>
    <row r="143" spans="1:104">
      <c r="A143" s="44" t="s">
        <v>103</v>
      </c>
      <c r="B143" s="91">
        <f t="shared" si="14"/>
        <v>3972110</v>
      </c>
      <c r="C143" s="328">
        <f t="shared" si="15"/>
        <v>1646411.2375000003</v>
      </c>
      <c r="D143" s="269">
        <f>+'leden 2025'!B141</f>
        <v>283730</v>
      </c>
      <c r="E143" s="269">
        <f>+'leden 2025'!C141</f>
        <v>162891.5</v>
      </c>
      <c r="F143" s="269">
        <f>+'únor 2025'!B141</f>
        <v>283730</v>
      </c>
      <c r="G143" s="269">
        <f>+'únor 2025'!C141</f>
        <v>129135.5</v>
      </c>
      <c r="H143" s="269">
        <f>+'březen 2025'!B141</f>
        <v>460630</v>
      </c>
      <c r="I143" s="269">
        <f>+'březen 2025'!C141</f>
        <v>143825.38</v>
      </c>
      <c r="J143" s="269">
        <f>+'duben 2025'!B141</f>
        <v>393430</v>
      </c>
      <c r="K143" s="269">
        <f>+'duben 2025'!C141</f>
        <v>66102.469999999972</v>
      </c>
      <c r="L143" s="269">
        <f>+'květen 2025'!B143</f>
        <v>359930</v>
      </c>
      <c r="M143" s="269">
        <f>+'květen 2025'!C143</f>
        <v>154116.44999999995</v>
      </c>
      <c r="N143" s="269">
        <f>+'červen 2025'!B143</f>
        <v>169730</v>
      </c>
      <c r="O143" s="269">
        <f>+'červen 2025'!C143</f>
        <v>185843.56000000017</v>
      </c>
      <c r="P143" s="269">
        <f>+'červenec 2025'!B143</f>
        <v>209930</v>
      </c>
      <c r="Q143" s="269">
        <f>+'červenec 2025'!C143</f>
        <v>112027.55750000011</v>
      </c>
      <c r="R143" s="269">
        <f>+'srpen 2025'!B143</f>
        <v>378680</v>
      </c>
      <c r="S143" s="269">
        <f>+'srpen 2025'!C143</f>
        <v>72013.159999999916</v>
      </c>
      <c r="T143" s="269">
        <f>+'září 2025'!B143</f>
        <v>369830</v>
      </c>
      <c r="U143" s="269">
        <f>+'září 2025'!C143</f>
        <v>240034.95999999996</v>
      </c>
      <c r="V143" s="269">
        <f>+'říjen 2025'!B143</f>
        <v>452830</v>
      </c>
      <c r="W143" s="269">
        <f>+'říjen 2025'!C143</f>
        <v>149249.85000000009</v>
      </c>
      <c r="X143" s="269">
        <f>+'listopad 2025'!B143</f>
        <v>284730</v>
      </c>
      <c r="Y143" s="269">
        <f>+'listopad 2025'!C143</f>
        <v>2097.9899999999907</v>
      </c>
      <c r="Z143" s="269">
        <f>+'prosinec 2025'!B143</f>
        <v>324930</v>
      </c>
      <c r="AA143" s="269">
        <f>+'prosinec 2025'!C143</f>
        <v>229072.86000000004</v>
      </c>
    </row>
    <row r="144" spans="1:104" s="244" customFormat="1" ht="13.15">
      <c r="A144" s="58" t="s">
        <v>104</v>
      </c>
      <c r="B144" s="96">
        <f t="shared" si="14"/>
        <v>1278340</v>
      </c>
      <c r="C144" s="96">
        <f t="shared" si="15"/>
        <v>162696.86500000002</v>
      </c>
      <c r="D144" s="271">
        <f>+'leden 2025'!B142</f>
        <v>33800</v>
      </c>
      <c r="E144" s="271">
        <f>+'leden 2025'!C142</f>
        <v>-17954.5</v>
      </c>
      <c r="F144" s="271">
        <f>+'únor 2025'!B142</f>
        <v>33800</v>
      </c>
      <c r="G144" s="271">
        <f>+'únor 2025'!C142</f>
        <v>-39103</v>
      </c>
      <c r="H144" s="271">
        <f>+'březen 2025'!B142</f>
        <v>33800</v>
      </c>
      <c r="I144" s="271">
        <f>+'březen 2025'!C142</f>
        <v>-16074.220000000001</v>
      </c>
      <c r="J144" s="271">
        <f>+'duben 2025'!B142</f>
        <v>80900</v>
      </c>
      <c r="K144" s="271">
        <f>+'duben 2025'!C142</f>
        <v>-54507.415000000008</v>
      </c>
      <c r="L144" s="271">
        <f>+'květen 2025'!B144</f>
        <v>80900</v>
      </c>
      <c r="M144" s="271">
        <f>+'květen 2025'!C144</f>
        <v>-19535.984999999986</v>
      </c>
      <c r="N144" s="271">
        <f>+'červen 2025'!B144</f>
        <v>80900</v>
      </c>
      <c r="O144" s="271">
        <f>+'červen 2025'!C144</f>
        <v>7058.8400000000256</v>
      </c>
      <c r="P144" s="271">
        <f>+'červenec 2025'!B144</f>
        <v>125900</v>
      </c>
      <c r="Q144" s="271">
        <f>+'červenec 2025'!C144</f>
        <v>-5529.2200000000012</v>
      </c>
      <c r="R144" s="271">
        <f>+'srpen 2025'!B144</f>
        <v>125900</v>
      </c>
      <c r="S144" s="271">
        <f>+'srpen 2025'!C144</f>
        <v>-1925.0650000000023</v>
      </c>
      <c r="T144" s="271">
        <f>+'září 2025'!B144</f>
        <v>83020</v>
      </c>
      <c r="U144" s="271">
        <f>+'září 2025'!C144</f>
        <v>-2581.7450000000536</v>
      </c>
      <c r="V144" s="271">
        <f>+'říjen 2025'!B144</f>
        <v>16020</v>
      </c>
      <c r="W144" s="271">
        <f>+'říjen 2025'!C144</f>
        <v>-84901.635000000009</v>
      </c>
      <c r="X144" s="271">
        <f>+'listopad 2025'!B144</f>
        <v>226750</v>
      </c>
      <c r="Y144" s="271">
        <f>+'listopad 2025'!C144</f>
        <v>98702.050000000047</v>
      </c>
      <c r="Z144" s="271">
        <f>+'prosinec 2025'!B144</f>
        <v>356650</v>
      </c>
      <c r="AA144" s="271">
        <f>+'prosinec 2025'!C144</f>
        <v>299048.76</v>
      </c>
      <c r="AB144" s="6"/>
      <c r="AC144" s="344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</row>
    <row r="145" spans="1:104" s="261" customFormat="1" ht="13.15">
      <c r="A145" s="57" t="s">
        <v>105</v>
      </c>
      <c r="B145" s="98">
        <f t="shared" si="14"/>
        <v>1779510</v>
      </c>
      <c r="C145" s="98">
        <f t="shared" si="15"/>
        <v>424419.58999999985</v>
      </c>
      <c r="D145" s="272">
        <f>+'leden 2025'!B143</f>
        <v>7000</v>
      </c>
      <c r="E145" s="272">
        <f>+'leden 2025'!C143</f>
        <v>-45104.75</v>
      </c>
      <c r="F145" s="272">
        <f>+'únor 2025'!B143</f>
        <v>7000</v>
      </c>
      <c r="G145" s="272">
        <f>+'únor 2025'!C143</f>
        <v>-48149.75</v>
      </c>
      <c r="H145" s="272">
        <f>+'březen 2025'!B143</f>
        <v>7000</v>
      </c>
      <c r="I145" s="272">
        <f>+'březen 2025'!C143</f>
        <v>-42246.305000000008</v>
      </c>
      <c r="J145" s="272">
        <f>+'duben 2025'!B143</f>
        <v>7000</v>
      </c>
      <c r="K145" s="272">
        <f>+'duben 2025'!C143</f>
        <v>-40453.130000000005</v>
      </c>
      <c r="L145" s="272">
        <f>+'květen 2025'!B145</f>
        <v>107900</v>
      </c>
      <c r="M145" s="272">
        <f>+'květen 2025'!C145</f>
        <v>-47636.220000000088</v>
      </c>
      <c r="N145" s="272">
        <f>+'červen 2025'!B145</f>
        <v>279330</v>
      </c>
      <c r="O145" s="272">
        <f>+'červen 2025'!C145</f>
        <v>4405.3400000000256</v>
      </c>
      <c r="P145" s="272">
        <f>+'červenec 2025'!B145</f>
        <v>191480</v>
      </c>
      <c r="Q145" s="272">
        <f>+'červenec 2025'!C145</f>
        <v>-8939.9749999999767</v>
      </c>
      <c r="R145" s="272">
        <f>+'srpen 2025'!B145</f>
        <v>191480</v>
      </c>
      <c r="S145" s="272">
        <f>+'srpen 2025'!C145</f>
        <v>14926.910000000033</v>
      </c>
      <c r="T145" s="272">
        <f>+'září 2025'!B145</f>
        <v>171380</v>
      </c>
      <c r="U145" s="272">
        <f>+'září 2025'!C145</f>
        <v>19959.5</v>
      </c>
      <c r="V145" s="272">
        <f>+'říjen 2025'!B145</f>
        <v>171380</v>
      </c>
      <c r="W145" s="272">
        <f>+'říjen 2025'!C145</f>
        <v>30851.239999999991</v>
      </c>
      <c r="X145" s="272">
        <f>+'listopad 2025'!B145</f>
        <v>309230</v>
      </c>
      <c r="Y145" s="272">
        <f>+'listopad 2025'!C145</f>
        <v>165268.14999999991</v>
      </c>
      <c r="Z145" s="272">
        <f>+'prosinec 2025'!B145</f>
        <v>329330</v>
      </c>
      <c r="AA145" s="272">
        <f>+'prosinec 2025'!C145</f>
        <v>421538.57999999996</v>
      </c>
      <c r="AB145" s="6"/>
      <c r="AC145" s="344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</row>
    <row r="146" spans="1:104">
      <c r="A146" s="50" t="s">
        <v>106</v>
      </c>
      <c r="B146" s="91">
        <f t="shared" si="14"/>
        <v>854305</v>
      </c>
      <c r="C146" s="91">
        <f t="shared" si="15"/>
        <v>-163860.755</v>
      </c>
      <c r="D146" s="269">
        <f>+'leden 2025'!B144</f>
        <v>0</v>
      </c>
      <c r="E146" s="269">
        <f>+'leden 2025'!C144</f>
        <v>0</v>
      </c>
      <c r="F146" s="269">
        <f>+'únor 2025'!B144</f>
        <v>0</v>
      </c>
      <c r="G146" s="269">
        <f>+'únor 2025'!C144</f>
        <v>0</v>
      </c>
      <c r="H146" s="269">
        <f>+'březen 2025'!B144</f>
        <v>6740</v>
      </c>
      <c r="I146" s="269">
        <f>+'březen 2025'!C144</f>
        <v>-2718.625</v>
      </c>
      <c r="J146" s="269">
        <f>+'duben 2025'!B144</f>
        <v>6740</v>
      </c>
      <c r="K146" s="269">
        <f>+'duben 2025'!C144</f>
        <v>1307.7049999999981</v>
      </c>
      <c r="L146" s="269">
        <f>+'květen 2025'!B146</f>
        <v>47100</v>
      </c>
      <c r="M146" s="269">
        <f>+'květen 2025'!C146</f>
        <v>-14302.400000000009</v>
      </c>
      <c r="N146" s="269">
        <f>+'červen 2025'!B146</f>
        <v>33700</v>
      </c>
      <c r="O146" s="269">
        <f>+'červen 2025'!C146</f>
        <v>-10561.399999999994</v>
      </c>
      <c r="P146" s="269">
        <f>+'červenec 2025'!B146</f>
        <v>33700</v>
      </c>
      <c r="Q146" s="269">
        <f>+'červenec 2025'!C146</f>
        <v>-23340.470000000016</v>
      </c>
      <c r="R146" s="269">
        <f>+'srpen 2025'!B146</f>
        <v>33700</v>
      </c>
      <c r="S146" s="269">
        <f>+'srpen 2025'!C146</f>
        <v>-34162.099999999991</v>
      </c>
      <c r="T146" s="269">
        <f>+'září 2025'!B146</f>
        <v>56200</v>
      </c>
      <c r="U146" s="269">
        <f>+'září 2025'!C146</f>
        <v>-22643.915000000008</v>
      </c>
      <c r="V146" s="269">
        <f>+'říjen 2025'!B146</f>
        <v>56200</v>
      </c>
      <c r="W146" s="269">
        <f>+'říjen 2025'!C146</f>
        <v>-57439.549999999988</v>
      </c>
      <c r="X146" s="269">
        <f>+'listopad 2025'!B146</f>
        <v>0</v>
      </c>
      <c r="Y146" s="269">
        <f>+'listopad 2025'!C146</f>
        <v>0</v>
      </c>
      <c r="Z146" s="269">
        <f>+'prosinec 2025'!B146</f>
        <v>580225</v>
      </c>
      <c r="AA146" s="269">
        <f>+'prosinec 2025'!C146</f>
        <v>0</v>
      </c>
    </row>
    <row r="147" spans="1:104" s="264" customFormat="1" ht="13.15">
      <c r="A147" s="61" t="s">
        <v>107</v>
      </c>
      <c r="B147" s="100">
        <f t="shared" si="14"/>
        <v>58620</v>
      </c>
      <c r="C147" s="100">
        <f t="shared" si="15"/>
        <v>-246123.06</v>
      </c>
      <c r="D147" s="273">
        <f>+'leden 2025'!B145</f>
        <v>31020</v>
      </c>
      <c r="E147" s="273">
        <f>+'leden 2025'!C145</f>
        <v>-82614.75</v>
      </c>
      <c r="F147" s="273">
        <f>+'únor 2025'!B145</f>
        <v>31020</v>
      </c>
      <c r="G147" s="273">
        <f>+'únor 2025'!C145</f>
        <v>-64043.25</v>
      </c>
      <c r="H147" s="273">
        <f>+'březen 2025'!B145</f>
        <v>31020</v>
      </c>
      <c r="I147" s="273">
        <f>+'březen 2025'!C145</f>
        <v>-30931.964999999997</v>
      </c>
      <c r="J147" s="273">
        <f>+'duben 2025'!B145</f>
        <v>31020</v>
      </c>
      <c r="K147" s="273">
        <f>+'duben 2025'!C145</f>
        <v>-68533.095000000001</v>
      </c>
      <c r="L147" s="273">
        <f>+'květen 2025'!B147</f>
        <v>0</v>
      </c>
      <c r="M147" s="273">
        <f>+'květen 2025'!C147</f>
        <v>0</v>
      </c>
      <c r="N147" s="273">
        <f>+'červen 2025'!B147</f>
        <v>0</v>
      </c>
      <c r="O147" s="273">
        <f>+'červen 2025'!C147</f>
        <v>0</v>
      </c>
      <c r="P147" s="273">
        <f>+'červenec 2025'!B147</f>
        <v>-96480</v>
      </c>
      <c r="Q147" s="273">
        <f>+'červenec 2025'!C147</f>
        <v>0</v>
      </c>
      <c r="R147" s="273">
        <f>+'srpen 2025'!B147</f>
        <v>127500</v>
      </c>
      <c r="S147" s="273">
        <f>+'srpen 2025'!C147</f>
        <v>0</v>
      </c>
      <c r="T147" s="273">
        <f>+'září 2025'!B147</f>
        <v>0</v>
      </c>
      <c r="U147" s="273">
        <f>+'září 2025'!C147</f>
        <v>0</v>
      </c>
      <c r="V147" s="273">
        <f>+'říjen 2025'!B147</f>
        <v>-96480</v>
      </c>
      <c r="W147" s="273">
        <f>+'říjen 2025'!C147</f>
        <v>0</v>
      </c>
      <c r="X147" s="273">
        <f>+'listopad 2025'!B147</f>
        <v>0</v>
      </c>
      <c r="Y147" s="273">
        <f>+'listopad 2025'!C147</f>
        <v>0</v>
      </c>
      <c r="Z147" s="273">
        <f>+'prosinec 2025'!B147</f>
        <v>0</v>
      </c>
      <c r="AA147" s="273">
        <f>+'prosinec 2025'!C147</f>
        <v>0</v>
      </c>
      <c r="AB147" s="6"/>
      <c r="AC147" s="344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</row>
    <row r="148" spans="1:104" s="265" customFormat="1" ht="13.15">
      <c r="A148" s="62" t="s">
        <v>108</v>
      </c>
      <c r="B148" s="101">
        <f t="shared" si="14"/>
        <v>540850</v>
      </c>
      <c r="C148" s="101">
        <f t="shared" si="15"/>
        <v>227250.965</v>
      </c>
      <c r="D148" s="274">
        <f>+'leden 2025'!B146</f>
        <v>43650</v>
      </c>
      <c r="E148" s="274">
        <f>+'leden 2025'!C146</f>
        <v>23031</v>
      </c>
      <c r="F148" s="274">
        <f>+'únor 2025'!B146</f>
        <v>43650</v>
      </c>
      <c r="G148" s="274">
        <f>+'únor 2025'!C146</f>
        <v>19609.5</v>
      </c>
      <c r="H148" s="274">
        <f>+'březen 2025'!B146</f>
        <v>43650</v>
      </c>
      <c r="I148" s="274">
        <f>+'březen 2025'!C146</f>
        <v>17612.114999999998</v>
      </c>
      <c r="J148" s="274">
        <f>+'duben 2025'!B146</f>
        <v>43650</v>
      </c>
      <c r="K148" s="274">
        <f>+'duben 2025'!C146</f>
        <v>8560.5900000000038</v>
      </c>
      <c r="L148" s="274">
        <f>+'květen 2025'!B148</f>
        <v>43650</v>
      </c>
      <c r="M148" s="274">
        <f>+'květen 2025'!C148</f>
        <v>47305.380000000005</v>
      </c>
      <c r="N148" s="274">
        <f>+'červen 2025'!B148</f>
        <v>30250</v>
      </c>
      <c r="O148" s="274">
        <f>+'červen 2025'!C148</f>
        <v>16582.165000000001</v>
      </c>
      <c r="P148" s="274">
        <f>+'červenec 2025'!B148</f>
        <v>30250</v>
      </c>
      <c r="Q148" s="274">
        <f>+'červenec 2025'!C148</f>
        <v>21860.199999999997</v>
      </c>
      <c r="R148" s="274">
        <f>+'srpen 2025'!B148</f>
        <v>30250</v>
      </c>
      <c r="S148" s="274">
        <f>+'srpen 2025'!C148</f>
        <v>16142.86</v>
      </c>
      <c r="T148" s="274">
        <f>+'září 2025'!B148</f>
        <v>30250</v>
      </c>
      <c r="U148" s="274">
        <f>+'září 2025'!C148</f>
        <v>16748.5</v>
      </c>
      <c r="V148" s="274">
        <f>+'říjen 2025'!B148</f>
        <v>53800</v>
      </c>
      <c r="W148" s="274">
        <f>+'říjen 2025'!C148</f>
        <v>29306.065000000002</v>
      </c>
      <c r="X148" s="274">
        <f>+'listopad 2025'!B148</f>
        <v>53800</v>
      </c>
      <c r="Y148" s="274">
        <f>+'listopad 2025'!C148</f>
        <v>653.88000000000466</v>
      </c>
      <c r="Z148" s="274">
        <f>+'prosinec 2025'!B148</f>
        <v>94000</v>
      </c>
      <c r="AA148" s="274">
        <f>+'prosinec 2025'!C148</f>
        <v>9838.7100000000009</v>
      </c>
      <c r="AB148" s="6"/>
      <c r="AC148" s="344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</row>
    <row r="149" spans="1:104" s="240" customFormat="1" ht="13.15">
      <c r="A149" s="241" t="s">
        <v>109</v>
      </c>
      <c r="B149" s="236">
        <f t="shared" si="14"/>
        <v>0</v>
      </c>
      <c r="C149" s="236">
        <f t="shared" si="15"/>
        <v>0</v>
      </c>
      <c r="D149" s="275">
        <f>+'leden 2025'!B147</f>
        <v>0</v>
      </c>
      <c r="E149" s="275">
        <f>+'leden 2025'!C147</f>
        <v>0</v>
      </c>
      <c r="F149" s="275">
        <f>+'únor 2025'!B147</f>
        <v>0</v>
      </c>
      <c r="G149" s="275">
        <f>+'únor 2025'!C147</f>
        <v>0</v>
      </c>
      <c r="H149" s="275">
        <f>+'březen 2025'!B147</f>
        <v>0</v>
      </c>
      <c r="I149" s="275">
        <f>+'březen 2025'!C147</f>
        <v>0</v>
      </c>
      <c r="J149" s="275">
        <f>+'duben 2025'!B147</f>
        <v>0</v>
      </c>
      <c r="K149" s="275">
        <f>+'duben 2025'!C147</f>
        <v>0</v>
      </c>
      <c r="L149" s="275">
        <f>+'květen 2025'!B149</f>
        <v>0</v>
      </c>
      <c r="M149" s="275">
        <f>+'květen 2025'!C149</f>
        <v>0</v>
      </c>
      <c r="N149" s="275">
        <f>+'červen 2025'!B149</f>
        <v>0</v>
      </c>
      <c r="O149" s="275">
        <f>+'červen 2025'!C149</f>
        <v>0</v>
      </c>
      <c r="P149" s="275">
        <f>+'červenec 2025'!B149</f>
        <v>0</v>
      </c>
      <c r="Q149" s="275">
        <f>+'červenec 2025'!C149</f>
        <v>0</v>
      </c>
      <c r="R149" s="275">
        <f>+'srpen 2025'!B149</f>
        <v>0</v>
      </c>
      <c r="S149" s="275">
        <f>+'srpen 2025'!C149</f>
        <v>0</v>
      </c>
      <c r="T149" s="275">
        <f>+'září 2025'!B149</f>
        <v>0</v>
      </c>
      <c r="U149" s="275">
        <f>+'září 2025'!C149</f>
        <v>0</v>
      </c>
      <c r="V149" s="275">
        <f>+'říjen 2025'!B149</f>
        <v>0</v>
      </c>
      <c r="W149" s="275">
        <f>+'říjen 2025'!C149</f>
        <v>0</v>
      </c>
      <c r="X149" s="275">
        <f>+'listopad 2025'!B149</f>
        <v>0</v>
      </c>
      <c r="Y149" s="275">
        <f>+'listopad 2025'!C149</f>
        <v>0</v>
      </c>
      <c r="Z149" s="275">
        <f>+'prosinec 2025'!B149</f>
        <v>0</v>
      </c>
      <c r="AA149" s="275">
        <f>+'prosinec 2025'!C149</f>
        <v>0</v>
      </c>
      <c r="AB149" s="6"/>
      <c r="AC149" s="344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</row>
    <row r="150" spans="1:104" s="240" customFormat="1" ht="13.15">
      <c r="A150" s="241" t="s">
        <v>110</v>
      </c>
      <c r="B150" s="236">
        <f t="shared" si="14"/>
        <v>-131320</v>
      </c>
      <c r="C150" s="236">
        <f t="shared" si="15"/>
        <v>-20904</v>
      </c>
      <c r="D150" s="275">
        <f>+'leden 2025'!B148</f>
        <v>0</v>
      </c>
      <c r="E150" s="275">
        <f>+'leden 2025'!C148</f>
        <v>0</v>
      </c>
      <c r="F150" s="275">
        <f>+'únor 2025'!B148</f>
        <v>0</v>
      </c>
      <c r="G150" s="275">
        <f>+'únor 2025'!C148</f>
        <v>0</v>
      </c>
      <c r="H150" s="275">
        <f>+'březen 2025'!B148</f>
        <v>0</v>
      </c>
      <c r="I150" s="275">
        <f>+'březen 2025'!C148</f>
        <v>0</v>
      </c>
      <c r="J150" s="275">
        <f>+'duben 2025'!B148</f>
        <v>0</v>
      </c>
      <c r="K150" s="275">
        <f>+'duben 2025'!C148</f>
        <v>0</v>
      </c>
      <c r="L150" s="275">
        <f>+'květen 2025'!B150</f>
        <v>-18760</v>
      </c>
      <c r="M150" s="275">
        <f>+'květen 2025'!C150</f>
        <v>0</v>
      </c>
      <c r="N150" s="275">
        <f>+'červen 2025'!B150</f>
        <v>0</v>
      </c>
      <c r="O150" s="275">
        <f>+'červen 2025'!C150</f>
        <v>0</v>
      </c>
      <c r="P150" s="275">
        <f>+'červenec 2025'!B150</f>
        <v>-18760</v>
      </c>
      <c r="Q150" s="275">
        <f>+'červenec 2025'!C150</f>
        <v>0</v>
      </c>
      <c r="R150" s="275">
        <f>+'srpen 2025'!B150</f>
        <v>-18760</v>
      </c>
      <c r="S150" s="275">
        <f>+'srpen 2025'!C150</f>
        <v>0</v>
      </c>
      <c r="T150" s="275">
        <f>+'září 2025'!B150</f>
        <v>-18760</v>
      </c>
      <c r="U150" s="275">
        <f>+'září 2025'!C150</f>
        <v>0</v>
      </c>
      <c r="V150" s="275">
        <f>+'říjen 2025'!B150</f>
        <v>-18760</v>
      </c>
      <c r="W150" s="275">
        <f>+'říjen 2025'!C150</f>
        <v>0</v>
      </c>
      <c r="X150" s="275">
        <f>+'listopad 2025'!B150</f>
        <v>-18760</v>
      </c>
      <c r="Y150" s="275">
        <f>+'listopad 2025'!C150</f>
        <v>-20904</v>
      </c>
      <c r="Z150" s="275">
        <f>+'prosinec 2025'!B150</f>
        <v>-18760</v>
      </c>
      <c r="AA150" s="275">
        <f>+'prosinec 2025'!C150</f>
        <v>0</v>
      </c>
      <c r="AB150" s="6"/>
      <c r="AC150" s="344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</row>
    <row r="151" spans="1:104">
      <c r="E151" s="213"/>
      <c r="G151" s="213"/>
      <c r="I151" s="213"/>
      <c r="K151" s="213"/>
      <c r="M151" s="213"/>
      <c r="O151" s="213"/>
      <c r="Q151" s="213"/>
      <c r="S151" s="213"/>
      <c r="U151" s="213"/>
      <c r="W151" s="213"/>
      <c r="Y151" s="213"/>
      <c r="AA151" s="213"/>
    </row>
    <row r="152" spans="1:104">
      <c r="A152" s="179" t="s">
        <v>111</v>
      </c>
      <c r="B152" s="180">
        <f>+B52/B132-1</f>
        <v>0.37506435433378305</v>
      </c>
      <c r="C152" s="180"/>
      <c r="D152" s="284">
        <f t="shared" ref="D152:U152" si="16">+D52/D132-1</f>
        <v>0.35938062657544112</v>
      </c>
      <c r="E152" s="293">
        <f t="shared" si="16"/>
        <v>4.0389479478118329E-2</v>
      </c>
      <c r="F152" s="284">
        <f t="shared" si="16"/>
        <v>0.35938062657544112</v>
      </c>
      <c r="G152" s="293">
        <f t="shared" si="16"/>
        <v>-2.5732457091556249E-3</v>
      </c>
      <c r="H152" s="284">
        <f t="shared" si="16"/>
        <v>0.36861544688709547</v>
      </c>
      <c r="I152" s="293">
        <f t="shared" si="16"/>
        <v>4.8829497978345016E-2</v>
      </c>
      <c r="J152" s="284">
        <f t="shared" si="16"/>
        <v>0.35143574435132341</v>
      </c>
      <c r="K152" s="293">
        <f t="shared" si="16"/>
        <v>-6.3171136315019583E-2</v>
      </c>
      <c r="L152" s="284">
        <f t="shared" si="16"/>
        <v>0.33565495760512198</v>
      </c>
      <c r="M152" s="293">
        <f t="shared" si="16"/>
        <v>7.1750568794931802E-2</v>
      </c>
      <c r="N152" s="284">
        <f>+N52/N132-1</f>
        <v>0.31240498871699929</v>
      </c>
      <c r="O152" s="293">
        <f t="shared" si="16"/>
        <v>0.11449743953197133</v>
      </c>
      <c r="P152" s="284">
        <f>+P52/P132-1</f>
        <v>0.24486877437010679</v>
      </c>
      <c r="Q152" s="293">
        <f t="shared" si="16"/>
        <v>5.7103390059711101E-2</v>
      </c>
      <c r="R152" s="284">
        <f>+R52/R132-1</f>
        <v>0.44637122671804752</v>
      </c>
      <c r="S152" s="293">
        <f t="shared" si="16"/>
        <v>4.0180135214162194E-2</v>
      </c>
      <c r="T152" s="284">
        <f>+T52/T132-1</f>
        <v>0.34629244074311338</v>
      </c>
      <c r="U152" s="293">
        <f t="shared" si="16"/>
        <v>0.13797865356469785</v>
      </c>
      <c r="V152" s="284">
        <f>+V52/V132-1</f>
        <v>0.27136208819620422</v>
      </c>
      <c r="X152" s="284">
        <f>+X52/X132-1</f>
        <v>0.37218658258127646</v>
      </c>
      <c r="Z152" s="284">
        <f>+Z52/Z132-1</f>
        <v>0.64405322099079165</v>
      </c>
    </row>
  </sheetData>
  <mergeCells count="13">
    <mergeCell ref="T1:U1"/>
    <mergeCell ref="V1:W1"/>
    <mergeCell ref="X1:Y1"/>
    <mergeCell ref="Z1:AA1"/>
    <mergeCell ref="F1:G1"/>
    <mergeCell ref="H1:I1"/>
    <mergeCell ref="J1:K1"/>
    <mergeCell ref="L1:M1"/>
    <mergeCell ref="D1:E1"/>
    <mergeCell ref="B1:C1"/>
    <mergeCell ref="N1:O1"/>
    <mergeCell ref="P1:Q1"/>
    <mergeCell ref="R1:S1"/>
  </mergeCells>
  <conditionalFormatting sqref="AD4:AD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{8922A9D2-229C-46EF-921C-10F8DEDA2A50}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22A9D2-229C-46EF-921C-10F8DEDA2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AD4:AD50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CC27-7BD2-40AA-B9ED-5C2468424FC1}">
  <dimension ref="A1:AE35"/>
  <sheetViews>
    <sheetView zoomScale="90" zoomScaleNormal="90" workbookViewId="0">
      <selection activeCell="AE22" sqref="AE22"/>
    </sheetView>
  </sheetViews>
  <sheetFormatPr defaultRowHeight="14.25"/>
  <cols>
    <col min="1" max="1" width="19.5703125" customWidth="1"/>
    <col min="2" max="2" width="26" customWidth="1"/>
    <col min="5" max="5" width="26" customWidth="1"/>
    <col min="18" max="18" width="21" customWidth="1"/>
    <col min="19" max="21" width="9.28515625" bestFit="1" customWidth="1"/>
    <col min="22" max="22" width="9" bestFit="1" customWidth="1"/>
    <col min="23" max="23" width="9.85546875" bestFit="1" customWidth="1"/>
    <col min="24" max="25" width="9.28515625" bestFit="1" customWidth="1"/>
    <col min="26" max="26" width="9" bestFit="1" customWidth="1"/>
    <col min="27" max="27" width="9.28515625" bestFit="1" customWidth="1"/>
    <col min="28" max="28" width="10.28515625" bestFit="1" customWidth="1"/>
    <col min="29" max="30" width="9" bestFit="1" customWidth="1"/>
    <col min="31" max="31" width="13.5703125" customWidth="1"/>
  </cols>
  <sheetData>
    <row r="1" spans="1:2" ht="42.75">
      <c r="A1" s="347" t="s">
        <v>171</v>
      </c>
      <c r="B1" s="348" t="s">
        <v>172</v>
      </c>
    </row>
    <row r="2" spans="1:2">
      <c r="A2" s="356" t="s">
        <v>173</v>
      </c>
      <c r="B2" s="357">
        <f>+'celkem 2025'!AD4</f>
        <v>1254250.1299999999</v>
      </c>
    </row>
    <row r="3" spans="1:2">
      <c r="A3" s="356" t="s">
        <v>174</v>
      </c>
      <c r="B3" s="357">
        <f>+'celkem 2025'!AD5</f>
        <v>604141.04</v>
      </c>
    </row>
    <row r="4" spans="1:2">
      <c r="A4" s="356" t="s">
        <v>175</v>
      </c>
      <c r="B4" s="357">
        <f>+'celkem 2025'!AD6</f>
        <v>794394.27999999991</v>
      </c>
    </row>
    <row r="5" spans="1:2">
      <c r="A5" s="356" t="s">
        <v>176</v>
      </c>
      <c r="B5" s="357">
        <f>+'celkem 2025'!AD8</f>
        <v>-111972.24</v>
      </c>
    </row>
    <row r="6" spans="1:2">
      <c r="A6" s="356" t="s">
        <v>177</v>
      </c>
      <c r="B6" s="357">
        <v>832248.84000000008</v>
      </c>
    </row>
    <row r="7" spans="1:2">
      <c r="A7" s="356" t="s">
        <v>178</v>
      </c>
      <c r="B7" s="357">
        <f>+'celkem 2025'!AD10</f>
        <v>1612973.7600000002</v>
      </c>
    </row>
    <row r="8" spans="1:2">
      <c r="A8" s="356" t="s">
        <v>179</v>
      </c>
      <c r="B8" s="357">
        <f>+'celkem 2025'!AD11</f>
        <v>-149545.88</v>
      </c>
    </row>
    <row r="9" spans="1:2">
      <c r="A9" s="356" t="s">
        <v>180</v>
      </c>
      <c r="B9" s="357">
        <f>+'celkem 2025'!AD12+'celkem 2025'!AD29</f>
        <v>-140700</v>
      </c>
    </row>
    <row r="10" spans="1:2">
      <c r="A10" s="356" t="s">
        <v>181</v>
      </c>
      <c r="B10" s="357">
        <f>+'celkem 2025'!AD14</f>
        <v>620729.96</v>
      </c>
    </row>
    <row r="11" spans="1:2">
      <c r="A11" s="356" t="s">
        <v>182</v>
      </c>
      <c r="B11" s="357">
        <f>+'celkem 2025'!AD15</f>
        <v>425966.30000000005</v>
      </c>
    </row>
    <row r="12" spans="1:2">
      <c r="A12" s="356" t="s">
        <v>183</v>
      </c>
      <c r="B12" s="357">
        <f>+'celkem 2025'!AD20</f>
        <v>-36220</v>
      </c>
    </row>
    <row r="13" spans="1:2">
      <c r="A13" s="356" t="s">
        <v>184</v>
      </c>
      <c r="B13" s="357">
        <f>+'celkem 2025'!AD23</f>
        <v>462548.23999999987</v>
      </c>
    </row>
    <row r="14" spans="1:2">
      <c r="A14" s="356" t="s">
        <v>185</v>
      </c>
      <c r="B14" s="357">
        <f>+'celkem 2025'!AD24</f>
        <v>445767.81999999995</v>
      </c>
    </row>
    <row r="15" spans="1:2">
      <c r="A15" s="356" t="s">
        <v>186</v>
      </c>
      <c r="B15" s="357">
        <f>+'celkem 2025'!AD25</f>
        <v>419629.13999999984</v>
      </c>
    </row>
    <row r="16" spans="1:2">
      <c r="A16" s="356" t="s">
        <v>187</v>
      </c>
      <c r="B16" s="357">
        <f>+'celkem 2025'!AD26</f>
        <v>148937.68</v>
      </c>
    </row>
    <row r="17" spans="1:31">
      <c r="A17" s="356"/>
      <c r="B17" s="357"/>
    </row>
    <row r="18" spans="1:31">
      <c r="A18" s="356" t="s">
        <v>188</v>
      </c>
      <c r="B18" s="357">
        <f>+'celkem 2025'!AD32</f>
        <v>-17704.340000000084</v>
      </c>
    </row>
    <row r="19" spans="1:31">
      <c r="A19" s="356" t="s">
        <v>189</v>
      </c>
      <c r="B19" s="357">
        <f>+'celkem 2025'!AD41</f>
        <v>-199524.08000000002</v>
      </c>
    </row>
    <row r="20" spans="1:31">
      <c r="A20" s="356" t="s">
        <v>190</v>
      </c>
      <c r="B20" s="357">
        <f>+'celkem 2025'!AD44</f>
        <v>433204.62</v>
      </c>
    </row>
    <row r="21" spans="1:31">
      <c r="A21" s="356" t="s">
        <v>191</v>
      </c>
      <c r="B21" s="357">
        <f>+'celkem 2025'!AD50</f>
        <v>-20904</v>
      </c>
    </row>
    <row r="22" spans="1:31">
      <c r="A22" s="358" t="s">
        <v>192</v>
      </c>
      <c r="B22" s="359">
        <f>SUM(B2:B21)</f>
        <v>7378221.2700000005</v>
      </c>
    </row>
    <row r="24" spans="1:31">
      <c r="AE24" t="s">
        <v>193</v>
      </c>
    </row>
    <row r="26" spans="1:31">
      <c r="S26" s="418" t="s">
        <v>152</v>
      </c>
      <c r="T26" s="418" t="s">
        <v>153</v>
      </c>
      <c r="U26" s="418" t="s">
        <v>154</v>
      </c>
      <c r="V26" s="418" t="s">
        <v>155</v>
      </c>
      <c r="W26" s="418" t="s">
        <v>156</v>
      </c>
      <c r="X26" s="418" t="s">
        <v>157</v>
      </c>
      <c r="Y26" s="418" t="s">
        <v>158</v>
      </c>
      <c r="Z26" s="418" t="s">
        <v>159</v>
      </c>
      <c r="AA26" s="418" t="s">
        <v>160</v>
      </c>
      <c r="AB26" s="418" t="s">
        <v>161</v>
      </c>
      <c r="AC26" s="418" t="s">
        <v>162</v>
      </c>
      <c r="AD26" s="418" t="s">
        <v>163</v>
      </c>
      <c r="AE26" s="351" t="s">
        <v>151</v>
      </c>
    </row>
    <row r="27" spans="1:31">
      <c r="R27" s="349" t="s">
        <v>103</v>
      </c>
      <c r="S27" s="352">
        <f>+'celkem 2025'!E143</f>
        <v>162891.5</v>
      </c>
      <c r="T27" s="352">
        <f>+'celkem 2025'!G143</f>
        <v>129135.5</v>
      </c>
      <c r="U27" s="352">
        <f>+'celkem 2025'!I143</f>
        <v>143825.38</v>
      </c>
      <c r="V27" s="352">
        <f>+'celkem 2025'!K143</f>
        <v>66102.469999999972</v>
      </c>
      <c r="W27" s="352">
        <f>+'celkem 2025'!M143</f>
        <v>154116.44999999995</v>
      </c>
      <c r="X27" s="352">
        <f>+'celkem 2025'!O143</f>
        <v>185843.56000000017</v>
      </c>
      <c r="Y27" s="352">
        <f>+'celkem 2025'!Q143</f>
        <v>112027.55750000011</v>
      </c>
      <c r="Z27" s="352">
        <f>+'celkem 2025'!S143</f>
        <v>72013.159999999916</v>
      </c>
      <c r="AA27" s="352">
        <f>+'celkem 2025'!U143</f>
        <v>240034.95999999996</v>
      </c>
      <c r="AB27" s="352">
        <f>+'celkem 2025'!W143</f>
        <v>149249.85000000009</v>
      </c>
      <c r="AC27" s="352">
        <f>+'celkem 2025'!Y143</f>
        <v>2097.9899999999907</v>
      </c>
      <c r="AD27" s="352">
        <f>+'celkem 2025'!AA143</f>
        <v>229072.86000000004</v>
      </c>
      <c r="AE27" s="353">
        <f>SUM(S27:AD27)</f>
        <v>1646411.2375000003</v>
      </c>
    </row>
    <row r="28" spans="1:31">
      <c r="R28" s="349" t="s">
        <v>104</v>
      </c>
      <c r="S28" s="352">
        <f>+'celkem 2025'!E144</f>
        <v>-17954.5</v>
      </c>
      <c r="T28" s="352">
        <f>+'celkem 2025'!G144</f>
        <v>-39103</v>
      </c>
      <c r="U28" s="352">
        <f>+'celkem 2025'!I144</f>
        <v>-16074.220000000001</v>
      </c>
      <c r="V28" s="352">
        <f>+'celkem 2025'!K144</f>
        <v>-54507.415000000008</v>
      </c>
      <c r="W28" s="352">
        <f>+'celkem 2025'!M144</f>
        <v>-19535.984999999986</v>
      </c>
      <c r="X28" s="352">
        <f>+'celkem 2025'!O144</f>
        <v>7058.8400000000256</v>
      </c>
      <c r="Y28" s="352">
        <f>+'celkem 2025'!Q144</f>
        <v>-5529.2200000000012</v>
      </c>
      <c r="Z28" s="352">
        <f>+'celkem 2025'!S144</f>
        <v>-1925.0650000000023</v>
      </c>
      <c r="AA28" s="352">
        <f>+'celkem 2025'!U144</f>
        <v>-2581.7450000000536</v>
      </c>
      <c r="AB28" s="352">
        <f>+'celkem 2025'!W144</f>
        <v>-84901.635000000009</v>
      </c>
      <c r="AC28" s="352">
        <f>+'celkem 2025'!Y144</f>
        <v>98702.050000000047</v>
      </c>
      <c r="AD28" s="352">
        <f>+'celkem 2025'!AA144</f>
        <v>299048.76</v>
      </c>
      <c r="AE28" s="353">
        <f t="shared" ref="AE28:AE34" si="0">SUM(S28:AD28)</f>
        <v>162696.86500000002</v>
      </c>
    </row>
    <row r="29" spans="1:31">
      <c r="R29" s="349" t="s">
        <v>105</v>
      </c>
      <c r="S29" s="352">
        <f>+'celkem 2025'!E145</f>
        <v>-45104.75</v>
      </c>
      <c r="T29" s="352">
        <f>+'celkem 2025'!G145</f>
        <v>-48149.75</v>
      </c>
      <c r="U29" s="352">
        <f>+'celkem 2025'!I145</f>
        <v>-42246.305000000008</v>
      </c>
      <c r="V29" s="352">
        <f>+'celkem 2025'!K145</f>
        <v>-40453.130000000005</v>
      </c>
      <c r="W29" s="352">
        <f>+'celkem 2025'!M145</f>
        <v>-47636.220000000088</v>
      </c>
      <c r="X29" s="352">
        <f>+'celkem 2025'!O145</f>
        <v>4405.3400000000256</v>
      </c>
      <c r="Y29" s="352">
        <f>+'celkem 2025'!Q145</f>
        <v>-8939.9749999999767</v>
      </c>
      <c r="Z29" s="352">
        <f>+'celkem 2025'!S145</f>
        <v>14926.910000000033</v>
      </c>
      <c r="AA29" s="352">
        <f>+'celkem 2025'!U145</f>
        <v>19959.5</v>
      </c>
      <c r="AB29" s="352">
        <f>+'celkem 2025'!W145</f>
        <v>30851.239999999991</v>
      </c>
      <c r="AC29" s="352">
        <f>+'celkem 2025'!Y145</f>
        <v>165268.14999999991</v>
      </c>
      <c r="AD29" s="352">
        <f>+'celkem 2025'!AA145</f>
        <v>421538.57999999996</v>
      </c>
      <c r="AE29" s="353">
        <f t="shared" si="0"/>
        <v>424419.58999999985</v>
      </c>
    </row>
    <row r="30" spans="1:31">
      <c r="R30" s="349" t="s">
        <v>106</v>
      </c>
      <c r="S30" s="352">
        <f>+'celkem 2025'!E146</f>
        <v>0</v>
      </c>
      <c r="T30" s="352">
        <f>+'celkem 2025'!G146</f>
        <v>0</v>
      </c>
      <c r="U30" s="352">
        <f>+'celkem 2025'!I146</f>
        <v>-2718.625</v>
      </c>
      <c r="V30" s="352">
        <f>+'celkem 2025'!K146</f>
        <v>1307.7049999999981</v>
      </c>
      <c r="W30" s="352">
        <f>+'celkem 2025'!M146</f>
        <v>-14302.400000000009</v>
      </c>
      <c r="X30" s="352">
        <f>+'celkem 2025'!O146</f>
        <v>-10561.399999999994</v>
      </c>
      <c r="Y30" s="352">
        <f>+'celkem 2025'!Q146</f>
        <v>-23340.470000000016</v>
      </c>
      <c r="Z30" s="352">
        <f>+'celkem 2025'!S146</f>
        <v>-34162.099999999991</v>
      </c>
      <c r="AA30" s="352">
        <f>+'celkem 2025'!U146</f>
        <v>-22643.915000000008</v>
      </c>
      <c r="AB30" s="352">
        <f>+'celkem 2025'!W146</f>
        <v>-57439.549999999988</v>
      </c>
      <c r="AC30" s="352">
        <f>+'celkem 2025'!Y146</f>
        <v>0</v>
      </c>
      <c r="AD30" s="352">
        <f>+'celkem 2025'!AA146</f>
        <v>0</v>
      </c>
      <c r="AE30" s="353">
        <f t="shared" si="0"/>
        <v>-163860.755</v>
      </c>
    </row>
    <row r="31" spans="1:31">
      <c r="R31" s="349" t="s">
        <v>107</v>
      </c>
      <c r="S31" s="352">
        <f>+'celkem 2025'!E147</f>
        <v>-82614.75</v>
      </c>
      <c r="T31" s="352">
        <f>+'celkem 2025'!G147</f>
        <v>-64043.25</v>
      </c>
      <c r="U31" s="352">
        <f>+'celkem 2025'!I147</f>
        <v>-30931.964999999997</v>
      </c>
      <c r="V31" s="352">
        <f>+'celkem 2025'!K147</f>
        <v>-68533.095000000001</v>
      </c>
      <c r="W31" s="352">
        <f>+'celkem 2025'!M147</f>
        <v>0</v>
      </c>
      <c r="X31" s="352">
        <f>+'celkem 2025'!O147</f>
        <v>0</v>
      </c>
      <c r="Y31" s="352">
        <f>+'celkem 2025'!Q147</f>
        <v>0</v>
      </c>
      <c r="Z31" s="352">
        <f>+'celkem 2025'!S147</f>
        <v>0</v>
      </c>
      <c r="AA31" s="352">
        <f>+'celkem 2025'!U147</f>
        <v>0</v>
      </c>
      <c r="AB31" s="352">
        <f>+'celkem 2025'!W147</f>
        <v>0</v>
      </c>
      <c r="AC31" s="352">
        <f>+'celkem 2025'!Y147</f>
        <v>0</v>
      </c>
      <c r="AD31" s="352">
        <f>+'celkem 2025'!AA147</f>
        <v>0</v>
      </c>
      <c r="AE31" s="353">
        <f t="shared" si="0"/>
        <v>-246123.06</v>
      </c>
    </row>
    <row r="32" spans="1:31">
      <c r="R32" s="349" t="s">
        <v>108</v>
      </c>
      <c r="S32" s="352">
        <f>+'celkem 2025'!E148</f>
        <v>23031</v>
      </c>
      <c r="T32" s="352">
        <f>+'celkem 2025'!G148</f>
        <v>19609.5</v>
      </c>
      <c r="U32" s="352">
        <f>+'celkem 2025'!I148</f>
        <v>17612.114999999998</v>
      </c>
      <c r="V32" s="352">
        <f>+'celkem 2025'!K148</f>
        <v>8560.5900000000038</v>
      </c>
      <c r="W32" s="352">
        <f>+'celkem 2025'!M148</f>
        <v>47305.380000000005</v>
      </c>
      <c r="X32" s="352">
        <f>+'celkem 2025'!O148</f>
        <v>16582.165000000001</v>
      </c>
      <c r="Y32" s="352">
        <f>+'celkem 2025'!Q148</f>
        <v>21860.199999999997</v>
      </c>
      <c r="Z32" s="352">
        <f>+'celkem 2025'!S148</f>
        <v>16142.86</v>
      </c>
      <c r="AA32" s="352">
        <f>+'celkem 2025'!U148</f>
        <v>16748.5</v>
      </c>
      <c r="AB32" s="352">
        <f>+'celkem 2025'!W148</f>
        <v>29306.065000000002</v>
      </c>
      <c r="AC32" s="352">
        <f>+'celkem 2025'!Y148</f>
        <v>653.88000000000466</v>
      </c>
      <c r="AD32" s="352">
        <f>+'celkem 2025'!AA148</f>
        <v>9838.7100000000009</v>
      </c>
      <c r="AE32" s="353">
        <f t="shared" si="0"/>
        <v>227250.965</v>
      </c>
    </row>
    <row r="33" spans="18:31">
      <c r="R33" s="349" t="s">
        <v>109</v>
      </c>
      <c r="S33" s="352">
        <f>+'celkem 2025'!E149</f>
        <v>0</v>
      </c>
      <c r="T33" s="352">
        <f>+'celkem 2025'!G149</f>
        <v>0</v>
      </c>
      <c r="U33" s="352">
        <f>+'celkem 2025'!I149</f>
        <v>0</v>
      </c>
      <c r="V33" s="352">
        <f>+'celkem 2025'!K149</f>
        <v>0</v>
      </c>
      <c r="W33" s="352">
        <f>+'celkem 2025'!M149</f>
        <v>0</v>
      </c>
      <c r="X33" s="352">
        <f>+'celkem 2025'!O149</f>
        <v>0</v>
      </c>
      <c r="Y33" s="352">
        <f>+'celkem 2025'!Q149</f>
        <v>0</v>
      </c>
      <c r="Z33" s="352">
        <f>+'celkem 2025'!S149</f>
        <v>0</v>
      </c>
      <c r="AA33" s="352">
        <f>+'celkem 2025'!U149</f>
        <v>0</v>
      </c>
      <c r="AB33" s="352">
        <f>+'celkem 2025'!W149</f>
        <v>0</v>
      </c>
      <c r="AC33" s="352">
        <f>+'celkem 2025'!Y149</f>
        <v>0</v>
      </c>
      <c r="AD33" s="352">
        <f>+'celkem 2025'!AA149</f>
        <v>0</v>
      </c>
      <c r="AE33" s="353">
        <f t="shared" si="0"/>
        <v>0</v>
      </c>
    </row>
    <row r="34" spans="18:31">
      <c r="R34" s="349" t="s">
        <v>110</v>
      </c>
      <c r="S34" s="352">
        <f>+'celkem 2025'!E150</f>
        <v>0</v>
      </c>
      <c r="T34" s="352">
        <f>+'celkem 2025'!G150</f>
        <v>0</v>
      </c>
      <c r="U34" s="352">
        <f>+'celkem 2025'!I150</f>
        <v>0</v>
      </c>
      <c r="V34" s="352">
        <f>+'celkem 2025'!K150</f>
        <v>0</v>
      </c>
      <c r="W34" s="352">
        <f>+'celkem 2025'!M150</f>
        <v>0</v>
      </c>
      <c r="X34" s="352">
        <f>+'celkem 2025'!O150</f>
        <v>0</v>
      </c>
      <c r="Y34" s="352">
        <f>+'celkem 2025'!Q150</f>
        <v>0</v>
      </c>
      <c r="Z34" s="352">
        <f>+'celkem 2025'!S150</f>
        <v>0</v>
      </c>
      <c r="AA34" s="352">
        <f>+'celkem 2025'!U150</f>
        <v>0</v>
      </c>
      <c r="AB34" s="352">
        <f>+'celkem 2025'!W150</f>
        <v>0</v>
      </c>
      <c r="AC34" s="352">
        <f>+'celkem 2025'!Y150</f>
        <v>-20904</v>
      </c>
      <c r="AD34" s="352">
        <f>+'celkem 2025'!AA150</f>
        <v>0</v>
      </c>
      <c r="AE34" s="353">
        <f t="shared" si="0"/>
        <v>-20904</v>
      </c>
    </row>
    <row r="35" spans="18:31">
      <c r="R35" s="350" t="s">
        <v>194</v>
      </c>
      <c r="S35" s="354">
        <f t="shared" ref="S35:AB35" si="1">SUM(S27:S34)</f>
        <v>40248.5</v>
      </c>
      <c r="T35" s="354">
        <f t="shared" si="1"/>
        <v>-2551</v>
      </c>
      <c r="U35" s="354">
        <f t="shared" si="1"/>
        <v>69466.38</v>
      </c>
      <c r="V35" s="354">
        <f t="shared" si="1"/>
        <v>-87522.875000000029</v>
      </c>
      <c r="W35" s="354">
        <f t="shared" si="1"/>
        <v>119947.22499999987</v>
      </c>
      <c r="X35" s="354">
        <f t="shared" si="1"/>
        <v>203328.50500000024</v>
      </c>
      <c r="Y35" s="354">
        <f t="shared" si="1"/>
        <v>96078.092500000115</v>
      </c>
      <c r="Z35" s="354">
        <f t="shared" si="1"/>
        <v>66995.764999999956</v>
      </c>
      <c r="AA35" s="354">
        <f t="shared" si="1"/>
        <v>251517.2999999999</v>
      </c>
      <c r="AB35" s="354">
        <f t="shared" si="1"/>
        <v>67065.970000000088</v>
      </c>
      <c r="AC35" s="354">
        <f t="shared" ref="AC35:AD35" si="2">SUM(AC27:AC34)</f>
        <v>245818.06999999995</v>
      </c>
      <c r="AD35" s="354">
        <f t="shared" si="2"/>
        <v>959498.91</v>
      </c>
      <c r="AE35" s="355">
        <f>SUM(AE27:AE34)</f>
        <v>2029890.8425</v>
      </c>
    </row>
  </sheetData>
  <conditionalFormatting sqref="A2:A22">
    <cfRule type="expression" dxfId="7" priority="3">
      <formula>$B2&lt;0</formula>
    </cfRule>
  </conditionalFormatting>
  <conditionalFormatting sqref="B2:B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{FCCAAF75-6955-4085-B379-31714433CA09}</x14:id>
        </ext>
      </extLst>
    </cfRule>
    <cfRule type="cellIs" dxfId="6" priority="2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CAAF75-6955-4085-B379-31714433CA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B2:B21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BFBF-9F5C-432D-A4F2-8149DE0ECE02}">
  <sheetPr>
    <pageSetUpPr fitToPage="1"/>
  </sheetPr>
  <dimension ref="A1:AB187"/>
  <sheetViews>
    <sheetView zoomScale="85" zoomScaleNormal="85" workbookViewId="0">
      <pane xSplit="2" ySplit="2" topLeftCell="D61" activePane="bottomRight" state="frozen"/>
      <selection pane="bottomRight" activeCell="D125" sqref="D125"/>
      <selection pane="bottomLeft" activeCell="A3" sqref="A3"/>
      <selection pane="topRight" activeCell="C1" sqref="C1"/>
    </sheetView>
  </sheetViews>
  <sheetFormatPr defaultRowHeight="14.25" outlineLevelRow="2"/>
  <cols>
    <col min="1" max="1" width="18.42578125" customWidth="1"/>
    <col min="2" max="2" width="19.42578125" customWidth="1"/>
    <col min="3" max="3" width="10" style="387" customWidth="1"/>
    <col min="4" max="6" width="14.85546875" style="130" customWidth="1"/>
    <col min="7" max="7" width="8.7109375" style="16" customWidth="1"/>
    <col min="8" max="8" width="8.7109375" style="17" customWidth="1"/>
    <col min="9" max="9" width="3.7109375" style="34" customWidth="1"/>
    <col min="10" max="10" width="13.28515625" style="6" customWidth="1"/>
    <col min="11" max="11" width="10" style="26" customWidth="1"/>
    <col min="12" max="12" width="10" style="27" customWidth="1"/>
    <col min="13" max="13" width="13.28515625" style="6" customWidth="1"/>
    <col min="14" max="14" width="10" style="30" customWidth="1"/>
    <col min="15" max="15" width="10" style="31" customWidth="1"/>
    <col min="16" max="16" width="13.28515625" style="6" customWidth="1"/>
    <col min="17" max="17" width="10" style="30" customWidth="1"/>
    <col min="18" max="18" width="10" style="32" customWidth="1"/>
    <col min="19" max="19" width="14.7109375" style="6" customWidth="1"/>
    <col min="20" max="20" width="10" style="30" customWidth="1"/>
    <col min="21" max="21" width="10" style="32" customWidth="1"/>
    <col min="22" max="22" width="13.28515625" style="6" customWidth="1"/>
    <col min="23" max="23" width="10" style="30" customWidth="1"/>
    <col min="24" max="24" width="10" style="32" customWidth="1"/>
    <col min="25" max="25" width="16.5703125" customWidth="1"/>
    <col min="26" max="26" width="17.140625" customWidth="1"/>
  </cols>
  <sheetData>
    <row r="1" spans="1:25" s="66" customFormat="1" ht="21" customHeight="1">
      <c r="A1" s="144" t="s">
        <v>0</v>
      </c>
      <c r="B1" s="144"/>
      <c r="C1" s="364"/>
      <c r="D1" s="149"/>
      <c r="E1" s="149"/>
      <c r="F1" s="149"/>
      <c r="G1" s="63"/>
      <c r="H1" s="64"/>
      <c r="I1" s="65"/>
      <c r="J1" s="419" t="s">
        <v>1</v>
      </c>
      <c r="K1" s="420"/>
      <c r="L1" s="421"/>
      <c r="M1" s="419" t="s">
        <v>2</v>
      </c>
      <c r="N1" s="420"/>
      <c r="O1" s="421"/>
      <c r="P1" s="419" t="s">
        <v>3</v>
      </c>
      <c r="Q1" s="420"/>
      <c r="R1" s="421"/>
      <c r="S1" s="419" t="s">
        <v>4</v>
      </c>
      <c r="T1" s="420"/>
      <c r="U1" s="421"/>
      <c r="V1" s="419" t="s">
        <v>5</v>
      </c>
      <c r="W1" s="420"/>
      <c r="X1" s="421"/>
    </row>
    <row r="2" spans="1:25" s="23" customFormat="1" ht="23.25">
      <c r="A2" s="145" t="s">
        <v>195</v>
      </c>
      <c r="B2" s="145" t="s">
        <v>196</v>
      </c>
      <c r="C2" s="365" t="s">
        <v>197</v>
      </c>
      <c r="D2" s="146" t="s">
        <v>7</v>
      </c>
      <c r="E2" s="146" t="s">
        <v>8</v>
      </c>
      <c r="F2" s="146" t="s">
        <v>9</v>
      </c>
      <c r="G2" s="147" t="s">
        <v>10</v>
      </c>
      <c r="H2" s="148" t="s">
        <v>11</v>
      </c>
      <c r="I2" s="35"/>
      <c r="J2" s="12" t="s">
        <v>12</v>
      </c>
      <c r="K2" s="14" t="s">
        <v>10</v>
      </c>
      <c r="L2" s="11" t="s">
        <v>11</v>
      </c>
      <c r="M2" s="12" t="s">
        <v>12</v>
      </c>
      <c r="N2" s="14" t="s">
        <v>10</v>
      </c>
      <c r="O2" s="11" t="s">
        <v>11</v>
      </c>
      <c r="P2" s="12" t="s">
        <v>12</v>
      </c>
      <c r="Q2" s="14" t="s">
        <v>10</v>
      </c>
      <c r="R2" s="13" t="s">
        <v>11</v>
      </c>
      <c r="S2" s="12" t="s">
        <v>12</v>
      </c>
      <c r="T2" s="14" t="s">
        <v>10</v>
      </c>
      <c r="U2" s="13" t="s">
        <v>11</v>
      </c>
      <c r="V2" s="12" t="s">
        <v>12</v>
      </c>
      <c r="W2" s="14" t="s">
        <v>10</v>
      </c>
      <c r="X2" s="13" t="s">
        <v>11</v>
      </c>
    </row>
    <row r="3" spans="1:25" s="23" customFormat="1">
      <c r="A3" s="44" t="s">
        <v>13</v>
      </c>
      <c r="B3" s="44"/>
      <c r="C3" s="366"/>
      <c r="D3" s="91">
        <f>SUM(D4:D14)</f>
        <v>1295000</v>
      </c>
      <c r="E3" s="91">
        <f>SUM(E4:E14)</f>
        <v>976560.00000000012</v>
      </c>
      <c r="F3" s="91">
        <f>SUM(F4:F14)</f>
        <v>-318439.99999999994</v>
      </c>
      <c r="G3" s="46">
        <f>SUM(G4:G14)</f>
        <v>858</v>
      </c>
      <c r="H3" s="46">
        <f>SUM(H4:H14)</f>
        <v>53.052083333333336</v>
      </c>
      <c r="I3" s="36"/>
      <c r="J3" s="45">
        <f t="shared" ref="J3:X3" si="0">SUM(J4:J14)</f>
        <v>14808.2</v>
      </c>
      <c r="K3" s="46">
        <f t="shared" si="0"/>
        <v>15</v>
      </c>
      <c r="L3" s="46">
        <f t="shared" si="0"/>
        <v>0.89583333333333337</v>
      </c>
      <c r="M3" s="45">
        <f t="shared" si="0"/>
        <v>248260.1</v>
      </c>
      <c r="N3" s="46">
        <f t="shared" si="0"/>
        <v>216</v>
      </c>
      <c r="O3" s="46">
        <f t="shared" si="0"/>
        <v>13.409722222222221</v>
      </c>
      <c r="P3" s="45">
        <f t="shared" si="0"/>
        <v>226578</v>
      </c>
      <c r="Q3" s="46">
        <f t="shared" si="0"/>
        <v>193</v>
      </c>
      <c r="R3" s="46">
        <f t="shared" si="0"/>
        <v>12.142361111111111</v>
      </c>
      <c r="S3" s="45">
        <f t="shared" si="0"/>
        <v>231973.3</v>
      </c>
      <c r="T3" s="46">
        <f t="shared" si="0"/>
        <v>201</v>
      </c>
      <c r="U3" s="46">
        <f t="shared" si="0"/>
        <v>12.729166666666668</v>
      </c>
      <c r="V3" s="45">
        <f t="shared" si="0"/>
        <v>254940.40000000002</v>
      </c>
      <c r="W3" s="46">
        <f t="shared" si="0"/>
        <v>233</v>
      </c>
      <c r="X3" s="46">
        <f t="shared" si="0"/>
        <v>13.874999999999998</v>
      </c>
    </row>
    <row r="4" spans="1:25" outlineLevel="2">
      <c r="A4" s="132" t="s">
        <v>198</v>
      </c>
      <c r="B4" s="132" t="s">
        <v>199</v>
      </c>
      <c r="C4" s="389">
        <v>1</v>
      </c>
      <c r="D4" s="92">
        <v>200000</v>
      </c>
      <c r="E4" s="92">
        <f>+J4+M4+P4+S4+V4</f>
        <v>182914.6</v>
      </c>
      <c r="F4" s="93">
        <f t="shared" ref="F4:F14" si="1">+E4-D4</f>
        <v>-17085.399999999994</v>
      </c>
      <c r="G4" s="18">
        <f>+K4+N4+Q4+T4+W4</f>
        <v>179</v>
      </c>
      <c r="H4" s="18">
        <f>+L4+O4+R4+U4+X4</f>
        <v>11.083333333333334</v>
      </c>
      <c r="I4" s="37"/>
      <c r="J4" s="181">
        <v>14808.2</v>
      </c>
      <c r="K4" s="182">
        <v>15</v>
      </c>
      <c r="L4" s="183">
        <v>0.89583333333333337</v>
      </c>
      <c r="M4" s="184">
        <v>49168.9</v>
      </c>
      <c r="N4" s="185">
        <v>49</v>
      </c>
      <c r="O4" s="186">
        <v>2.9444444444444446</v>
      </c>
      <c r="P4" s="184">
        <v>22209</v>
      </c>
      <c r="Q4" s="185">
        <v>27</v>
      </c>
      <c r="R4" s="186">
        <v>1.2986111111111112</v>
      </c>
      <c r="S4" s="187">
        <v>50466.9</v>
      </c>
      <c r="T4" s="185">
        <v>47</v>
      </c>
      <c r="U4" s="186">
        <v>3.0833333333333335</v>
      </c>
      <c r="V4" s="187">
        <v>46261.599999999999</v>
      </c>
      <c r="W4" s="185">
        <v>41</v>
      </c>
      <c r="X4" s="186">
        <v>2.8611111111111112</v>
      </c>
      <c r="Y4" s="295">
        <f>J4+M4+P4+S4+V4</f>
        <v>182914.6</v>
      </c>
    </row>
    <row r="5" spans="1:25" outlineLevel="2">
      <c r="A5" s="132" t="s">
        <v>200</v>
      </c>
      <c r="B5" s="133" t="s">
        <v>201</v>
      </c>
      <c r="C5" s="390">
        <v>1</v>
      </c>
      <c r="D5" s="92">
        <v>200000</v>
      </c>
      <c r="E5" s="92">
        <f t="shared" ref="E5:E14" si="2">+J5+M5+P5+S5+V5</f>
        <v>173267.6</v>
      </c>
      <c r="F5" s="93">
        <f t="shared" si="1"/>
        <v>-26732.399999999994</v>
      </c>
      <c r="G5" s="18">
        <f t="shared" ref="G5:H14" si="3">+K5+N5+Q5+T5+W5</f>
        <v>134</v>
      </c>
      <c r="H5" s="18">
        <f t="shared" si="3"/>
        <v>10.513888888888889</v>
      </c>
      <c r="I5" s="37"/>
      <c r="J5" s="181"/>
      <c r="K5" s="182"/>
      <c r="L5" s="183"/>
      <c r="M5" s="184">
        <v>46477.2</v>
      </c>
      <c r="N5" s="185">
        <v>36</v>
      </c>
      <c r="O5" s="186">
        <v>2.75</v>
      </c>
      <c r="P5" s="184">
        <v>39479</v>
      </c>
      <c r="Q5" s="185">
        <v>27</v>
      </c>
      <c r="R5" s="186">
        <v>2.3958333333333335</v>
      </c>
      <c r="S5" s="187">
        <v>37903.800000000003</v>
      </c>
      <c r="T5" s="185">
        <v>29</v>
      </c>
      <c r="U5" s="186">
        <v>2.375</v>
      </c>
      <c r="V5" s="187">
        <v>49407.6</v>
      </c>
      <c r="W5" s="185">
        <v>42</v>
      </c>
      <c r="X5" s="186">
        <v>2.9930555555555554</v>
      </c>
      <c r="Y5" s="300">
        <f>M5+P5+S5+V5</f>
        <v>173267.6</v>
      </c>
    </row>
    <row r="6" spans="1:25" s="78" customFormat="1" outlineLevel="2">
      <c r="A6" s="132" t="s">
        <v>202</v>
      </c>
      <c r="B6" s="132" t="s">
        <v>203</v>
      </c>
      <c r="C6" s="389">
        <v>1</v>
      </c>
      <c r="D6" s="92">
        <v>200000</v>
      </c>
      <c r="E6" s="92">
        <f t="shared" ref="E6" si="4">+J6+M6+P6+S6+V6</f>
        <v>147624.20000000001</v>
      </c>
      <c r="F6" s="360">
        <f t="shared" ref="F6" si="5">+E6-D6</f>
        <v>-52375.799999999988</v>
      </c>
      <c r="G6" s="361">
        <f t="shared" ref="G6" si="6">+K6+N6+Q6+T6+W6</f>
        <v>132</v>
      </c>
      <c r="H6" s="361">
        <f t="shared" ref="H6" si="7">+L6+O6+R6+U6+X6</f>
        <v>9.2152777777777786</v>
      </c>
      <c r="I6" s="397"/>
      <c r="J6" s="195"/>
      <c r="K6" s="182"/>
      <c r="L6" s="183"/>
      <c r="M6" s="305">
        <v>34694</v>
      </c>
      <c r="N6" s="306">
        <v>27</v>
      </c>
      <c r="O6" s="307">
        <v>2.1597222222222223</v>
      </c>
      <c r="P6" s="305">
        <v>38546.199999999997</v>
      </c>
      <c r="Q6" s="306">
        <v>33</v>
      </c>
      <c r="R6" s="307">
        <v>2.3819444444444446</v>
      </c>
      <c r="S6" s="309">
        <v>36684.800000000003</v>
      </c>
      <c r="T6" s="306">
        <v>31</v>
      </c>
      <c r="U6" s="307">
        <v>2.3680555555555554</v>
      </c>
      <c r="V6" s="309">
        <v>37699.199999999997</v>
      </c>
      <c r="W6" s="192">
        <v>41</v>
      </c>
      <c r="X6" s="193">
        <v>2.3055555555555554</v>
      </c>
      <c r="Y6" s="410">
        <f>M6+P6+S6+V6</f>
        <v>147624.20000000001</v>
      </c>
    </row>
    <row r="7" spans="1:25" s="226" customFormat="1" outlineLevel="2">
      <c r="A7" s="165" t="s">
        <v>204</v>
      </c>
      <c r="B7" s="165" t="s">
        <v>205</v>
      </c>
      <c r="C7" s="394">
        <v>1</v>
      </c>
      <c r="D7" s="215">
        <v>200000</v>
      </c>
      <c r="E7" s="215">
        <f t="shared" si="2"/>
        <v>191293.30000000002</v>
      </c>
      <c r="F7" s="216">
        <f t="shared" si="1"/>
        <v>-8706.6999999999825</v>
      </c>
      <c r="G7" s="217">
        <f t="shared" si="3"/>
        <v>157</v>
      </c>
      <c r="H7" s="217">
        <f t="shared" si="3"/>
        <v>11.309027777777779</v>
      </c>
      <c r="I7" s="218"/>
      <c r="J7" s="219"/>
      <c r="K7" s="220"/>
      <c r="L7" s="221"/>
      <c r="M7" s="222">
        <v>45379.4</v>
      </c>
      <c r="N7" s="223">
        <v>41</v>
      </c>
      <c r="O7" s="224">
        <v>2.6805555555555554</v>
      </c>
      <c r="P7" s="222">
        <v>59537.5</v>
      </c>
      <c r="Q7" s="223">
        <v>44</v>
      </c>
      <c r="R7" s="224">
        <v>3.4895833333333335</v>
      </c>
      <c r="S7" s="225">
        <v>42501.8</v>
      </c>
      <c r="T7" s="223">
        <v>36</v>
      </c>
      <c r="U7" s="224">
        <v>2.4861111111111112</v>
      </c>
      <c r="V7" s="225">
        <v>43874.6</v>
      </c>
      <c r="W7" s="223">
        <v>36</v>
      </c>
      <c r="X7" s="224">
        <v>2.6527777777777777</v>
      </c>
      <c r="Y7" s="310">
        <f>M7+P7+S7+V7</f>
        <v>191293.30000000002</v>
      </c>
    </row>
    <row r="8" spans="1:25" s="226" customFormat="1" outlineLevel="2">
      <c r="A8" s="165" t="s">
        <v>202</v>
      </c>
      <c r="B8" s="165" t="s">
        <v>206</v>
      </c>
      <c r="C8" s="394">
        <v>1</v>
      </c>
      <c r="D8" s="215">
        <v>200000</v>
      </c>
      <c r="E8" s="215">
        <f t="shared" ref="E8" si="8">+J8+M8+P8+S8+V8</f>
        <v>0</v>
      </c>
      <c r="F8" s="216">
        <f t="shared" ref="F8" si="9">+E8-D8</f>
        <v>-200000</v>
      </c>
      <c r="G8" s="217">
        <f t="shared" ref="G8" si="10">+K8+N8+Q8+T8+W8</f>
        <v>0</v>
      </c>
      <c r="H8" s="217">
        <f t="shared" ref="H8" si="11">+L8+O8+R8+U8+X8</f>
        <v>0</v>
      </c>
      <c r="I8" s="218"/>
      <c r="J8" s="219"/>
      <c r="K8" s="220"/>
      <c r="L8" s="221"/>
      <c r="M8" s="222"/>
      <c r="N8" s="223"/>
      <c r="O8" s="224"/>
      <c r="P8" s="222"/>
      <c r="Q8" s="223"/>
      <c r="R8" s="224"/>
      <c r="S8" s="225"/>
      <c r="T8" s="223"/>
      <c r="U8" s="224"/>
      <c r="V8" s="225"/>
      <c r="W8" s="223"/>
      <c r="X8" s="224"/>
      <c r="Y8" s="310"/>
    </row>
    <row r="9" spans="1:25" outlineLevel="2">
      <c r="A9" s="132" t="s">
        <v>126</v>
      </c>
      <c r="B9" s="132" t="s">
        <v>207</v>
      </c>
      <c r="C9" s="389">
        <v>0.2</v>
      </c>
      <c r="D9" s="92">
        <v>30000</v>
      </c>
      <c r="E9" s="92">
        <f t="shared" si="2"/>
        <v>14916</v>
      </c>
      <c r="F9" s="216">
        <f t="shared" si="1"/>
        <v>-15084</v>
      </c>
      <c r="G9" s="18">
        <f t="shared" si="3"/>
        <v>36</v>
      </c>
      <c r="H9" s="18">
        <f t="shared" si="3"/>
        <v>0.66666666666666663</v>
      </c>
      <c r="I9" s="37"/>
      <c r="J9" s="195"/>
      <c r="K9" s="182"/>
      <c r="L9" s="183"/>
      <c r="M9" s="184">
        <v>8338</v>
      </c>
      <c r="N9" s="185">
        <v>10</v>
      </c>
      <c r="O9" s="186">
        <v>0.41666666666666669</v>
      </c>
      <c r="P9" s="184">
        <v>2046</v>
      </c>
      <c r="Q9" s="185">
        <v>10</v>
      </c>
      <c r="R9" s="186">
        <v>6.9444444444444448E-2</v>
      </c>
      <c r="S9" s="187">
        <v>1856.8</v>
      </c>
      <c r="T9" s="185">
        <v>6</v>
      </c>
      <c r="U9" s="186">
        <v>7.6388888888888895E-2</v>
      </c>
      <c r="V9" s="187">
        <v>2675.2</v>
      </c>
      <c r="W9" s="185">
        <v>10</v>
      </c>
      <c r="X9" s="186">
        <v>0.10416666666666667</v>
      </c>
      <c r="Y9" s="300">
        <f>M9+P9+S9+V9</f>
        <v>14916</v>
      </c>
    </row>
    <row r="10" spans="1:25" outlineLevel="2">
      <c r="A10" s="132" t="s">
        <v>208</v>
      </c>
      <c r="B10" s="132" t="s">
        <v>209</v>
      </c>
      <c r="C10" s="389">
        <v>0.5</v>
      </c>
      <c r="D10" s="92">
        <f>450000*0.5</f>
        <v>225000</v>
      </c>
      <c r="E10" s="92">
        <f t="shared" si="2"/>
        <v>215160.00000000003</v>
      </c>
      <c r="F10" s="93">
        <f t="shared" si="1"/>
        <v>-9839.9999999999709</v>
      </c>
      <c r="G10" s="18">
        <f t="shared" si="3"/>
        <v>165</v>
      </c>
      <c r="H10" s="18">
        <f t="shared" si="3"/>
        <v>8.5208333333333339</v>
      </c>
      <c r="I10" s="37"/>
      <c r="J10" s="195"/>
      <c r="K10" s="182"/>
      <c r="L10" s="183"/>
      <c r="M10" s="184">
        <v>51517.4</v>
      </c>
      <c r="N10" s="185">
        <v>38</v>
      </c>
      <c r="O10" s="186">
        <v>2.0347222222222223</v>
      </c>
      <c r="P10" s="184">
        <v>51037.8</v>
      </c>
      <c r="Q10" s="185">
        <v>37</v>
      </c>
      <c r="R10" s="186">
        <v>2.0347222222222223</v>
      </c>
      <c r="S10" s="187">
        <v>51306.2</v>
      </c>
      <c r="T10" s="185">
        <v>44</v>
      </c>
      <c r="U10" s="186">
        <v>1.9652777777777777</v>
      </c>
      <c r="V10" s="187">
        <v>61298.6</v>
      </c>
      <c r="W10" s="185">
        <v>46</v>
      </c>
      <c r="X10" s="186">
        <v>2.4861111111111112</v>
      </c>
      <c r="Y10" s="300">
        <f>M10+P10+S10+V10</f>
        <v>215160.00000000003</v>
      </c>
    </row>
    <row r="11" spans="1:25" s="78" customFormat="1" outlineLevel="2">
      <c r="A11" s="134" t="s">
        <v>210</v>
      </c>
      <c r="B11" s="134"/>
      <c r="C11" s="391"/>
      <c r="D11" s="94">
        <v>0</v>
      </c>
      <c r="E11" s="94">
        <f t="shared" si="2"/>
        <v>0</v>
      </c>
      <c r="F11" s="95">
        <f t="shared" si="1"/>
        <v>0</v>
      </c>
      <c r="G11" s="69">
        <f t="shared" si="3"/>
        <v>0</v>
      </c>
      <c r="H11" s="69">
        <f t="shared" si="3"/>
        <v>0</v>
      </c>
      <c r="I11" s="70"/>
      <c r="J11" s="188"/>
      <c r="K11" s="189"/>
      <c r="L11" s="190"/>
      <c r="M11" s="191"/>
      <c r="N11" s="192"/>
      <c r="O11" s="193"/>
      <c r="P11" s="191"/>
      <c r="Q11" s="192"/>
      <c r="R11" s="193"/>
      <c r="S11" s="194"/>
      <c r="T11" s="192"/>
      <c r="U11" s="193"/>
      <c r="V11" s="194"/>
      <c r="W11" s="192"/>
      <c r="X11" s="193"/>
    </row>
    <row r="12" spans="1:25" s="78" customFormat="1" outlineLevel="2">
      <c r="A12" s="301" t="s">
        <v>211</v>
      </c>
      <c r="B12" s="301" t="s">
        <v>212</v>
      </c>
      <c r="C12" s="392">
        <v>0.5</v>
      </c>
      <c r="D12" s="302">
        <v>40000</v>
      </c>
      <c r="E12" s="92">
        <f t="shared" si="2"/>
        <v>51384.299999999996</v>
      </c>
      <c r="F12" s="216">
        <f t="shared" si="1"/>
        <v>11384.299999999996</v>
      </c>
      <c r="G12" s="217">
        <f t="shared" si="3"/>
        <v>55</v>
      </c>
      <c r="H12" s="217">
        <f t="shared" si="3"/>
        <v>1.7430555555555554</v>
      </c>
      <c r="I12" s="70"/>
      <c r="J12" s="195"/>
      <c r="K12" s="182"/>
      <c r="L12" s="183"/>
      <c r="M12" s="305">
        <v>12685.2</v>
      </c>
      <c r="N12" s="306">
        <v>15</v>
      </c>
      <c r="O12" s="307">
        <v>0.4236111111111111</v>
      </c>
      <c r="P12" s="305">
        <v>13722.5</v>
      </c>
      <c r="Q12" s="306">
        <v>15</v>
      </c>
      <c r="R12" s="307">
        <v>0.47222222222222221</v>
      </c>
      <c r="S12" s="309">
        <v>11253</v>
      </c>
      <c r="T12" s="306">
        <v>8</v>
      </c>
      <c r="U12" s="307">
        <v>0.375</v>
      </c>
      <c r="V12" s="309">
        <v>13723.6</v>
      </c>
      <c r="W12" s="192">
        <v>17</v>
      </c>
      <c r="X12" s="193">
        <v>0.47222222222222221</v>
      </c>
      <c r="Y12" s="410">
        <f>M12+P12+S12+V12</f>
        <v>51384.299999999996</v>
      </c>
    </row>
    <row r="13" spans="1:25" s="78" customFormat="1" outlineLevel="2">
      <c r="A13" s="308" t="s">
        <v>133</v>
      </c>
      <c r="B13" s="308"/>
      <c r="C13" s="393"/>
      <c r="D13" s="94">
        <v>0</v>
      </c>
      <c r="E13" s="94">
        <f t="shared" ref="E13" si="12">+J13+M13+P13+S13+V13</f>
        <v>0</v>
      </c>
      <c r="F13" s="95">
        <f t="shared" ref="F13" si="13">+E13-D13</f>
        <v>0</v>
      </c>
      <c r="G13" s="69">
        <f t="shared" ref="G13" si="14">+K13+N13+Q13+T13+W13</f>
        <v>0</v>
      </c>
      <c r="H13" s="69">
        <f t="shared" ref="H13" si="15">+L13+O13+R13+U13+X13</f>
        <v>0</v>
      </c>
      <c r="I13" s="70"/>
      <c r="J13" s="188"/>
      <c r="K13" s="189"/>
      <c r="L13" s="190"/>
      <c r="M13" s="191"/>
      <c r="N13" s="192"/>
      <c r="O13" s="193"/>
      <c r="P13" s="191"/>
      <c r="Q13" s="192"/>
      <c r="R13" s="193"/>
      <c r="S13" s="194"/>
      <c r="T13" s="192"/>
      <c r="U13" s="193"/>
      <c r="V13" s="194"/>
      <c r="W13" s="192"/>
      <c r="X13" s="193"/>
    </row>
    <row r="14" spans="1:25" s="78" customFormat="1" outlineLevel="2">
      <c r="A14" s="308" t="s">
        <v>213</v>
      </c>
      <c r="B14" s="308"/>
      <c r="C14" s="393"/>
      <c r="D14" s="94">
        <v>0</v>
      </c>
      <c r="E14" s="94">
        <f t="shared" si="2"/>
        <v>0</v>
      </c>
      <c r="F14" s="95">
        <f t="shared" si="1"/>
        <v>0</v>
      </c>
      <c r="G14" s="69">
        <f t="shared" si="3"/>
        <v>0</v>
      </c>
      <c r="H14" s="69">
        <f t="shared" si="3"/>
        <v>0</v>
      </c>
      <c r="I14" s="70"/>
      <c r="J14" s="188"/>
      <c r="K14" s="189"/>
      <c r="L14" s="190"/>
      <c r="M14" s="191"/>
      <c r="N14" s="192"/>
      <c r="O14" s="193"/>
      <c r="P14" s="191"/>
      <c r="Q14" s="192"/>
      <c r="R14" s="193"/>
      <c r="S14" s="194"/>
      <c r="T14" s="192"/>
      <c r="U14" s="193"/>
      <c r="V14" s="194"/>
      <c r="W14" s="192"/>
      <c r="X14" s="193"/>
    </row>
    <row r="15" spans="1:25">
      <c r="A15" s="58" t="s">
        <v>22</v>
      </c>
      <c r="B15" s="58"/>
      <c r="C15" s="368"/>
      <c r="D15" s="96">
        <f>SUM(D16:D26)</f>
        <v>1085000</v>
      </c>
      <c r="E15" s="96">
        <f t="shared" ref="E15:F15" si="16">SUM(E16:E26)</f>
        <v>1014624.7399999999</v>
      </c>
      <c r="F15" s="96">
        <f t="shared" si="16"/>
        <v>-70375.260000000068</v>
      </c>
      <c r="G15" s="54">
        <f>SUM(G16:G26)</f>
        <v>762</v>
      </c>
      <c r="H15" s="54">
        <f>SUM(H16:H26)</f>
        <v>54.263888888888893</v>
      </c>
      <c r="I15" s="37"/>
      <c r="J15" s="53">
        <f t="shared" ref="J15" si="17">SUM(J16:J26)</f>
        <v>33879.660000000003</v>
      </c>
      <c r="K15" s="54">
        <f>SUM(K16:K26)</f>
        <v>25</v>
      </c>
      <c r="L15" s="54">
        <f>SUM(L16:L26)</f>
        <v>1.9375</v>
      </c>
      <c r="M15" s="53">
        <f t="shared" ref="M15" si="18">SUM(M16:M26)</f>
        <v>268258.61</v>
      </c>
      <c r="N15" s="54">
        <f>SUM(N16:N26)</f>
        <v>185</v>
      </c>
      <c r="O15" s="54">
        <f>SUM(O16:O26)</f>
        <v>13.972222222222223</v>
      </c>
      <c r="P15" s="53">
        <f t="shared" ref="P15" si="19">SUM(P16:P26)</f>
        <v>256358.57999999996</v>
      </c>
      <c r="Q15" s="54">
        <f>SUM(Q16:Q26)</f>
        <v>194</v>
      </c>
      <c r="R15" s="54">
        <f>SUM(R16:R26)</f>
        <v>13.729166666666668</v>
      </c>
      <c r="S15" s="53">
        <f t="shared" ref="S15" si="20">SUM(S16:S26)</f>
        <v>272294.96999999997</v>
      </c>
      <c r="T15" s="54">
        <f>SUM(T16:T26)</f>
        <v>207</v>
      </c>
      <c r="U15" s="54">
        <f>SUM(U16:U26)</f>
        <v>14.361111111111111</v>
      </c>
      <c r="V15" s="53">
        <f t="shared" ref="V15" si="21">SUM(V16:V26)</f>
        <v>183832.91999999998</v>
      </c>
      <c r="W15" s="54">
        <f>SUM(W16:W26)</f>
        <v>151</v>
      </c>
      <c r="X15" s="54">
        <f>SUM(X16:X26)</f>
        <v>10.263888888888889</v>
      </c>
    </row>
    <row r="16" spans="1:25" outlineLevel="2">
      <c r="A16" s="132" t="s">
        <v>198</v>
      </c>
      <c r="B16" s="133" t="s">
        <v>181</v>
      </c>
      <c r="C16" s="390">
        <v>1</v>
      </c>
      <c r="D16" s="97">
        <v>200000</v>
      </c>
      <c r="E16" s="215">
        <f t="shared" ref="E16:E62" si="22">+J16+M16+P16+S16+V16</f>
        <v>206300.70999999996</v>
      </c>
      <c r="F16" s="93">
        <f t="shared" ref="F16:F26" si="23">+E16-D16</f>
        <v>6300.7099999999627</v>
      </c>
      <c r="G16" s="18">
        <f t="shared" ref="G16:H26" si="24">+K16+N16+Q16+T16+W16</f>
        <v>170</v>
      </c>
      <c r="H16" s="18">
        <f t="shared" si="24"/>
        <v>11.847222222222223</v>
      </c>
      <c r="I16" s="37"/>
      <c r="J16" s="181">
        <v>17196.34</v>
      </c>
      <c r="K16" s="182">
        <v>15</v>
      </c>
      <c r="L16" s="183">
        <v>0.91666666666666663</v>
      </c>
      <c r="M16" s="184">
        <v>48856.68</v>
      </c>
      <c r="N16" s="185">
        <v>33</v>
      </c>
      <c r="O16" s="186">
        <v>2.9097222222222223</v>
      </c>
      <c r="P16" s="184">
        <v>66647.399999999994</v>
      </c>
      <c r="Q16" s="185">
        <v>58</v>
      </c>
      <c r="R16" s="186">
        <v>3.75</v>
      </c>
      <c r="S16" s="187">
        <v>30542.77</v>
      </c>
      <c r="T16" s="185">
        <v>27</v>
      </c>
      <c r="U16" s="186">
        <v>1.8333333333333333</v>
      </c>
      <c r="V16" s="187">
        <v>43057.52</v>
      </c>
      <c r="W16" s="185">
        <v>37</v>
      </c>
      <c r="X16" s="186">
        <v>2.4375</v>
      </c>
      <c r="Y16" s="295">
        <f>J16+M16+P16+S16+V16</f>
        <v>206300.70999999996</v>
      </c>
    </row>
    <row r="17" spans="1:28" s="226" customFormat="1" outlineLevel="2">
      <c r="A17" s="132" t="s">
        <v>200</v>
      </c>
      <c r="B17" s="165" t="s">
        <v>214</v>
      </c>
      <c r="C17" s="394">
        <v>1</v>
      </c>
      <c r="D17" s="97">
        <v>200000</v>
      </c>
      <c r="E17" s="215">
        <f t="shared" si="22"/>
        <v>257235.46</v>
      </c>
      <c r="F17" s="216">
        <f t="shared" si="23"/>
        <v>57235.459999999992</v>
      </c>
      <c r="G17" s="217">
        <f t="shared" si="24"/>
        <v>215</v>
      </c>
      <c r="H17" s="217">
        <f t="shared" si="24"/>
        <v>14.840277777777779</v>
      </c>
      <c r="I17" s="218"/>
      <c r="J17" s="219"/>
      <c r="K17" s="220"/>
      <c r="L17" s="221"/>
      <c r="M17" s="222">
        <v>49155</v>
      </c>
      <c r="N17" s="223">
        <v>43</v>
      </c>
      <c r="O17" s="224">
        <v>2.8263888888888888</v>
      </c>
      <c r="P17" s="222">
        <v>50628.52</v>
      </c>
      <c r="Q17" s="223">
        <v>42</v>
      </c>
      <c r="R17" s="224">
        <v>2.9513888888888888</v>
      </c>
      <c r="S17" s="225">
        <v>75549.539999999994</v>
      </c>
      <c r="T17" s="223">
        <v>60</v>
      </c>
      <c r="U17" s="224">
        <v>4.4027777777777777</v>
      </c>
      <c r="V17" s="225">
        <v>81902.399999999994</v>
      </c>
      <c r="W17" s="223">
        <v>70</v>
      </c>
      <c r="X17" s="224">
        <v>4.6597222222222223</v>
      </c>
      <c r="Y17" s="310">
        <f>M17+P17+S17+V17</f>
        <v>257235.46</v>
      </c>
    </row>
    <row r="18" spans="1:28" s="226" customFormat="1" outlineLevel="2">
      <c r="A18" s="132" t="s">
        <v>215</v>
      </c>
      <c r="B18" s="165" t="s">
        <v>216</v>
      </c>
      <c r="C18" s="394">
        <v>1</v>
      </c>
      <c r="D18" s="97">
        <v>200000</v>
      </c>
      <c r="E18" s="215">
        <f t="shared" si="22"/>
        <v>175597.47999999998</v>
      </c>
      <c r="F18" s="216">
        <f t="shared" si="23"/>
        <v>-24402.520000000019</v>
      </c>
      <c r="G18" s="217">
        <f t="shared" si="24"/>
        <v>117</v>
      </c>
      <c r="H18" s="217">
        <f t="shared" si="24"/>
        <v>10.569444444444443</v>
      </c>
      <c r="I18" s="218"/>
      <c r="J18" s="219">
        <v>8601.56</v>
      </c>
      <c r="K18" s="220">
        <v>5</v>
      </c>
      <c r="L18" s="221">
        <v>0.52083333333333337</v>
      </c>
      <c r="M18" s="222">
        <v>33579.08</v>
      </c>
      <c r="N18" s="223">
        <v>22</v>
      </c>
      <c r="O18" s="224">
        <v>2.0208333333333335</v>
      </c>
      <c r="P18" s="222">
        <v>41452.92</v>
      </c>
      <c r="Q18" s="223">
        <v>24</v>
      </c>
      <c r="R18" s="224">
        <v>2.4513888888888888</v>
      </c>
      <c r="S18" s="225">
        <v>54303.28</v>
      </c>
      <c r="T18" s="223">
        <v>36</v>
      </c>
      <c r="U18" s="224">
        <v>3.2916666666666665</v>
      </c>
      <c r="V18" s="225">
        <v>37660.639999999999</v>
      </c>
      <c r="W18" s="223">
        <v>30</v>
      </c>
      <c r="X18" s="224">
        <v>2.2847222222222223</v>
      </c>
      <c r="Y18" s="294">
        <f>J18+M18+P18+S18+V18</f>
        <v>175597.47999999998</v>
      </c>
    </row>
    <row r="19" spans="1:28" s="226" customFormat="1" outlineLevel="2">
      <c r="A19" s="165" t="s">
        <v>204</v>
      </c>
      <c r="B19" s="165" t="s">
        <v>217</v>
      </c>
      <c r="C19" s="394">
        <v>1</v>
      </c>
      <c r="D19" s="97">
        <v>200000</v>
      </c>
      <c r="E19" s="215">
        <f t="shared" si="22"/>
        <v>92259.98</v>
      </c>
      <c r="F19" s="216">
        <f t="shared" si="23"/>
        <v>-107740.02</v>
      </c>
      <c r="G19" s="217">
        <f t="shared" si="24"/>
        <v>62</v>
      </c>
      <c r="H19" s="217">
        <f t="shared" si="24"/>
        <v>5.5833333333333339</v>
      </c>
      <c r="I19" s="218"/>
      <c r="J19" s="219">
        <v>8081.76</v>
      </c>
      <c r="K19" s="220">
        <v>5</v>
      </c>
      <c r="L19" s="221">
        <v>0.5</v>
      </c>
      <c r="M19" s="222">
        <v>38996.300000000003</v>
      </c>
      <c r="N19" s="223">
        <v>21</v>
      </c>
      <c r="O19" s="224">
        <v>2.3333333333333335</v>
      </c>
      <c r="P19" s="222">
        <v>33396.019999999997</v>
      </c>
      <c r="Q19" s="223">
        <v>27</v>
      </c>
      <c r="R19" s="224">
        <v>2.0208333333333335</v>
      </c>
      <c r="S19" s="225">
        <v>11785.9</v>
      </c>
      <c r="T19" s="223">
        <v>9</v>
      </c>
      <c r="U19" s="224">
        <v>0.72916666666666663</v>
      </c>
      <c r="V19" s="225"/>
      <c r="W19" s="223"/>
      <c r="X19" s="224"/>
      <c r="Y19" s="294">
        <f>J19+M19+P19+S19</f>
        <v>92259.98</v>
      </c>
    </row>
    <row r="20" spans="1:28" s="226" customFormat="1" outlineLevel="2">
      <c r="A20" s="134" t="s">
        <v>218</v>
      </c>
      <c r="B20" s="165"/>
      <c r="C20" s="394"/>
      <c r="D20" s="94">
        <v>0</v>
      </c>
      <c r="E20" s="94">
        <f t="shared" si="22"/>
        <v>0</v>
      </c>
      <c r="F20" s="95">
        <f t="shared" si="23"/>
        <v>0</v>
      </c>
      <c r="G20" s="69">
        <f t="shared" si="24"/>
        <v>0</v>
      </c>
      <c r="H20" s="69">
        <f t="shared" si="24"/>
        <v>0</v>
      </c>
      <c r="I20" s="218"/>
      <c r="J20" s="219"/>
      <c r="K20" s="220"/>
      <c r="L20" s="221"/>
      <c r="M20" s="222"/>
      <c r="N20" s="223"/>
      <c r="O20" s="224"/>
      <c r="P20" s="222"/>
      <c r="Q20" s="223"/>
      <c r="R20" s="224"/>
      <c r="S20" s="225"/>
      <c r="T20" s="223"/>
      <c r="U20" s="224"/>
      <c r="V20" s="225"/>
      <c r="W20" s="223"/>
      <c r="X20" s="224"/>
    </row>
    <row r="21" spans="1:28" s="226" customFormat="1" outlineLevel="2">
      <c r="A21" s="132" t="s">
        <v>126</v>
      </c>
      <c r="B21" s="165" t="s">
        <v>219</v>
      </c>
      <c r="C21" s="394">
        <v>0.5</v>
      </c>
      <c r="D21" s="215">
        <f>450000/2</f>
        <v>225000</v>
      </c>
      <c r="E21" s="215">
        <f t="shared" si="22"/>
        <v>206535.75</v>
      </c>
      <c r="F21" s="216">
        <f t="shared" si="23"/>
        <v>-18464.25</v>
      </c>
      <c r="G21" s="217">
        <f t="shared" si="24"/>
        <v>141</v>
      </c>
      <c r="H21" s="217">
        <f t="shared" si="24"/>
        <v>8.2638888888888893</v>
      </c>
      <c r="I21" s="218"/>
      <c r="J21" s="219"/>
      <c r="K21" s="220"/>
      <c r="L21" s="221"/>
      <c r="M21" s="222">
        <v>77315.73</v>
      </c>
      <c r="N21" s="223">
        <v>52</v>
      </c>
      <c r="O21" s="224">
        <v>3.0416666666666665</v>
      </c>
      <c r="P21" s="222">
        <v>47836.29</v>
      </c>
      <c r="Q21" s="223">
        <v>29</v>
      </c>
      <c r="R21" s="224">
        <v>1.8819444444444444</v>
      </c>
      <c r="S21" s="225">
        <v>81383.73</v>
      </c>
      <c r="T21" s="223">
        <v>60</v>
      </c>
      <c r="U21" s="224">
        <v>3.3402777777777777</v>
      </c>
      <c r="V21" s="225"/>
      <c r="W21" s="223"/>
      <c r="X21" s="224"/>
      <c r="Y21" s="310">
        <f>M21+P21+S21</f>
        <v>206535.75</v>
      </c>
      <c r="AB21" s="226" t="s">
        <v>220</v>
      </c>
    </row>
    <row r="22" spans="1:28" s="78" customFormat="1" outlineLevel="2">
      <c r="A22" s="134" t="s">
        <v>208</v>
      </c>
      <c r="B22" s="134"/>
      <c r="C22" s="391"/>
      <c r="D22" s="94">
        <v>0</v>
      </c>
      <c r="E22" s="94">
        <f t="shared" si="22"/>
        <v>0</v>
      </c>
      <c r="F22" s="95">
        <f t="shared" si="23"/>
        <v>0</v>
      </c>
      <c r="G22" s="69">
        <f t="shared" si="24"/>
        <v>0</v>
      </c>
      <c r="H22" s="69">
        <f t="shared" si="24"/>
        <v>0</v>
      </c>
      <c r="I22" s="70"/>
      <c r="J22" s="188"/>
      <c r="K22" s="189"/>
      <c r="L22" s="190"/>
      <c r="M22" s="191"/>
      <c r="N22" s="192"/>
      <c r="O22" s="193"/>
      <c r="P22" s="191"/>
      <c r="Q22" s="192"/>
      <c r="R22" s="193"/>
      <c r="S22" s="194"/>
      <c r="T22" s="192"/>
      <c r="U22" s="193"/>
      <c r="V22" s="194"/>
      <c r="W22" s="192"/>
      <c r="X22" s="193"/>
      <c r="Z22" s="314"/>
    </row>
    <row r="23" spans="1:28" s="78" customFormat="1" outlineLevel="2">
      <c r="A23" s="134" t="s">
        <v>210</v>
      </c>
      <c r="B23" s="134"/>
      <c r="C23" s="391"/>
      <c r="D23" s="94">
        <v>0</v>
      </c>
      <c r="E23" s="94">
        <f t="shared" si="22"/>
        <v>0</v>
      </c>
      <c r="F23" s="95">
        <f t="shared" si="23"/>
        <v>0</v>
      </c>
      <c r="G23" s="69">
        <f t="shared" si="24"/>
        <v>0</v>
      </c>
      <c r="H23" s="69">
        <f t="shared" si="24"/>
        <v>0</v>
      </c>
      <c r="I23" s="70"/>
      <c r="J23" s="188"/>
      <c r="K23" s="189"/>
      <c r="L23" s="190"/>
      <c r="M23" s="191"/>
      <c r="N23" s="192"/>
      <c r="O23" s="193"/>
      <c r="P23" s="191"/>
      <c r="Q23" s="192"/>
      <c r="R23" s="193"/>
      <c r="S23" s="194"/>
      <c r="T23" s="192"/>
      <c r="U23" s="193"/>
      <c r="V23" s="194"/>
      <c r="W23" s="192"/>
      <c r="X23" s="193"/>
      <c r="Z23" s="314"/>
    </row>
    <row r="24" spans="1:28" s="226" customFormat="1" outlineLevel="2">
      <c r="A24" s="301" t="s">
        <v>211</v>
      </c>
      <c r="B24" s="165" t="s">
        <v>183</v>
      </c>
      <c r="C24" s="394">
        <v>0.4</v>
      </c>
      <c r="D24" s="215">
        <v>40000</v>
      </c>
      <c r="E24" s="215">
        <f t="shared" si="22"/>
        <v>76695.360000000001</v>
      </c>
      <c r="F24" s="216">
        <f t="shared" si="23"/>
        <v>36695.360000000001</v>
      </c>
      <c r="G24" s="217">
        <f t="shared" si="24"/>
        <v>57</v>
      </c>
      <c r="H24" s="217">
        <f t="shared" si="24"/>
        <v>3.1597222222222223</v>
      </c>
      <c r="I24" s="218"/>
      <c r="J24" s="219"/>
      <c r="K24" s="220"/>
      <c r="L24" s="221"/>
      <c r="M24" s="222">
        <v>20355.82</v>
      </c>
      <c r="N24" s="223">
        <v>14</v>
      </c>
      <c r="O24" s="224">
        <v>0.84027777777777779</v>
      </c>
      <c r="P24" s="222">
        <v>16397.43</v>
      </c>
      <c r="Q24" s="223">
        <v>14</v>
      </c>
      <c r="R24" s="224">
        <v>0.67361111111111116</v>
      </c>
      <c r="S24" s="225">
        <v>18729.75</v>
      </c>
      <c r="T24" s="223">
        <v>15</v>
      </c>
      <c r="U24" s="224">
        <v>0.76388888888888884</v>
      </c>
      <c r="V24" s="225">
        <v>21212.36</v>
      </c>
      <c r="W24" s="223">
        <v>14</v>
      </c>
      <c r="X24" s="224">
        <v>0.88194444444444442</v>
      </c>
      <c r="Y24" s="310">
        <f>M24+P24+S24+V24</f>
        <v>76695.360000000001</v>
      </c>
    </row>
    <row r="25" spans="1:28" s="226" customFormat="1" outlineLevel="2">
      <c r="A25" s="395" t="s">
        <v>133</v>
      </c>
      <c r="B25" s="165" t="s">
        <v>221</v>
      </c>
      <c r="C25" s="394">
        <v>0.2</v>
      </c>
      <c r="D25" s="215">
        <v>20000</v>
      </c>
      <c r="E25" s="215">
        <f t="shared" ref="E25" si="25">+J25+M25+P25+S25+V25</f>
        <v>0</v>
      </c>
      <c r="F25" s="216">
        <f t="shared" ref="F25" si="26">+E25-D25</f>
        <v>-20000</v>
      </c>
      <c r="G25" s="217">
        <f t="shared" ref="G25" si="27">+K25+N25+Q25+T25+W25</f>
        <v>0</v>
      </c>
      <c r="H25" s="217">
        <f t="shared" ref="H25" si="28">+L25+O25+R25+U25+X25</f>
        <v>0</v>
      </c>
      <c r="I25" s="218"/>
      <c r="J25" s="219"/>
      <c r="K25" s="220"/>
      <c r="L25" s="221"/>
      <c r="M25" s="222"/>
      <c r="N25" s="223"/>
      <c r="O25" s="224"/>
      <c r="P25" s="222"/>
      <c r="Q25" s="223"/>
      <c r="R25" s="224"/>
      <c r="S25" s="225"/>
      <c r="T25" s="223"/>
      <c r="U25" s="224"/>
      <c r="V25" s="225"/>
      <c r="W25" s="223"/>
      <c r="X25" s="224"/>
    </row>
    <row r="26" spans="1:28" s="78" customFormat="1" outlineLevel="2">
      <c r="A26" s="308" t="s">
        <v>213</v>
      </c>
      <c r="B26" s="134"/>
      <c r="C26" s="391"/>
      <c r="D26" s="94">
        <v>0</v>
      </c>
      <c r="E26" s="94">
        <f t="shared" si="22"/>
        <v>0</v>
      </c>
      <c r="F26" s="95">
        <f t="shared" si="23"/>
        <v>0</v>
      </c>
      <c r="G26" s="69">
        <f t="shared" si="24"/>
        <v>0</v>
      </c>
      <c r="H26" s="69">
        <f t="shared" si="24"/>
        <v>0</v>
      </c>
      <c r="I26" s="70"/>
      <c r="J26" s="188"/>
      <c r="K26" s="189"/>
      <c r="L26" s="190"/>
      <c r="M26" s="191"/>
      <c r="N26" s="192"/>
      <c r="O26" s="193"/>
      <c r="P26" s="191"/>
      <c r="Q26" s="192"/>
      <c r="R26" s="193"/>
      <c r="S26" s="194"/>
      <c r="T26" s="192"/>
      <c r="U26" s="193"/>
      <c r="V26" s="194"/>
      <c r="W26" s="192"/>
      <c r="X26" s="193"/>
    </row>
    <row r="27" spans="1:28">
      <c r="A27" s="57" t="s">
        <v>29</v>
      </c>
      <c r="B27" s="57"/>
      <c r="C27" s="369"/>
      <c r="D27" s="98">
        <f>SUM(D28:D38)</f>
        <v>1085000</v>
      </c>
      <c r="E27" s="98">
        <f>SUM(E28:E38)</f>
        <v>1167017.672</v>
      </c>
      <c r="F27" s="98">
        <f>SUM(F28:F38)</f>
        <v>82017.671999999962</v>
      </c>
      <c r="G27" s="56">
        <f>SUM(G28:G38)</f>
        <v>1083</v>
      </c>
      <c r="H27" s="56">
        <f>SUM(H28:H38)</f>
        <v>61.166666666666664</v>
      </c>
      <c r="I27" s="37"/>
      <c r="J27" s="55">
        <f t="shared" ref="J27:X27" si="29">SUM(J28:J38)</f>
        <v>27579.91</v>
      </c>
      <c r="K27" s="56">
        <f t="shared" si="29"/>
        <v>25</v>
      </c>
      <c r="L27" s="56">
        <f t="shared" si="29"/>
        <v>1.44444444444444</v>
      </c>
      <c r="M27" s="55">
        <f t="shared" si="29"/>
        <v>288317.24</v>
      </c>
      <c r="N27" s="56">
        <f t="shared" si="29"/>
        <v>277</v>
      </c>
      <c r="O27" s="56">
        <f t="shared" si="29"/>
        <v>14.913194444444445</v>
      </c>
      <c r="P27" s="55">
        <f t="shared" si="29"/>
        <v>336482.36000000004</v>
      </c>
      <c r="Q27" s="56">
        <f t="shared" si="29"/>
        <v>302</v>
      </c>
      <c r="R27" s="56">
        <f t="shared" si="29"/>
        <v>16.878472222222225</v>
      </c>
      <c r="S27" s="55">
        <f t="shared" si="29"/>
        <v>275385.52</v>
      </c>
      <c r="T27" s="56">
        <f t="shared" si="29"/>
        <v>259</v>
      </c>
      <c r="U27" s="56">
        <f t="shared" si="29"/>
        <v>15.027777777777779</v>
      </c>
      <c r="V27" s="55">
        <f t="shared" si="29"/>
        <v>239252.64199999999</v>
      </c>
      <c r="W27" s="56">
        <f t="shared" si="29"/>
        <v>220</v>
      </c>
      <c r="X27" s="56">
        <f t="shared" si="29"/>
        <v>12.902777777777777</v>
      </c>
    </row>
    <row r="28" spans="1:28" s="226" customFormat="1" outlineLevel="2">
      <c r="A28" s="132" t="s">
        <v>198</v>
      </c>
      <c r="B28" s="165" t="s">
        <v>222</v>
      </c>
      <c r="C28" s="394">
        <v>1</v>
      </c>
      <c r="D28" s="215">
        <f>200000</f>
        <v>200000</v>
      </c>
      <c r="E28" s="215">
        <f t="shared" si="22"/>
        <v>251336.86</v>
      </c>
      <c r="F28" s="216">
        <f t="shared" ref="F28:F64" si="30">+E28-D28</f>
        <v>51336.859999999986</v>
      </c>
      <c r="G28" s="217">
        <f t="shared" ref="G28:H38" si="31">+K28+N28+Q28+T28+W28</f>
        <v>231</v>
      </c>
      <c r="H28" s="217">
        <f t="shared" si="31"/>
        <v>13.909722222222221</v>
      </c>
      <c r="I28" s="218"/>
      <c r="J28" s="219"/>
      <c r="K28" s="220"/>
      <c r="L28" s="221"/>
      <c r="M28" s="222">
        <v>61731.9</v>
      </c>
      <c r="N28" s="223">
        <v>59</v>
      </c>
      <c r="O28" s="224">
        <v>3.46875</v>
      </c>
      <c r="P28" s="222">
        <v>55447.97</v>
      </c>
      <c r="Q28" s="223">
        <v>52</v>
      </c>
      <c r="R28" s="224">
        <v>3.0798611111111112</v>
      </c>
      <c r="S28" s="225">
        <v>66133.25</v>
      </c>
      <c r="T28" s="223">
        <v>60</v>
      </c>
      <c r="U28" s="224">
        <v>3.6388888888888888</v>
      </c>
      <c r="V28" s="225">
        <v>68023.740000000005</v>
      </c>
      <c r="W28" s="223">
        <v>60</v>
      </c>
      <c r="X28" s="224">
        <v>3.7222222222222223</v>
      </c>
      <c r="Y28" s="310">
        <f>M28+P28+S28+V28</f>
        <v>251336.86</v>
      </c>
    </row>
    <row r="29" spans="1:28" s="226" customFormat="1" outlineLevel="2">
      <c r="A29" s="132" t="s">
        <v>200</v>
      </c>
      <c r="B29" s="165" t="s">
        <v>185</v>
      </c>
      <c r="C29" s="394">
        <v>1</v>
      </c>
      <c r="D29" s="215">
        <f t="shared" ref="D29:D31" si="32">200000</f>
        <v>200000</v>
      </c>
      <c r="E29" s="215">
        <f t="shared" si="22"/>
        <v>247566.05</v>
      </c>
      <c r="F29" s="216">
        <f t="shared" si="30"/>
        <v>47566.049999999988</v>
      </c>
      <c r="G29" s="217">
        <f t="shared" si="31"/>
        <v>255</v>
      </c>
      <c r="H29" s="217">
        <f t="shared" si="31"/>
        <v>13.642361111111107</v>
      </c>
      <c r="I29" s="218"/>
      <c r="J29" s="219">
        <v>12504.58</v>
      </c>
      <c r="K29" s="220">
        <v>14</v>
      </c>
      <c r="L29" s="221">
        <v>0.69444444444443998</v>
      </c>
      <c r="M29" s="222">
        <v>52574.38</v>
      </c>
      <c r="N29" s="223">
        <v>53</v>
      </c>
      <c r="O29" s="224">
        <v>2.8680555555555554</v>
      </c>
      <c r="P29" s="222">
        <v>51897.51</v>
      </c>
      <c r="Q29" s="223">
        <v>58</v>
      </c>
      <c r="R29" s="224">
        <v>2.8715277777777777</v>
      </c>
      <c r="S29" s="225">
        <v>58523.83</v>
      </c>
      <c r="T29" s="223">
        <v>62</v>
      </c>
      <c r="U29" s="224">
        <v>3.2361111111111112</v>
      </c>
      <c r="V29" s="225">
        <v>72065.75</v>
      </c>
      <c r="W29" s="223">
        <v>68</v>
      </c>
      <c r="X29" s="224">
        <v>3.9722222222222223</v>
      </c>
      <c r="Y29" s="294">
        <f>J29+M29+P29+S29+V29</f>
        <v>247566.05</v>
      </c>
    </row>
    <row r="30" spans="1:28" s="226" customFormat="1" outlineLevel="2">
      <c r="A30" s="132" t="s">
        <v>223</v>
      </c>
      <c r="B30" s="165" t="s">
        <v>186</v>
      </c>
      <c r="C30" s="394">
        <v>1</v>
      </c>
      <c r="D30" s="215">
        <f t="shared" si="32"/>
        <v>200000</v>
      </c>
      <c r="E30" s="215">
        <f t="shared" si="22"/>
        <v>224363.76</v>
      </c>
      <c r="F30" s="216">
        <f t="shared" si="30"/>
        <v>24363.760000000009</v>
      </c>
      <c r="G30" s="217">
        <f t="shared" si="31"/>
        <v>231</v>
      </c>
      <c r="H30" s="217">
        <f t="shared" si="31"/>
        <v>12.409722222222221</v>
      </c>
      <c r="I30" s="218"/>
      <c r="J30" s="219">
        <v>11383.62</v>
      </c>
      <c r="K30" s="220">
        <v>10</v>
      </c>
      <c r="L30" s="221">
        <v>0.625</v>
      </c>
      <c r="M30" s="222">
        <v>49078.16</v>
      </c>
      <c r="N30" s="223">
        <v>58</v>
      </c>
      <c r="O30" s="224">
        <v>2.7083333333333335</v>
      </c>
      <c r="P30" s="222">
        <v>56798.32</v>
      </c>
      <c r="Q30" s="223">
        <v>56</v>
      </c>
      <c r="R30" s="224">
        <v>3.1180555555555554</v>
      </c>
      <c r="S30" s="225">
        <v>57867.3</v>
      </c>
      <c r="T30" s="223">
        <v>58</v>
      </c>
      <c r="U30" s="224">
        <v>3.2291666666666665</v>
      </c>
      <c r="V30" s="225">
        <v>49236.36</v>
      </c>
      <c r="W30" s="223">
        <v>49</v>
      </c>
      <c r="X30" s="224">
        <v>2.7291666666666665</v>
      </c>
      <c r="Y30" s="294">
        <f>J30+M30+P30+S30+V30</f>
        <v>224363.76</v>
      </c>
    </row>
    <row r="31" spans="1:28" s="226" customFormat="1" outlineLevel="2">
      <c r="A31" s="165" t="s">
        <v>224</v>
      </c>
      <c r="B31" s="165" t="s">
        <v>187</v>
      </c>
      <c r="C31" s="394">
        <v>1</v>
      </c>
      <c r="D31" s="215">
        <f t="shared" si="32"/>
        <v>200000</v>
      </c>
      <c r="E31" s="215">
        <f t="shared" si="22"/>
        <v>207464.61</v>
      </c>
      <c r="F31" s="216">
        <f t="shared" si="30"/>
        <v>7464.609999999986</v>
      </c>
      <c r="G31" s="217">
        <f t="shared" si="31"/>
        <v>203</v>
      </c>
      <c r="H31" s="217">
        <f t="shared" si="31"/>
        <v>11.715277777777777</v>
      </c>
      <c r="I31" s="218"/>
      <c r="J31" s="219"/>
      <c r="K31" s="220"/>
      <c r="L31" s="221"/>
      <c r="M31" s="222">
        <v>55250.22</v>
      </c>
      <c r="N31" s="223">
        <v>57</v>
      </c>
      <c r="O31" s="224">
        <v>3.0902777777777777</v>
      </c>
      <c r="P31" s="222">
        <v>61371.43</v>
      </c>
      <c r="Q31" s="223">
        <v>63</v>
      </c>
      <c r="R31" s="224">
        <v>3.4236111111111112</v>
      </c>
      <c r="S31" s="225">
        <v>69965.08</v>
      </c>
      <c r="T31" s="223">
        <v>60</v>
      </c>
      <c r="U31" s="224">
        <v>3.9097222222222223</v>
      </c>
      <c r="V31" s="225">
        <v>20877.88</v>
      </c>
      <c r="W31" s="223">
        <v>23</v>
      </c>
      <c r="X31" s="224">
        <v>1.2916666666666667</v>
      </c>
      <c r="Y31" s="310">
        <f>M31+P31+S31++V31</f>
        <v>207464.61</v>
      </c>
    </row>
    <row r="32" spans="1:28" s="78" customFormat="1" outlineLevel="2">
      <c r="A32" s="134" t="s">
        <v>218</v>
      </c>
      <c r="B32" s="134"/>
      <c r="C32" s="391"/>
      <c r="D32" s="94">
        <v>0</v>
      </c>
      <c r="E32" s="94">
        <f t="shared" ref="E32" si="33">+J32+M32+P32+S32+V32</f>
        <v>0</v>
      </c>
      <c r="F32" s="95">
        <f t="shared" ref="F32" si="34">+E32-D32</f>
        <v>0</v>
      </c>
      <c r="G32" s="69">
        <f t="shared" ref="G32" si="35">+K32+N32+Q32+T32+W32</f>
        <v>0</v>
      </c>
      <c r="H32" s="69">
        <f t="shared" ref="H32" si="36">+L32+O32+R32+U32+X32</f>
        <v>0</v>
      </c>
      <c r="I32" s="70"/>
      <c r="J32" s="188"/>
      <c r="K32" s="189"/>
      <c r="L32" s="190"/>
      <c r="M32" s="191"/>
      <c r="N32" s="192"/>
      <c r="O32" s="193"/>
      <c r="P32" s="191"/>
      <c r="Q32" s="192"/>
      <c r="R32" s="193"/>
      <c r="S32" s="194"/>
      <c r="T32" s="192"/>
      <c r="U32" s="193"/>
      <c r="V32" s="194"/>
      <c r="W32" s="192"/>
      <c r="X32" s="193"/>
    </row>
    <row r="33" spans="1:25" s="226" customFormat="1" outlineLevel="2">
      <c r="A33" s="132" t="s">
        <v>126</v>
      </c>
      <c r="B33" s="165" t="s">
        <v>219</v>
      </c>
      <c r="C33" s="394">
        <v>0.5</v>
      </c>
      <c r="D33" s="92">
        <f>450000*0.5</f>
        <v>225000</v>
      </c>
      <c r="E33" s="215">
        <f t="shared" si="22"/>
        <v>150880.99</v>
      </c>
      <c r="F33" s="216">
        <f t="shared" si="30"/>
        <v>-74119.010000000009</v>
      </c>
      <c r="G33" s="217">
        <f t="shared" si="31"/>
        <v>117</v>
      </c>
      <c r="H33" s="217">
        <f t="shared" si="31"/>
        <v>6.1423611111111107</v>
      </c>
      <c r="I33" s="218"/>
      <c r="J33" s="219">
        <v>3691.71</v>
      </c>
      <c r="K33" s="220">
        <v>1</v>
      </c>
      <c r="L33" s="221">
        <v>0.125</v>
      </c>
      <c r="M33" s="222">
        <v>55673.97</v>
      </c>
      <c r="N33" s="223">
        <v>47</v>
      </c>
      <c r="O33" s="224">
        <v>2.2986111111111112</v>
      </c>
      <c r="P33" s="222">
        <v>91515.31</v>
      </c>
      <c r="Q33" s="223">
        <v>69</v>
      </c>
      <c r="R33" s="224">
        <v>3.71875</v>
      </c>
      <c r="S33" s="225"/>
      <c r="T33" s="223"/>
      <c r="U33" s="224"/>
      <c r="V33" s="225"/>
      <c r="W33" s="223"/>
      <c r="X33" s="224"/>
      <c r="Y33" s="294">
        <f>J33+M33+P33</f>
        <v>150880.99</v>
      </c>
    </row>
    <row r="34" spans="1:25" s="78" customFormat="1" outlineLevel="2">
      <c r="A34" s="134" t="s">
        <v>208</v>
      </c>
      <c r="B34" s="134"/>
      <c r="C34" s="391"/>
      <c r="D34" s="94">
        <v>0</v>
      </c>
      <c r="E34" s="94">
        <f t="shared" si="22"/>
        <v>0</v>
      </c>
      <c r="F34" s="95">
        <f t="shared" si="30"/>
        <v>0</v>
      </c>
      <c r="G34" s="69">
        <f t="shared" si="31"/>
        <v>0</v>
      </c>
      <c r="H34" s="69">
        <f t="shared" si="31"/>
        <v>0</v>
      </c>
      <c r="I34" s="70"/>
      <c r="J34" s="188"/>
      <c r="K34" s="189"/>
      <c r="L34" s="190"/>
      <c r="M34" s="191"/>
      <c r="N34" s="192"/>
      <c r="O34" s="193"/>
      <c r="P34" s="191"/>
      <c r="Q34" s="192"/>
      <c r="R34" s="193"/>
      <c r="S34" s="194"/>
      <c r="T34" s="192"/>
      <c r="U34" s="193"/>
      <c r="V34" s="194"/>
      <c r="W34" s="192"/>
      <c r="X34" s="193"/>
    </row>
    <row r="35" spans="1:25" s="78" customFormat="1" outlineLevel="2">
      <c r="A35" s="134" t="s">
        <v>210</v>
      </c>
      <c r="B35" s="134"/>
      <c r="C35" s="391"/>
      <c r="D35" s="94">
        <v>0</v>
      </c>
      <c r="E35" s="94">
        <f t="shared" ref="E35" si="37">+J35+M35+P35+S35+V35</f>
        <v>0</v>
      </c>
      <c r="F35" s="95">
        <f t="shared" ref="F35" si="38">+E35-D35</f>
        <v>0</v>
      </c>
      <c r="G35" s="69">
        <f t="shared" ref="G35" si="39">+K35+N35+Q35+T35+W35</f>
        <v>0</v>
      </c>
      <c r="H35" s="69">
        <f t="shared" ref="H35" si="40">+L35+O35+R35+U35+X35</f>
        <v>0</v>
      </c>
      <c r="I35" s="70"/>
      <c r="J35" s="188"/>
      <c r="K35" s="189"/>
      <c r="L35" s="190"/>
      <c r="M35" s="191"/>
      <c r="N35" s="192"/>
      <c r="O35" s="193"/>
      <c r="P35" s="191"/>
      <c r="Q35" s="192"/>
      <c r="R35" s="193"/>
      <c r="S35" s="194"/>
      <c r="T35" s="192"/>
      <c r="U35" s="193"/>
      <c r="V35" s="194"/>
      <c r="W35" s="192"/>
      <c r="X35" s="193"/>
    </row>
    <row r="36" spans="1:25" s="226" customFormat="1" outlineLevel="2">
      <c r="A36" s="301" t="s">
        <v>211</v>
      </c>
      <c r="B36" s="165" t="s">
        <v>225</v>
      </c>
      <c r="C36" s="394">
        <v>0.2</v>
      </c>
      <c r="D36" s="215">
        <v>20000</v>
      </c>
      <c r="E36" s="215">
        <f t="shared" si="22"/>
        <v>85405.402000000002</v>
      </c>
      <c r="F36" s="216">
        <f t="shared" si="30"/>
        <v>65405.402000000002</v>
      </c>
      <c r="G36" s="217">
        <f t="shared" si="31"/>
        <v>46</v>
      </c>
      <c r="H36" s="217">
        <f t="shared" si="31"/>
        <v>3.3472222222222223</v>
      </c>
      <c r="I36" s="218"/>
      <c r="J36" s="219"/>
      <c r="K36" s="220"/>
      <c r="L36" s="221"/>
      <c r="M36" s="222">
        <v>14008.61</v>
      </c>
      <c r="N36" s="223">
        <v>3</v>
      </c>
      <c r="O36" s="224">
        <v>0.47916666666666669</v>
      </c>
      <c r="P36" s="222">
        <v>19451.82</v>
      </c>
      <c r="Q36" s="223">
        <v>4</v>
      </c>
      <c r="R36" s="224">
        <v>0.66666666666666663</v>
      </c>
      <c r="S36" s="225">
        <v>22896.06</v>
      </c>
      <c r="T36" s="223">
        <v>19</v>
      </c>
      <c r="U36" s="224">
        <v>1.0138888888888888</v>
      </c>
      <c r="V36" s="225">
        <v>29048.912</v>
      </c>
      <c r="W36" s="223">
        <v>20</v>
      </c>
      <c r="X36" s="224">
        <v>1.1875</v>
      </c>
      <c r="Y36" s="310">
        <f>M36+P36+S36+V36</f>
        <v>85405.402000000002</v>
      </c>
    </row>
    <row r="37" spans="1:25" s="226" customFormat="1" outlineLevel="2">
      <c r="A37" s="301" t="s">
        <v>133</v>
      </c>
      <c r="B37" s="165" t="s">
        <v>226</v>
      </c>
      <c r="C37" s="394">
        <v>0.5</v>
      </c>
      <c r="D37" s="215">
        <v>40000</v>
      </c>
      <c r="E37" s="215">
        <f t="shared" ref="E37" si="41">+J37+M37+P37+S37+V37</f>
        <v>0</v>
      </c>
      <c r="F37" s="216">
        <f t="shared" ref="F37" si="42">+E37-D37</f>
        <v>-40000</v>
      </c>
      <c r="G37" s="217">
        <f t="shared" ref="G37" si="43">+K37+N37+Q37+T37+W37</f>
        <v>0</v>
      </c>
      <c r="H37" s="217">
        <f t="shared" ref="H37" si="44">+L37+O37+R37+U37+X37</f>
        <v>0</v>
      </c>
      <c r="I37" s="218"/>
      <c r="J37" s="219"/>
      <c r="K37" s="220"/>
      <c r="L37" s="221"/>
      <c r="M37" s="222"/>
      <c r="N37" s="223"/>
      <c r="O37" s="224"/>
      <c r="P37" s="222"/>
      <c r="Q37" s="223"/>
      <c r="R37" s="224"/>
      <c r="S37" s="225"/>
      <c r="T37" s="223"/>
      <c r="U37" s="224"/>
      <c r="V37" s="225"/>
      <c r="W37" s="223"/>
      <c r="X37" s="224"/>
    </row>
    <row r="38" spans="1:25" s="78" customFormat="1" outlineLevel="2">
      <c r="A38" s="308" t="s">
        <v>213</v>
      </c>
      <c r="B38" s="134"/>
      <c r="C38" s="391"/>
      <c r="D38" s="94">
        <v>0</v>
      </c>
      <c r="E38" s="94">
        <f t="shared" si="22"/>
        <v>0</v>
      </c>
      <c r="F38" s="95">
        <f t="shared" si="30"/>
        <v>0</v>
      </c>
      <c r="G38" s="69">
        <f t="shared" si="31"/>
        <v>0</v>
      </c>
      <c r="H38" s="69">
        <f t="shared" si="31"/>
        <v>0</v>
      </c>
      <c r="I38" s="70"/>
      <c r="J38" s="188"/>
      <c r="K38" s="189"/>
      <c r="L38" s="190"/>
      <c r="M38" s="191"/>
      <c r="N38" s="192"/>
      <c r="O38" s="193"/>
      <c r="P38" s="191"/>
      <c r="Q38" s="192"/>
      <c r="R38" s="193"/>
      <c r="S38" s="194"/>
      <c r="T38" s="192"/>
      <c r="U38" s="193"/>
      <c r="V38" s="194"/>
      <c r="W38" s="192"/>
      <c r="X38" s="193"/>
    </row>
    <row r="39" spans="1:25">
      <c r="A39" s="50" t="s">
        <v>34</v>
      </c>
      <c r="B39" s="50"/>
      <c r="C39" s="370"/>
      <c r="D39" s="99">
        <f>SUM(D40:D50)</f>
        <v>870000</v>
      </c>
      <c r="E39" s="99">
        <f t="shared" ref="E39:F39" si="45">SUM(E40:E50)</f>
        <v>266332</v>
      </c>
      <c r="F39" s="99">
        <f t="shared" si="45"/>
        <v>-603668</v>
      </c>
      <c r="G39" s="52">
        <f>SUM(G40:G50)</f>
        <v>240</v>
      </c>
      <c r="H39" s="52">
        <f>SUM(H40:H50)</f>
        <v>14.229166666666668</v>
      </c>
      <c r="I39" s="37"/>
      <c r="J39" s="51">
        <f t="shared" ref="J39" si="46">SUM(J40:J50)</f>
        <v>6791.4</v>
      </c>
      <c r="K39" s="52">
        <f>SUM(K40:K50)</f>
        <v>5</v>
      </c>
      <c r="L39" s="52">
        <f>SUM(L40:L50)</f>
        <v>0.375</v>
      </c>
      <c r="M39" s="51">
        <f t="shared" ref="M39" si="47">SUM(M40:M50)</f>
        <v>51865</v>
      </c>
      <c r="N39" s="52">
        <f>SUM(N40:N50)</f>
        <v>52</v>
      </c>
      <c r="O39" s="52">
        <f>SUM(O40:O50)</f>
        <v>2.9791666666666665</v>
      </c>
      <c r="P39" s="51">
        <f t="shared" ref="P39" si="48">SUM(P40:P50)</f>
        <v>65466.500000000007</v>
      </c>
      <c r="Q39" s="52">
        <f>SUM(Q40:Q50)</f>
        <v>53</v>
      </c>
      <c r="R39" s="52">
        <f>SUM(R40:R50)</f>
        <v>3.3680555555555558</v>
      </c>
      <c r="S39" s="51">
        <f t="shared" ref="S39" si="49">SUM(S40:S50)</f>
        <v>65066.1</v>
      </c>
      <c r="T39" s="52">
        <f>SUM(T40:T50)</f>
        <v>56</v>
      </c>
      <c r="U39" s="52">
        <f>SUM(U40:U50)</f>
        <v>3.4513888888888888</v>
      </c>
      <c r="V39" s="51">
        <f t="shared" ref="V39" si="50">SUM(V40:V50)</f>
        <v>77143</v>
      </c>
      <c r="W39" s="52">
        <f>SUM(W40:W50)</f>
        <v>74</v>
      </c>
      <c r="X39" s="52">
        <f>SUM(X40:X50)</f>
        <v>4.0555555555555554</v>
      </c>
    </row>
    <row r="40" spans="1:25" s="78" customFormat="1" outlineLevel="2">
      <c r="A40" s="165" t="s">
        <v>227</v>
      </c>
      <c r="B40" s="165" t="s">
        <v>228</v>
      </c>
      <c r="C40" s="394">
        <v>1</v>
      </c>
      <c r="D40" s="215">
        <v>200000</v>
      </c>
      <c r="E40" s="215">
        <f t="shared" ref="E40:E50" si="51">+J40+M40+P40+S40+V40</f>
        <v>162027.79999999999</v>
      </c>
      <c r="F40" s="216">
        <f t="shared" si="30"/>
        <v>-37972.200000000012</v>
      </c>
      <c r="G40" s="217">
        <f t="shared" ref="G40:G50" si="52">+K40+N40+Q40+T40+W40</f>
        <v>144</v>
      </c>
      <c r="H40" s="217">
        <f t="shared" ref="H40:H50" si="53">+L40+O40+R40+U40+X40</f>
        <v>9.4444444444444446</v>
      </c>
      <c r="I40" s="70"/>
      <c r="J40" s="195">
        <v>6791.4</v>
      </c>
      <c r="K40" s="182">
        <v>5</v>
      </c>
      <c r="L40" s="183">
        <v>0.375</v>
      </c>
      <c r="M40" s="305">
        <v>35246.199999999997</v>
      </c>
      <c r="N40" s="306">
        <v>31</v>
      </c>
      <c r="O40" s="307">
        <v>2.1041666666666665</v>
      </c>
      <c r="P40" s="305">
        <v>38200.800000000003</v>
      </c>
      <c r="Q40" s="306">
        <v>33</v>
      </c>
      <c r="R40" s="307">
        <v>2.2013888888888888</v>
      </c>
      <c r="S40" s="309">
        <v>43256.4</v>
      </c>
      <c r="T40" s="306">
        <v>40</v>
      </c>
      <c r="U40" s="307">
        <v>2.5</v>
      </c>
      <c r="V40" s="309">
        <v>38533</v>
      </c>
      <c r="W40" s="306">
        <v>35</v>
      </c>
      <c r="X40" s="307">
        <v>2.2638888888888888</v>
      </c>
      <c r="Y40" s="312">
        <f>J40+M40+P40+S40+V40</f>
        <v>162027.79999999999</v>
      </c>
    </row>
    <row r="41" spans="1:25" s="226" customFormat="1" outlineLevel="2">
      <c r="A41" s="165" t="s">
        <v>200</v>
      </c>
      <c r="B41" s="165" t="s">
        <v>190</v>
      </c>
      <c r="C41" s="394">
        <v>1</v>
      </c>
      <c r="D41" s="215">
        <v>170000</v>
      </c>
      <c r="E41" s="215">
        <f t="shared" si="51"/>
        <v>17701.2</v>
      </c>
      <c r="F41" s="216">
        <f t="shared" si="30"/>
        <v>-152298.79999999999</v>
      </c>
      <c r="G41" s="217">
        <f t="shared" si="52"/>
        <v>26</v>
      </c>
      <c r="H41" s="217">
        <f t="shared" si="53"/>
        <v>1.125</v>
      </c>
      <c r="I41" s="218"/>
      <c r="J41" s="219"/>
      <c r="K41" s="220"/>
      <c r="L41" s="221"/>
      <c r="M41" s="222">
        <v>3278</v>
      </c>
      <c r="N41" s="223">
        <v>5</v>
      </c>
      <c r="O41" s="224">
        <v>0.20833333333333334</v>
      </c>
      <c r="P41" s="222">
        <v>3278</v>
      </c>
      <c r="Q41" s="223">
        <v>5</v>
      </c>
      <c r="R41" s="224">
        <v>0.20833333333333334</v>
      </c>
      <c r="S41" s="225">
        <v>4589.2</v>
      </c>
      <c r="T41" s="223">
        <v>6</v>
      </c>
      <c r="U41" s="224">
        <v>0.29166666666666669</v>
      </c>
      <c r="V41" s="225">
        <v>6556</v>
      </c>
      <c r="W41" s="223">
        <v>10</v>
      </c>
      <c r="X41" s="224">
        <v>0.41666666666666669</v>
      </c>
      <c r="Y41" s="310">
        <f>M41+P41+S41+V41</f>
        <v>17701.2</v>
      </c>
    </row>
    <row r="42" spans="1:25" s="78" customFormat="1" outlineLevel="2">
      <c r="A42" s="134" t="s">
        <v>223</v>
      </c>
      <c r="B42" s="134"/>
      <c r="C42" s="391"/>
      <c r="D42" s="94">
        <v>0</v>
      </c>
      <c r="E42" s="94">
        <f t="shared" si="51"/>
        <v>0</v>
      </c>
      <c r="F42" s="95">
        <f t="shared" si="30"/>
        <v>0</v>
      </c>
      <c r="G42" s="69">
        <f t="shared" si="52"/>
        <v>0</v>
      </c>
      <c r="H42" s="69">
        <f t="shared" si="53"/>
        <v>0</v>
      </c>
      <c r="I42" s="70"/>
      <c r="J42" s="188"/>
      <c r="K42" s="189"/>
      <c r="L42" s="190"/>
      <c r="M42" s="191"/>
      <c r="N42" s="192"/>
      <c r="O42" s="193"/>
      <c r="P42" s="305"/>
      <c r="Q42" s="306"/>
      <c r="R42" s="307"/>
      <c r="S42" s="194"/>
      <c r="T42" s="192"/>
      <c r="U42" s="193"/>
      <c r="V42" s="309"/>
      <c r="W42" s="306"/>
      <c r="X42" s="307"/>
      <c r="Y42" s="313"/>
    </row>
    <row r="43" spans="1:25" s="78" customFormat="1" outlineLevel="2">
      <c r="A43" s="134" t="s">
        <v>224</v>
      </c>
      <c r="B43" s="134"/>
      <c r="C43" s="391"/>
      <c r="D43" s="94">
        <v>0</v>
      </c>
      <c r="E43" s="94">
        <f t="shared" si="51"/>
        <v>0</v>
      </c>
      <c r="F43" s="95">
        <f t="shared" si="30"/>
        <v>0</v>
      </c>
      <c r="G43" s="69">
        <f t="shared" si="52"/>
        <v>0</v>
      </c>
      <c r="H43" s="69">
        <f t="shared" si="53"/>
        <v>0</v>
      </c>
      <c r="I43" s="70"/>
      <c r="J43" s="188"/>
      <c r="K43" s="189"/>
      <c r="L43" s="190"/>
      <c r="M43" s="191"/>
      <c r="N43" s="192"/>
      <c r="O43" s="193"/>
      <c r="P43" s="305"/>
      <c r="Q43" s="306"/>
      <c r="R43" s="307"/>
      <c r="S43" s="194"/>
      <c r="T43" s="192"/>
      <c r="U43" s="193"/>
      <c r="V43" s="309"/>
      <c r="W43" s="306"/>
      <c r="X43" s="307"/>
      <c r="Y43" s="313"/>
    </row>
    <row r="44" spans="1:25" s="78" customFormat="1" outlineLevel="2">
      <c r="A44" s="134" t="s">
        <v>218</v>
      </c>
      <c r="B44" s="134"/>
      <c r="C44" s="391"/>
      <c r="D44" s="94">
        <v>0</v>
      </c>
      <c r="E44" s="94">
        <f t="shared" si="51"/>
        <v>0</v>
      </c>
      <c r="F44" s="95">
        <f t="shared" si="30"/>
        <v>0</v>
      </c>
      <c r="G44" s="69">
        <f t="shared" si="52"/>
        <v>0</v>
      </c>
      <c r="H44" s="69">
        <f t="shared" si="53"/>
        <v>0</v>
      </c>
      <c r="I44" s="70"/>
      <c r="J44" s="188"/>
      <c r="K44" s="189"/>
      <c r="L44" s="190"/>
      <c r="M44" s="191"/>
      <c r="N44" s="192"/>
      <c r="O44" s="193"/>
      <c r="P44" s="305"/>
      <c r="Q44" s="306"/>
      <c r="R44" s="307"/>
      <c r="S44" s="194"/>
      <c r="T44" s="192"/>
      <c r="U44" s="193"/>
      <c r="V44" s="309"/>
      <c r="W44" s="306"/>
      <c r="X44" s="307"/>
      <c r="Y44" s="313"/>
    </row>
    <row r="45" spans="1:25" s="78" customFormat="1" outlineLevel="2">
      <c r="A45" s="165" t="s">
        <v>126</v>
      </c>
      <c r="B45" s="165" t="s">
        <v>229</v>
      </c>
      <c r="C45" s="394">
        <v>0.5</v>
      </c>
      <c r="D45" s="215">
        <v>225000</v>
      </c>
      <c r="E45" s="215">
        <f t="shared" si="51"/>
        <v>45358.5</v>
      </c>
      <c r="F45" s="216">
        <f t="shared" si="30"/>
        <v>-179641.5</v>
      </c>
      <c r="G45" s="217">
        <f t="shared" si="52"/>
        <v>47</v>
      </c>
      <c r="H45" s="217">
        <f t="shared" si="53"/>
        <v>2.0833333333333335</v>
      </c>
      <c r="I45" s="70"/>
      <c r="J45" s="188"/>
      <c r="K45" s="189"/>
      <c r="L45" s="190"/>
      <c r="M45" s="305">
        <v>13340.8</v>
      </c>
      <c r="N45" s="306">
        <v>16</v>
      </c>
      <c r="O45" s="307">
        <v>0.66666666666666663</v>
      </c>
      <c r="P45" s="305">
        <v>13857.8</v>
      </c>
      <c r="Q45" s="306">
        <v>10</v>
      </c>
      <c r="R45" s="307">
        <v>0.58333333333333337</v>
      </c>
      <c r="S45" s="194"/>
      <c r="T45" s="192"/>
      <c r="U45" s="193"/>
      <c r="V45" s="309">
        <v>18159.900000000001</v>
      </c>
      <c r="W45" s="306">
        <v>21</v>
      </c>
      <c r="X45" s="307">
        <v>0.83333333333333337</v>
      </c>
      <c r="Y45" s="410">
        <f>M45+P45+V45</f>
        <v>45358.5</v>
      </c>
    </row>
    <row r="46" spans="1:25" s="226" customFormat="1" outlineLevel="2">
      <c r="A46" s="165" t="s">
        <v>208</v>
      </c>
      <c r="B46" s="165" t="s">
        <v>230</v>
      </c>
      <c r="C46" s="394">
        <v>0.5</v>
      </c>
      <c r="D46" s="215">
        <v>225000</v>
      </c>
      <c r="E46" s="215">
        <f t="shared" si="51"/>
        <v>0</v>
      </c>
      <c r="F46" s="216">
        <f t="shared" si="30"/>
        <v>-225000</v>
      </c>
      <c r="G46" s="217">
        <f t="shared" si="52"/>
        <v>0</v>
      </c>
      <c r="H46" s="217">
        <f t="shared" si="53"/>
        <v>0</v>
      </c>
      <c r="I46" s="218"/>
      <c r="J46" s="219"/>
      <c r="K46" s="220"/>
      <c r="L46" s="221"/>
      <c r="M46" s="222"/>
      <c r="N46" s="223"/>
      <c r="O46" s="224"/>
      <c r="P46" s="222"/>
      <c r="Q46" s="223"/>
      <c r="R46" s="224"/>
      <c r="S46" s="225"/>
      <c r="T46" s="223"/>
      <c r="U46" s="224"/>
      <c r="V46" s="225"/>
      <c r="W46" s="223"/>
      <c r="X46" s="224"/>
    </row>
    <row r="47" spans="1:25" s="78" customFormat="1" outlineLevel="2">
      <c r="A47" s="134" t="s">
        <v>210</v>
      </c>
      <c r="B47" s="134"/>
      <c r="C47" s="391"/>
      <c r="D47" s="94">
        <v>0</v>
      </c>
      <c r="E47" s="94">
        <f t="shared" si="51"/>
        <v>0</v>
      </c>
      <c r="F47" s="95">
        <f t="shared" si="30"/>
        <v>0</v>
      </c>
      <c r="G47" s="69">
        <f t="shared" si="52"/>
        <v>0</v>
      </c>
      <c r="H47" s="69">
        <f t="shared" si="53"/>
        <v>0</v>
      </c>
      <c r="I47" s="70"/>
      <c r="J47" s="188"/>
      <c r="K47" s="189"/>
      <c r="L47" s="190"/>
      <c r="M47" s="191"/>
      <c r="N47" s="192"/>
      <c r="O47" s="193"/>
      <c r="P47" s="305"/>
      <c r="Q47" s="306"/>
      <c r="R47" s="307"/>
      <c r="S47" s="194"/>
      <c r="T47" s="192"/>
      <c r="U47" s="193"/>
      <c r="V47" s="309"/>
      <c r="W47" s="306"/>
      <c r="X47" s="307"/>
      <c r="Y47" s="313"/>
    </row>
    <row r="48" spans="1:25" s="78" customFormat="1" outlineLevel="2">
      <c r="A48" s="165" t="s">
        <v>211</v>
      </c>
      <c r="B48" s="165" t="s">
        <v>180</v>
      </c>
      <c r="C48" s="394">
        <v>0.5</v>
      </c>
      <c r="D48" s="215">
        <v>50000</v>
      </c>
      <c r="E48" s="215">
        <f t="shared" si="51"/>
        <v>41244.5</v>
      </c>
      <c r="F48" s="216">
        <f t="shared" si="30"/>
        <v>-8755.5</v>
      </c>
      <c r="G48" s="217">
        <f t="shared" si="52"/>
        <v>23</v>
      </c>
      <c r="H48" s="217">
        <f t="shared" si="53"/>
        <v>1.5763888888888888</v>
      </c>
      <c r="I48" s="70"/>
      <c r="J48" s="188"/>
      <c r="K48" s="189"/>
      <c r="L48" s="190"/>
      <c r="M48" s="191"/>
      <c r="N48" s="192"/>
      <c r="O48" s="193"/>
      <c r="P48" s="305">
        <v>10129.9</v>
      </c>
      <c r="Q48" s="306">
        <v>5</v>
      </c>
      <c r="R48" s="307">
        <v>0.375</v>
      </c>
      <c r="S48" s="309">
        <v>17220.5</v>
      </c>
      <c r="T48" s="306">
        <v>10</v>
      </c>
      <c r="U48" s="307">
        <v>0.65972222222222221</v>
      </c>
      <c r="V48" s="309">
        <v>13894.1</v>
      </c>
      <c r="W48" s="306">
        <v>8</v>
      </c>
      <c r="X48" s="307">
        <v>0.54166666666666663</v>
      </c>
      <c r="Y48" s="410">
        <f>P48+S48+V48</f>
        <v>41244.5</v>
      </c>
    </row>
    <row r="49" spans="1:25" s="78" customFormat="1" outlineLevel="2">
      <c r="A49" s="134" t="s">
        <v>133</v>
      </c>
      <c r="B49" s="134"/>
      <c r="C49" s="391"/>
      <c r="D49" s="94">
        <v>0</v>
      </c>
      <c r="E49" s="94">
        <f t="shared" si="51"/>
        <v>0</v>
      </c>
      <c r="F49" s="95">
        <f t="shared" si="30"/>
        <v>0</v>
      </c>
      <c r="G49" s="69">
        <f t="shared" si="52"/>
        <v>0</v>
      </c>
      <c r="H49" s="69">
        <f t="shared" si="53"/>
        <v>0</v>
      </c>
      <c r="I49" s="70"/>
      <c r="J49" s="188"/>
      <c r="K49" s="189"/>
      <c r="L49" s="190"/>
      <c r="M49" s="191"/>
      <c r="N49" s="192"/>
      <c r="O49" s="193"/>
      <c r="P49" s="305"/>
      <c r="Q49" s="306"/>
      <c r="R49" s="307"/>
      <c r="S49" s="194"/>
      <c r="T49" s="192"/>
      <c r="U49" s="193"/>
      <c r="V49" s="194"/>
      <c r="W49" s="192"/>
      <c r="X49" s="193"/>
    </row>
    <row r="50" spans="1:25" s="78" customFormat="1" outlineLevel="2">
      <c r="A50" s="134" t="s">
        <v>213</v>
      </c>
      <c r="B50" s="134"/>
      <c r="C50" s="391"/>
      <c r="D50" s="94">
        <v>0</v>
      </c>
      <c r="E50" s="94">
        <f t="shared" si="51"/>
        <v>0</v>
      </c>
      <c r="F50" s="95">
        <f t="shared" si="30"/>
        <v>0</v>
      </c>
      <c r="G50" s="69">
        <f t="shared" si="52"/>
        <v>0</v>
      </c>
      <c r="H50" s="69">
        <f t="shared" si="53"/>
        <v>0</v>
      </c>
      <c r="I50" s="70"/>
      <c r="J50" s="188"/>
      <c r="K50" s="189"/>
      <c r="L50" s="190"/>
      <c r="M50" s="191"/>
      <c r="N50" s="192"/>
      <c r="O50" s="193"/>
      <c r="P50" s="191"/>
      <c r="Q50" s="192"/>
      <c r="R50" s="193"/>
      <c r="S50" s="194"/>
      <c r="T50" s="192"/>
      <c r="U50" s="193"/>
      <c r="V50" s="194"/>
      <c r="W50" s="192"/>
      <c r="X50" s="193"/>
    </row>
    <row r="51" spans="1:25">
      <c r="A51" s="67" t="s">
        <v>38</v>
      </c>
      <c r="B51" s="67"/>
      <c r="C51" s="371"/>
      <c r="D51" s="100">
        <f>SUM(D52:D53)</f>
        <v>0</v>
      </c>
      <c r="E51" s="100">
        <f>SUM(E52:E53)</f>
        <v>0</v>
      </c>
      <c r="F51" s="100">
        <f>SUM(F52:F53)</f>
        <v>0</v>
      </c>
      <c r="G51" s="60">
        <f>SUM(G52:G53)</f>
        <v>0</v>
      </c>
      <c r="H51" s="60">
        <f>SUM(H52:H53)</f>
        <v>0</v>
      </c>
      <c r="I51" s="37"/>
      <c r="J51" s="59">
        <f t="shared" ref="J51:X51" si="54">SUM(J52:J53)</f>
        <v>0</v>
      </c>
      <c r="K51" s="60">
        <f t="shared" si="54"/>
        <v>0</v>
      </c>
      <c r="L51" s="60">
        <f t="shared" si="54"/>
        <v>0</v>
      </c>
      <c r="M51" s="59">
        <f t="shared" si="54"/>
        <v>0</v>
      </c>
      <c r="N51" s="60">
        <f t="shared" si="54"/>
        <v>0</v>
      </c>
      <c r="O51" s="60">
        <f t="shared" si="54"/>
        <v>0</v>
      </c>
      <c r="P51" s="59">
        <f t="shared" si="54"/>
        <v>0</v>
      </c>
      <c r="Q51" s="60">
        <f t="shared" si="54"/>
        <v>0</v>
      </c>
      <c r="R51" s="60">
        <f t="shared" si="54"/>
        <v>0</v>
      </c>
      <c r="S51" s="59">
        <f t="shared" si="54"/>
        <v>0</v>
      </c>
      <c r="T51" s="60">
        <f t="shared" si="54"/>
        <v>0</v>
      </c>
      <c r="U51" s="60">
        <f t="shared" si="54"/>
        <v>0</v>
      </c>
      <c r="V51" s="59">
        <f t="shared" si="54"/>
        <v>0</v>
      </c>
      <c r="W51" s="60">
        <f t="shared" si="54"/>
        <v>0</v>
      </c>
      <c r="X51" s="60">
        <f t="shared" si="54"/>
        <v>0</v>
      </c>
    </row>
    <row r="52" spans="1:25" outlineLevel="2">
      <c r="A52" s="134" t="s">
        <v>198</v>
      </c>
      <c r="B52" s="134"/>
      <c r="C52" s="367"/>
      <c r="D52" s="94">
        <v>0</v>
      </c>
      <c r="E52" s="94">
        <f t="shared" si="22"/>
        <v>0</v>
      </c>
      <c r="F52" s="95">
        <f t="shared" si="30"/>
        <v>0</v>
      </c>
      <c r="G52" s="69">
        <f t="shared" ref="G52:H53" si="55">+K52+N52+Q52+T52+W52</f>
        <v>0</v>
      </c>
      <c r="H52" s="69">
        <f t="shared" si="55"/>
        <v>0</v>
      </c>
      <c r="I52" s="37"/>
      <c r="J52" s="181"/>
      <c r="K52" s="182"/>
      <c r="L52" s="183"/>
      <c r="M52" s="184"/>
      <c r="N52" s="185"/>
      <c r="O52" s="186"/>
      <c r="P52" s="184"/>
      <c r="Q52" s="185"/>
      <c r="R52" s="186"/>
      <c r="S52" s="187"/>
      <c r="T52" s="185"/>
      <c r="U52" s="186"/>
      <c r="V52" s="187"/>
      <c r="W52" s="185"/>
      <c r="X52" s="186"/>
    </row>
    <row r="53" spans="1:25" s="78" customFormat="1" outlineLevel="2">
      <c r="A53" s="134" t="s">
        <v>200</v>
      </c>
      <c r="B53" s="134"/>
      <c r="C53" s="367"/>
      <c r="D53" s="94">
        <v>0</v>
      </c>
      <c r="E53" s="94">
        <f t="shared" si="22"/>
        <v>0</v>
      </c>
      <c r="F53" s="95">
        <f t="shared" si="30"/>
        <v>0</v>
      </c>
      <c r="G53" s="69">
        <f t="shared" si="55"/>
        <v>0</v>
      </c>
      <c r="H53" s="69">
        <f t="shared" si="55"/>
        <v>0</v>
      </c>
      <c r="I53" s="70"/>
      <c r="J53" s="188"/>
      <c r="K53" s="189"/>
      <c r="L53" s="190"/>
      <c r="M53" s="191"/>
      <c r="N53" s="192"/>
      <c r="O53" s="193"/>
      <c r="P53" s="191"/>
      <c r="Q53" s="192"/>
      <c r="R53" s="193"/>
      <c r="S53" s="194"/>
      <c r="T53" s="192"/>
      <c r="U53" s="193"/>
      <c r="V53" s="194"/>
      <c r="W53" s="192"/>
      <c r="X53" s="193"/>
    </row>
    <row r="54" spans="1:25">
      <c r="A54" s="47" t="s">
        <v>40</v>
      </c>
      <c r="B54" s="47"/>
      <c r="C54" s="372"/>
      <c r="D54" s="101">
        <f>SUM(D55:D56)</f>
        <v>0</v>
      </c>
      <c r="E54" s="101">
        <f>SUM(E55:E56)</f>
        <v>0</v>
      </c>
      <c r="F54" s="101">
        <f>SUM(F55:F56)</f>
        <v>0</v>
      </c>
      <c r="G54" s="49">
        <f>SUM(G55:G56)</f>
        <v>0</v>
      </c>
      <c r="H54" s="49">
        <f>SUM(H55:H56)</f>
        <v>0</v>
      </c>
      <c r="I54" s="37"/>
      <c r="J54" s="48">
        <f t="shared" ref="J54:X54" si="56">SUM(J55:J56)</f>
        <v>0</v>
      </c>
      <c r="K54" s="49">
        <f t="shared" si="56"/>
        <v>0</v>
      </c>
      <c r="L54" s="49">
        <f t="shared" si="56"/>
        <v>0</v>
      </c>
      <c r="M54" s="48">
        <f t="shared" si="56"/>
        <v>0</v>
      </c>
      <c r="N54" s="49">
        <f t="shared" si="56"/>
        <v>0</v>
      </c>
      <c r="O54" s="49">
        <f t="shared" si="56"/>
        <v>0</v>
      </c>
      <c r="P54" s="48">
        <f t="shared" si="56"/>
        <v>0</v>
      </c>
      <c r="Q54" s="49">
        <f t="shared" si="56"/>
        <v>0</v>
      </c>
      <c r="R54" s="49">
        <f t="shared" si="56"/>
        <v>0</v>
      </c>
      <c r="S54" s="48">
        <f t="shared" si="56"/>
        <v>0</v>
      </c>
      <c r="T54" s="49">
        <f t="shared" si="56"/>
        <v>0</v>
      </c>
      <c r="U54" s="49">
        <f t="shared" si="56"/>
        <v>0</v>
      </c>
      <c r="V54" s="48">
        <f t="shared" si="56"/>
        <v>0</v>
      </c>
      <c r="W54" s="49">
        <f t="shared" si="56"/>
        <v>0</v>
      </c>
      <c r="X54" s="49">
        <f t="shared" si="56"/>
        <v>0</v>
      </c>
    </row>
    <row r="55" spans="1:25" s="226" customFormat="1" outlineLevel="2">
      <c r="A55" s="165" t="s">
        <v>198</v>
      </c>
      <c r="B55" s="315" t="s">
        <v>190</v>
      </c>
      <c r="C55" s="396">
        <v>1</v>
      </c>
      <c r="D55" s="215">
        <v>0</v>
      </c>
      <c r="E55" s="215">
        <f t="shared" si="22"/>
        <v>0</v>
      </c>
      <c r="F55" s="216">
        <v>0</v>
      </c>
      <c r="G55" s="217">
        <f t="shared" ref="G55:H56" si="57">+K55+N55+Q55+T55+W55</f>
        <v>0</v>
      </c>
      <c r="H55" s="217">
        <f t="shared" si="57"/>
        <v>0</v>
      </c>
      <c r="I55" s="218"/>
      <c r="J55" s="219"/>
      <c r="K55" s="220"/>
      <c r="L55" s="221"/>
      <c r="M55" s="222"/>
      <c r="N55" s="223"/>
      <c r="O55" s="224"/>
      <c r="P55" s="222"/>
      <c r="Q55" s="223"/>
      <c r="R55" s="224"/>
      <c r="S55" s="225"/>
      <c r="T55" s="223"/>
      <c r="U55" s="224"/>
      <c r="V55" s="225"/>
      <c r="W55" s="223"/>
      <c r="X55" s="224"/>
    </row>
    <row r="56" spans="1:25" s="78" customFormat="1" outlineLevel="2">
      <c r="A56" s="134" t="s">
        <v>200</v>
      </c>
      <c r="B56" s="68"/>
      <c r="C56" s="373"/>
      <c r="D56" s="94">
        <v>0</v>
      </c>
      <c r="E56" s="94">
        <f t="shared" si="22"/>
        <v>0</v>
      </c>
      <c r="F56" s="95">
        <f t="shared" ref="F56" si="58">+E56-D56</f>
        <v>0</v>
      </c>
      <c r="G56" s="69">
        <f t="shared" si="57"/>
        <v>0</v>
      </c>
      <c r="H56" s="69">
        <f t="shared" si="57"/>
        <v>0</v>
      </c>
      <c r="I56" s="70"/>
      <c r="J56" s="188"/>
      <c r="K56" s="189"/>
      <c r="L56" s="190"/>
      <c r="M56" s="191"/>
      <c r="N56" s="192"/>
      <c r="O56" s="193"/>
      <c r="P56" s="191"/>
      <c r="Q56" s="192"/>
      <c r="R56" s="193"/>
      <c r="S56" s="194"/>
      <c r="T56" s="192"/>
      <c r="U56" s="193"/>
      <c r="V56" s="194"/>
      <c r="W56" s="192"/>
      <c r="X56" s="193"/>
    </row>
    <row r="57" spans="1:25">
      <c r="A57" s="198" t="s">
        <v>42</v>
      </c>
      <c r="B57" s="198"/>
      <c r="C57" s="374"/>
      <c r="D57" s="199">
        <f>SUM(D58:D59)</f>
        <v>0</v>
      </c>
      <c r="E57" s="199">
        <f>SUM(E58:E59)</f>
        <v>0</v>
      </c>
      <c r="F57" s="199">
        <f>SUM(F58:F59)</f>
        <v>0</v>
      </c>
      <c r="G57" s="200">
        <f>SUM(G58:G59)</f>
        <v>0</v>
      </c>
      <c r="H57" s="200">
        <f>SUM(H58:H59)</f>
        <v>0</v>
      </c>
      <c r="I57" s="37"/>
      <c r="J57" s="211">
        <f t="shared" ref="J57:X57" si="59">SUM(J58:J59)</f>
        <v>0</v>
      </c>
      <c r="K57" s="200">
        <f t="shared" si="59"/>
        <v>0</v>
      </c>
      <c r="L57" s="200">
        <f t="shared" si="59"/>
        <v>0</v>
      </c>
      <c r="M57" s="211">
        <f t="shared" si="59"/>
        <v>0</v>
      </c>
      <c r="N57" s="200">
        <f t="shared" si="59"/>
        <v>0</v>
      </c>
      <c r="O57" s="200">
        <f t="shared" si="59"/>
        <v>0</v>
      </c>
      <c r="P57" s="211">
        <f t="shared" si="59"/>
        <v>0</v>
      </c>
      <c r="Q57" s="200">
        <f t="shared" si="59"/>
        <v>0</v>
      </c>
      <c r="R57" s="200">
        <f t="shared" si="59"/>
        <v>0</v>
      </c>
      <c r="S57" s="211">
        <f t="shared" si="59"/>
        <v>0</v>
      </c>
      <c r="T57" s="200">
        <f t="shared" si="59"/>
        <v>0</v>
      </c>
      <c r="U57" s="200">
        <f t="shared" si="59"/>
        <v>0</v>
      </c>
      <c r="V57" s="211">
        <f t="shared" si="59"/>
        <v>0</v>
      </c>
      <c r="W57" s="200">
        <f t="shared" si="59"/>
        <v>0</v>
      </c>
      <c r="X57" s="200">
        <f t="shared" si="59"/>
        <v>0</v>
      </c>
    </row>
    <row r="58" spans="1:25" s="78" customFormat="1" outlineLevel="2">
      <c r="A58" s="134" t="s">
        <v>198</v>
      </c>
      <c r="B58" s="68"/>
      <c r="C58" s="373"/>
      <c r="D58" s="94">
        <v>0</v>
      </c>
      <c r="E58" s="94">
        <f t="shared" si="22"/>
        <v>0</v>
      </c>
      <c r="F58" s="95">
        <f t="shared" ref="F58:F59" si="60">+E58-D58</f>
        <v>0</v>
      </c>
      <c r="G58" s="69">
        <f t="shared" ref="G58:H59" si="61">+K58+N58+Q58+T58+W58</f>
        <v>0</v>
      </c>
      <c r="H58" s="69">
        <f t="shared" si="61"/>
        <v>0</v>
      </c>
      <c r="I58" s="70"/>
      <c r="J58" s="188"/>
      <c r="K58" s="189"/>
      <c r="L58" s="190"/>
      <c r="M58" s="191"/>
      <c r="N58" s="192"/>
      <c r="O58" s="193"/>
      <c r="P58" s="191"/>
      <c r="Q58" s="192"/>
      <c r="R58" s="193"/>
      <c r="S58" s="194"/>
      <c r="T58" s="192"/>
      <c r="U58" s="193"/>
      <c r="V58" s="194"/>
      <c r="W58" s="192"/>
      <c r="X58" s="193"/>
    </row>
    <row r="59" spans="1:25" s="78" customFormat="1" outlineLevel="2">
      <c r="A59" s="134" t="s">
        <v>200</v>
      </c>
      <c r="B59" s="68"/>
      <c r="C59" s="373"/>
      <c r="D59" s="94">
        <v>0</v>
      </c>
      <c r="E59" s="94">
        <f t="shared" si="22"/>
        <v>0</v>
      </c>
      <c r="F59" s="95">
        <f t="shared" si="60"/>
        <v>0</v>
      </c>
      <c r="G59" s="69">
        <f t="shared" si="61"/>
        <v>0</v>
      </c>
      <c r="H59" s="69">
        <f t="shared" si="61"/>
        <v>0</v>
      </c>
      <c r="I59" s="70"/>
      <c r="J59" s="188"/>
      <c r="K59" s="189"/>
      <c r="L59" s="190"/>
      <c r="M59" s="191"/>
      <c r="N59" s="192"/>
      <c r="O59" s="193"/>
      <c r="P59" s="191"/>
      <c r="Q59" s="192"/>
      <c r="R59" s="193"/>
      <c r="S59" s="194"/>
      <c r="T59" s="192"/>
      <c r="U59" s="193"/>
      <c r="V59" s="194"/>
      <c r="W59" s="192"/>
      <c r="X59" s="193"/>
    </row>
    <row r="60" spans="1:25">
      <c r="A60" s="198" t="s">
        <v>44</v>
      </c>
      <c r="B60" s="198"/>
      <c r="C60" s="374"/>
      <c r="D60" s="199">
        <f>SUM(D61:D68)</f>
        <v>524500</v>
      </c>
      <c r="E60" s="199">
        <f>SUM(E61:E68)</f>
        <v>228413.7</v>
      </c>
      <c r="F60" s="199">
        <f>SUM(F61:F68)</f>
        <v>-296086.3</v>
      </c>
      <c r="G60" s="200">
        <f>SUM(G61:G62)</f>
        <v>182</v>
      </c>
      <c r="H60" s="200">
        <f>SUM(H61:H62)</f>
        <v>10.454861111111111</v>
      </c>
      <c r="I60" s="37"/>
      <c r="J60" s="211">
        <f t="shared" ref="J60:X60" si="62">SUM(J61:J62)</f>
        <v>4945.6000000000004</v>
      </c>
      <c r="K60" s="200">
        <f t="shared" si="62"/>
        <v>4</v>
      </c>
      <c r="L60" s="200">
        <f t="shared" si="62"/>
        <v>0.29166666666666669</v>
      </c>
      <c r="M60" s="211">
        <f t="shared" si="62"/>
        <v>47531.4</v>
      </c>
      <c r="N60" s="200">
        <f t="shared" si="62"/>
        <v>42</v>
      </c>
      <c r="O60" s="200">
        <f t="shared" si="62"/>
        <v>2.4930555555555558</v>
      </c>
      <c r="P60" s="211">
        <f t="shared" si="62"/>
        <v>44419.7</v>
      </c>
      <c r="Q60" s="200">
        <f t="shared" si="62"/>
        <v>39</v>
      </c>
      <c r="R60" s="200">
        <f t="shared" si="62"/>
        <v>2.083333333333333</v>
      </c>
      <c r="S60" s="211">
        <f t="shared" si="62"/>
        <v>47476.2</v>
      </c>
      <c r="T60" s="200">
        <f t="shared" si="62"/>
        <v>39</v>
      </c>
      <c r="U60" s="200">
        <f t="shared" si="62"/>
        <v>2.5416666666666665</v>
      </c>
      <c r="V60" s="211">
        <f t="shared" si="62"/>
        <v>64029.599999999999</v>
      </c>
      <c r="W60" s="200">
        <f t="shared" si="62"/>
        <v>58</v>
      </c>
      <c r="X60" s="200">
        <f t="shared" si="62"/>
        <v>3.0451388888888893</v>
      </c>
    </row>
    <row r="61" spans="1:25" s="226" customFormat="1" outlineLevel="2">
      <c r="A61" s="165" t="s">
        <v>227</v>
      </c>
      <c r="B61" s="315" t="s">
        <v>206</v>
      </c>
      <c r="C61" s="396">
        <v>1</v>
      </c>
      <c r="D61" s="215">
        <v>200000</v>
      </c>
      <c r="E61" s="215">
        <f t="shared" si="22"/>
        <v>145983.20000000001</v>
      </c>
      <c r="F61" s="216">
        <f t="shared" si="30"/>
        <v>-54016.799999999988</v>
      </c>
      <c r="G61" s="217">
        <f t="shared" ref="G61:H63" si="63">+K61+N61+Q61+T61+W61</f>
        <v>159</v>
      </c>
      <c r="H61" s="217">
        <f t="shared" si="63"/>
        <v>8.1458333333333339</v>
      </c>
      <c r="I61" s="218"/>
      <c r="J61" s="219">
        <v>4945.6000000000004</v>
      </c>
      <c r="K61" s="220">
        <v>4</v>
      </c>
      <c r="L61" s="221">
        <v>0.29166666666666669</v>
      </c>
      <c r="M61" s="222">
        <v>37463.800000000003</v>
      </c>
      <c r="N61" s="223">
        <v>38</v>
      </c>
      <c r="O61" s="224">
        <v>2.1319444444444446</v>
      </c>
      <c r="P61" s="222">
        <v>29097.200000000001</v>
      </c>
      <c r="Q61" s="223">
        <v>33</v>
      </c>
      <c r="R61" s="224">
        <v>1.5208333333333333</v>
      </c>
      <c r="S61" s="225">
        <v>37516.6</v>
      </c>
      <c r="T61" s="223">
        <v>37</v>
      </c>
      <c r="U61" s="224">
        <v>2.1805555555555554</v>
      </c>
      <c r="V61" s="225">
        <v>36960</v>
      </c>
      <c r="W61" s="223">
        <v>47</v>
      </c>
      <c r="X61" s="224">
        <v>2.0208333333333335</v>
      </c>
      <c r="Y61" s="294">
        <f>J61+M61+P61+S61+V61</f>
        <v>145983.20000000001</v>
      </c>
    </row>
    <row r="62" spans="1:25" s="226" customFormat="1" outlineLevel="2">
      <c r="A62" s="165" t="s">
        <v>126</v>
      </c>
      <c r="B62" s="315" t="s">
        <v>231</v>
      </c>
      <c r="C62" s="412">
        <v>0.25</v>
      </c>
      <c r="D62" s="215">
        <f>450000*0.25</f>
        <v>112500</v>
      </c>
      <c r="E62" s="215">
        <f t="shared" si="22"/>
        <v>62419.299999999996</v>
      </c>
      <c r="F62" s="216">
        <f t="shared" si="30"/>
        <v>-50080.700000000004</v>
      </c>
      <c r="G62" s="217">
        <f t="shared" si="63"/>
        <v>23</v>
      </c>
      <c r="H62" s="217">
        <f t="shared" si="63"/>
        <v>2.3090277777777777</v>
      </c>
      <c r="I62" s="218"/>
      <c r="J62" s="219"/>
      <c r="K62" s="220"/>
      <c r="L62" s="221"/>
      <c r="M62" s="222">
        <v>10067.6</v>
      </c>
      <c r="N62" s="223">
        <v>4</v>
      </c>
      <c r="O62" s="224">
        <v>0.3611111111111111</v>
      </c>
      <c r="P62" s="222">
        <v>15322.5</v>
      </c>
      <c r="Q62" s="223">
        <v>6</v>
      </c>
      <c r="R62" s="224">
        <v>0.5625</v>
      </c>
      <c r="S62" s="225">
        <v>9959.6</v>
      </c>
      <c r="T62" s="223">
        <v>2</v>
      </c>
      <c r="U62" s="224">
        <v>0.3611111111111111</v>
      </c>
      <c r="V62" s="225">
        <v>27069.599999999999</v>
      </c>
      <c r="W62" s="223">
        <v>11</v>
      </c>
      <c r="X62" s="224">
        <v>1.0243055555555556</v>
      </c>
      <c r="Y62" s="310">
        <f>M62+P62+S62+V62</f>
        <v>62419.299999999996</v>
      </c>
    </row>
    <row r="63" spans="1:25" s="226" customFormat="1" outlineLevel="2">
      <c r="A63" s="165" t="s">
        <v>232</v>
      </c>
      <c r="B63" s="315" t="s">
        <v>233</v>
      </c>
      <c r="C63" s="396">
        <v>1</v>
      </c>
      <c r="D63" s="215">
        <v>200000</v>
      </c>
      <c r="E63" s="215">
        <f>+J63+M63+P63+S63+V63</f>
        <v>20011.199999999997</v>
      </c>
      <c r="F63" s="216">
        <f t="shared" si="30"/>
        <v>-179988.8</v>
      </c>
      <c r="G63" s="217">
        <f t="shared" si="63"/>
        <v>29</v>
      </c>
      <c r="H63" s="217">
        <f t="shared" si="63"/>
        <v>1</v>
      </c>
      <c r="I63" s="218"/>
      <c r="J63" s="219"/>
      <c r="K63" s="220"/>
      <c r="L63" s="221"/>
      <c r="M63" s="222">
        <v>4169</v>
      </c>
      <c r="N63" s="223">
        <v>10</v>
      </c>
      <c r="O63" s="224">
        <v>0.20833333333333334</v>
      </c>
      <c r="P63" s="222">
        <v>7504.2</v>
      </c>
      <c r="Q63" s="223">
        <v>9</v>
      </c>
      <c r="R63" s="224">
        <v>0.375</v>
      </c>
      <c r="S63" s="225">
        <v>6670.4</v>
      </c>
      <c r="T63" s="223">
        <v>8</v>
      </c>
      <c r="U63" s="224">
        <v>0.33333333333333331</v>
      </c>
      <c r="V63" s="225">
        <v>1667.6</v>
      </c>
      <c r="W63" s="223">
        <v>2</v>
      </c>
      <c r="X63" s="224">
        <v>8.3333333333333329E-2</v>
      </c>
      <c r="Y63" s="310">
        <f>M63+P63+S63+V63</f>
        <v>20011.199999999997</v>
      </c>
    </row>
    <row r="64" spans="1:25" s="226" customFormat="1" outlineLevel="2">
      <c r="A64" s="165" t="s">
        <v>211</v>
      </c>
      <c r="B64" s="315" t="s">
        <v>234</v>
      </c>
      <c r="C64" s="412">
        <v>0.2</v>
      </c>
      <c r="D64" s="215">
        <v>12000</v>
      </c>
      <c r="E64" s="215">
        <v>0</v>
      </c>
      <c r="F64" s="216">
        <f t="shared" si="30"/>
        <v>-12000</v>
      </c>
      <c r="G64" s="217">
        <f t="shared" ref="G64" si="64">+K64+N64+Q64+T64+W64</f>
        <v>0</v>
      </c>
      <c r="H64" s="217">
        <f t="shared" ref="H64" si="65">+L64+O64+R64+U64+X64</f>
        <v>0</v>
      </c>
      <c r="I64" s="218"/>
      <c r="J64" s="219"/>
      <c r="K64" s="220"/>
      <c r="L64" s="221"/>
      <c r="M64" s="222"/>
      <c r="N64" s="223"/>
      <c r="O64" s="224"/>
      <c r="P64" s="222"/>
      <c r="Q64" s="223"/>
      <c r="R64" s="224"/>
      <c r="S64" s="225"/>
      <c r="T64" s="223"/>
      <c r="U64" s="224"/>
      <c r="V64" s="225"/>
      <c r="W64" s="223"/>
      <c r="X64" s="224"/>
      <c r="Y64" s="310"/>
    </row>
    <row r="65" spans="1:25" s="226" customFormat="1" outlineLevel="2">
      <c r="A65" s="134" t="s">
        <v>235</v>
      </c>
      <c r="B65" s="315"/>
      <c r="C65" s="412"/>
      <c r="D65" s="215"/>
      <c r="E65" s="215"/>
      <c r="F65" s="216"/>
      <c r="G65" s="217"/>
      <c r="H65" s="217"/>
      <c r="I65" s="218"/>
      <c r="J65" s="219"/>
      <c r="K65" s="220"/>
      <c r="L65" s="221"/>
      <c r="M65" s="222"/>
      <c r="N65" s="223"/>
      <c r="O65" s="224"/>
      <c r="P65" s="222"/>
      <c r="Q65" s="223"/>
      <c r="R65" s="224"/>
      <c r="S65" s="225"/>
      <c r="T65" s="223"/>
      <c r="U65" s="224"/>
      <c r="V65" s="225"/>
      <c r="W65" s="223"/>
      <c r="X65" s="224"/>
      <c r="Y65" s="310"/>
    </row>
    <row r="66" spans="1:25" s="226" customFormat="1" outlineLevel="2">
      <c r="A66" s="134" t="s">
        <v>235</v>
      </c>
      <c r="B66" s="68"/>
      <c r="C66" s="373"/>
      <c r="D66" s="94"/>
      <c r="E66" s="94"/>
      <c r="F66" s="95"/>
      <c r="G66" s="69"/>
      <c r="H66" s="69"/>
      <c r="I66" s="218"/>
      <c r="J66" s="219"/>
      <c r="K66" s="220"/>
      <c r="L66" s="221"/>
      <c r="M66" s="222"/>
      <c r="N66" s="223"/>
      <c r="O66" s="224"/>
      <c r="P66" s="222"/>
      <c r="Q66" s="223"/>
      <c r="R66" s="224"/>
      <c r="S66" s="225"/>
      <c r="T66" s="223"/>
      <c r="U66" s="224"/>
      <c r="V66" s="225"/>
      <c r="W66" s="223"/>
      <c r="X66" s="224"/>
      <c r="Y66" s="310"/>
    </row>
    <row r="67" spans="1:25" s="226" customFormat="1" outlineLevel="2">
      <c r="A67" s="134" t="s">
        <v>235</v>
      </c>
      <c r="B67" s="68"/>
      <c r="C67" s="373"/>
      <c r="D67" s="94"/>
      <c r="E67" s="94"/>
      <c r="F67" s="95"/>
      <c r="G67" s="69"/>
      <c r="H67" s="69"/>
      <c r="I67" s="218"/>
      <c r="J67" s="219"/>
      <c r="K67" s="220"/>
      <c r="L67" s="221"/>
      <c r="M67" s="222"/>
      <c r="N67" s="223"/>
      <c r="O67" s="224"/>
      <c r="P67" s="222"/>
      <c r="Q67" s="223"/>
      <c r="R67" s="224"/>
      <c r="S67" s="225"/>
      <c r="T67" s="223"/>
      <c r="U67" s="224"/>
      <c r="V67" s="225"/>
      <c r="W67" s="223"/>
      <c r="X67" s="224"/>
      <c r="Y67" s="310"/>
    </row>
    <row r="68" spans="1:25" s="226" customFormat="1" outlineLevel="2">
      <c r="A68" s="134" t="s">
        <v>235</v>
      </c>
      <c r="B68" s="68"/>
      <c r="C68" s="413"/>
      <c r="D68" s="94"/>
      <c r="E68" s="94"/>
      <c r="F68" s="95"/>
      <c r="G68" s="69"/>
      <c r="H68" s="69"/>
      <c r="I68" s="218"/>
      <c r="J68" s="219"/>
      <c r="K68" s="220"/>
      <c r="L68" s="221"/>
      <c r="M68" s="222"/>
      <c r="N68" s="223"/>
      <c r="O68" s="224"/>
      <c r="P68" s="222"/>
      <c r="Q68" s="223"/>
      <c r="R68" s="224"/>
      <c r="S68" s="225"/>
      <c r="T68" s="223"/>
      <c r="U68" s="224"/>
      <c r="V68" s="225"/>
      <c r="W68" s="223"/>
      <c r="X68" s="224"/>
      <c r="Y68" s="310"/>
    </row>
    <row r="69" spans="1:25" s="78" customFormat="1" outlineLevel="2">
      <c r="A69" s="398"/>
      <c r="B69" s="399"/>
      <c r="C69" s="400"/>
      <c r="D69" s="401"/>
      <c r="E69" s="401"/>
      <c r="F69" s="402"/>
      <c r="G69" s="79"/>
      <c r="H69" s="79"/>
      <c r="I69" s="80"/>
      <c r="J69" s="403"/>
      <c r="K69" s="404"/>
      <c r="L69" s="405"/>
      <c r="M69" s="406"/>
      <c r="N69" s="407"/>
      <c r="O69" s="408"/>
      <c r="P69" s="406"/>
      <c r="Q69" s="407"/>
      <c r="R69" s="408"/>
      <c r="S69" s="409"/>
      <c r="T69" s="407"/>
      <c r="U69" s="408"/>
      <c r="V69" s="409"/>
      <c r="W69" s="407"/>
      <c r="X69" s="408"/>
    </row>
    <row r="70" spans="1:25" ht="18">
      <c r="A70" s="138" t="s">
        <v>45</v>
      </c>
      <c r="B70" s="363"/>
      <c r="C70" s="375"/>
      <c r="D70" s="102">
        <f>+D60+D51+D39+D27+D15+D3+D57+D54</f>
        <v>4859500</v>
      </c>
      <c r="E70" s="102">
        <f>+E60+E51+E39+E27+E15+E3+E57+E54</f>
        <v>3652948.1119999997</v>
      </c>
      <c r="F70" s="102">
        <f>+F60+F51+F39+F27+F15+F3+F57+F54</f>
        <v>-1206551.888</v>
      </c>
      <c r="G70" s="90">
        <f>+G60+G51+G39+G27+G15+G3+G57+G54</f>
        <v>3125</v>
      </c>
      <c r="H70" s="90">
        <f>+H60+H51+H39+H27+H15+H3+H57+H54</f>
        <v>193.16666666666669</v>
      </c>
      <c r="I70" s="38"/>
      <c r="J70" s="196">
        <f t="shared" ref="J70:X70" si="66">+J60+J51+J39+J27+J15+J3+J57+J54</f>
        <v>88004.77</v>
      </c>
      <c r="K70" s="197">
        <f t="shared" si="66"/>
        <v>74</v>
      </c>
      <c r="L70" s="197">
        <f t="shared" si="66"/>
        <v>4.9444444444444402</v>
      </c>
      <c r="M70" s="196">
        <f t="shared" si="66"/>
        <v>904232.35</v>
      </c>
      <c r="N70" s="197">
        <f t="shared" si="66"/>
        <v>772</v>
      </c>
      <c r="O70" s="197">
        <f t="shared" si="66"/>
        <v>47.767361111111114</v>
      </c>
      <c r="P70" s="196">
        <f t="shared" si="66"/>
        <v>929305.14</v>
      </c>
      <c r="Q70" s="197">
        <f t="shared" si="66"/>
        <v>781</v>
      </c>
      <c r="R70" s="197">
        <f t="shared" si="66"/>
        <v>48.2013888888889</v>
      </c>
      <c r="S70" s="196">
        <f t="shared" si="66"/>
        <v>892196.09000000008</v>
      </c>
      <c r="T70" s="197">
        <f t="shared" si="66"/>
        <v>762</v>
      </c>
      <c r="U70" s="197">
        <f t="shared" si="66"/>
        <v>48.111111111111114</v>
      </c>
      <c r="V70" s="196">
        <f t="shared" si="66"/>
        <v>819198.56200000003</v>
      </c>
      <c r="W70" s="197">
        <f t="shared" si="66"/>
        <v>736</v>
      </c>
      <c r="X70" s="197">
        <f t="shared" si="66"/>
        <v>44.142361111111107</v>
      </c>
    </row>
    <row r="72" spans="1:25" ht="18">
      <c r="A72" s="137" t="s">
        <v>46</v>
      </c>
      <c r="B72" s="137"/>
      <c r="C72" s="376"/>
      <c r="D72" s="103" t="s">
        <v>7</v>
      </c>
      <c r="E72" s="103" t="s">
        <v>8</v>
      </c>
      <c r="F72" s="104" t="s">
        <v>9</v>
      </c>
      <c r="G72" s="33"/>
      <c r="H72" s="33"/>
      <c r="I72" s="39"/>
      <c r="L72" s="176"/>
      <c r="Y72" s="295">
        <f>Y4+Y5+Y7+Y8+Y9+Y10+Y12+Y16+Y17+Y18+Y19+Y21+Y24+Y28+Y29+Y30+Y31+Y33+Y36+Y40+Y41+Y45+Y48+Y61+Y62+Y68</f>
        <v>3485312.7119999994</v>
      </c>
    </row>
    <row r="73" spans="1:25">
      <c r="A73" s="87" t="s">
        <v>47</v>
      </c>
      <c r="B73" s="87"/>
      <c r="C73" s="377"/>
      <c r="D73" s="105">
        <f>+D74+D86+D98+D110+D122+D131+D125+D128</f>
        <v>1986550</v>
      </c>
      <c r="E73" s="105">
        <f>+E74+E86+E98+E110+E122+E131+E125+E128</f>
        <v>2024271</v>
      </c>
      <c r="F73" s="106">
        <f>+E73-D73</f>
        <v>37721</v>
      </c>
    </row>
    <row r="74" spans="1:25" outlineLevel="1">
      <c r="A74" s="44" t="s">
        <v>48</v>
      </c>
      <c r="B74" s="44" t="str">
        <f>+B2</f>
        <v>jméno pracovníka</v>
      </c>
      <c r="C74" s="366" t="str">
        <f>+C2</f>
        <v>úvazek</v>
      </c>
      <c r="D74" s="107">
        <f>SUM(D75:D85)*1.34</f>
        <v>572180</v>
      </c>
      <c r="E74" s="107">
        <f>SUM(E75:E85)*1.34</f>
        <v>582431</v>
      </c>
      <c r="F74" s="108">
        <f>+E74-D74</f>
        <v>10251</v>
      </c>
    </row>
    <row r="75" spans="1:25" outlineLevel="2">
      <c r="A75" s="132" t="str">
        <f>+A4</f>
        <v>psych. sestra 1</v>
      </c>
      <c r="B75" s="132" t="str">
        <f t="shared" ref="B75:C75" si="67">+B4</f>
        <v>Náglová</v>
      </c>
      <c r="C75" s="389">
        <f t="shared" si="67"/>
        <v>1</v>
      </c>
      <c r="D75" s="93">
        <v>65000</v>
      </c>
      <c r="E75" s="93">
        <v>67550</v>
      </c>
      <c r="F75" s="109">
        <f t="shared" ref="F75:F97" si="68">+E75-D75</f>
        <v>2550</v>
      </c>
      <c r="H75" s="16"/>
      <c r="I75" s="40"/>
    </row>
    <row r="76" spans="1:25" outlineLevel="2">
      <c r="A76" s="132" t="str">
        <f t="shared" ref="A76:C76" si="69">+A5</f>
        <v>psych. sestra 2</v>
      </c>
      <c r="B76" s="132" t="str">
        <f t="shared" si="69"/>
        <v>Hajasová</v>
      </c>
      <c r="C76" s="389">
        <f t="shared" si="69"/>
        <v>1</v>
      </c>
      <c r="D76" s="93">
        <v>47000</v>
      </c>
      <c r="E76" s="93">
        <v>49550</v>
      </c>
      <c r="F76" s="109">
        <f t="shared" si="68"/>
        <v>2550</v>
      </c>
      <c r="H76" s="16"/>
      <c r="I76" s="40"/>
    </row>
    <row r="77" spans="1:25" s="175" customFormat="1" outlineLevel="2">
      <c r="A77" s="165" t="str">
        <f t="shared" ref="A77:C77" si="70">+A6</f>
        <v>všeob. sestra 5</v>
      </c>
      <c r="B77" s="165" t="str">
        <f t="shared" si="70"/>
        <v>Kostková</v>
      </c>
      <c r="C77" s="394">
        <f t="shared" si="70"/>
        <v>1</v>
      </c>
      <c r="D77" s="166">
        <v>57000</v>
      </c>
      <c r="E77" s="166">
        <v>57000</v>
      </c>
      <c r="F77" s="167">
        <f t="shared" si="68"/>
        <v>0</v>
      </c>
      <c r="G77" s="168"/>
      <c r="H77" s="168"/>
      <c r="I77" s="169"/>
      <c r="J77" s="170"/>
      <c r="K77" s="171"/>
      <c r="L77" s="228"/>
      <c r="M77" s="170"/>
      <c r="N77" s="172"/>
      <c r="O77" s="173"/>
      <c r="P77" s="170"/>
      <c r="Q77" s="172"/>
      <c r="R77" s="174"/>
      <c r="S77" s="170"/>
      <c r="T77" s="172"/>
      <c r="U77" s="174"/>
      <c r="V77" s="170"/>
      <c r="W77" s="172"/>
      <c r="X77" s="174"/>
    </row>
    <row r="78" spans="1:25" s="78" customFormat="1" outlineLevel="2">
      <c r="A78" s="132" t="str">
        <f t="shared" ref="A78:C78" si="71">+A7</f>
        <v>všeob. sestra 4</v>
      </c>
      <c r="B78" s="132" t="str">
        <f t="shared" si="71"/>
        <v>Hanzlíková</v>
      </c>
      <c r="C78" s="389">
        <f t="shared" si="71"/>
        <v>1</v>
      </c>
      <c r="D78" s="166">
        <v>65000</v>
      </c>
      <c r="E78" s="93">
        <v>67550</v>
      </c>
      <c r="F78" s="167">
        <f t="shared" si="68"/>
        <v>2550</v>
      </c>
      <c r="G78" s="79"/>
      <c r="H78" s="79"/>
      <c r="I78" s="80"/>
      <c r="J78" s="81"/>
      <c r="K78" s="82"/>
      <c r="L78" s="82"/>
      <c r="M78" s="81"/>
      <c r="N78" s="84"/>
      <c r="O78" s="85"/>
      <c r="P78" s="81"/>
      <c r="Q78" s="84"/>
      <c r="R78" s="86"/>
      <c r="S78" s="81"/>
      <c r="T78" s="84"/>
      <c r="U78" s="86"/>
      <c r="V78" s="81"/>
      <c r="W78" s="84"/>
      <c r="X78" s="86"/>
    </row>
    <row r="79" spans="1:25" s="164" customFormat="1" outlineLevel="2">
      <c r="A79" s="165" t="str">
        <f t="shared" ref="A79:C79" si="72">+A8</f>
        <v>všeob. sestra 5</v>
      </c>
      <c r="B79" s="165" t="str">
        <f t="shared" si="72"/>
        <v>Pekárová</v>
      </c>
      <c r="C79" s="394">
        <f t="shared" si="72"/>
        <v>1</v>
      </c>
      <c r="D79" s="166">
        <v>52000</v>
      </c>
      <c r="E79" s="166">
        <v>52000</v>
      </c>
      <c r="F79" s="167">
        <f t="shared" si="68"/>
        <v>0</v>
      </c>
      <c r="G79" s="157"/>
      <c r="H79" s="157"/>
      <c r="I79" s="158"/>
      <c r="J79" s="159"/>
      <c r="K79" s="160"/>
      <c r="L79" s="160"/>
      <c r="M79" s="159"/>
      <c r="N79" s="161"/>
      <c r="O79" s="162"/>
      <c r="P79" s="159"/>
      <c r="Q79" s="161"/>
      <c r="R79" s="163"/>
      <c r="S79" s="159"/>
      <c r="T79" s="161"/>
      <c r="U79" s="163"/>
      <c r="V79" s="159"/>
      <c r="W79" s="161"/>
      <c r="X79" s="163"/>
    </row>
    <row r="80" spans="1:25" outlineLevel="2">
      <c r="A80" s="132" t="str">
        <f t="shared" ref="A80:C80" si="73">+A9</f>
        <v>psychiatr 1</v>
      </c>
      <c r="B80" s="132" t="str">
        <f t="shared" si="73"/>
        <v>Gábel</v>
      </c>
      <c r="C80" s="389">
        <f t="shared" si="73"/>
        <v>0.2</v>
      </c>
      <c r="D80" s="93">
        <v>16000</v>
      </c>
      <c r="E80" s="93">
        <v>16000</v>
      </c>
      <c r="F80" s="109">
        <f t="shared" si="68"/>
        <v>0</v>
      </c>
      <c r="H80" s="16"/>
      <c r="I80" s="40"/>
      <c r="L80" s="82"/>
    </row>
    <row r="81" spans="1:24" outlineLevel="2">
      <c r="A81" s="132" t="str">
        <f t="shared" ref="A81:C81" si="74">+A10</f>
        <v xml:space="preserve">psychiatr 2 </v>
      </c>
      <c r="B81" s="132" t="str">
        <f t="shared" si="74"/>
        <v>Pfeiffer</v>
      </c>
      <c r="C81" s="389">
        <f t="shared" si="74"/>
        <v>0.5</v>
      </c>
      <c r="D81" s="93">
        <v>85000</v>
      </c>
      <c r="E81" s="93">
        <v>85000</v>
      </c>
      <c r="F81" s="109">
        <f t="shared" si="68"/>
        <v>0</v>
      </c>
      <c r="H81" s="16"/>
      <c r="I81" s="40"/>
      <c r="L81" s="82"/>
    </row>
    <row r="82" spans="1:24" s="164" customFormat="1" outlineLevel="2">
      <c r="A82" s="134" t="str">
        <f t="shared" ref="A82:C82" si="75">+A11</f>
        <v>psychiatr 3</v>
      </c>
      <c r="B82" s="134">
        <f t="shared" si="75"/>
        <v>0</v>
      </c>
      <c r="C82" s="391">
        <f t="shared" si="75"/>
        <v>0</v>
      </c>
      <c r="D82" s="155"/>
      <c r="E82" s="155"/>
      <c r="F82" s="156">
        <f t="shared" si="68"/>
        <v>0</v>
      </c>
      <c r="G82" s="157"/>
      <c r="H82" s="157"/>
      <c r="I82" s="158"/>
      <c r="J82" s="159"/>
      <c r="K82" s="160"/>
      <c r="L82" s="160"/>
      <c r="M82" s="159"/>
      <c r="N82" s="161"/>
      <c r="O82" s="162"/>
      <c r="P82" s="159"/>
      <c r="Q82" s="161"/>
      <c r="R82" s="163"/>
      <c r="S82" s="159"/>
      <c r="T82" s="161"/>
      <c r="U82" s="163"/>
      <c r="V82" s="159"/>
      <c r="W82" s="161"/>
      <c r="X82" s="163"/>
    </row>
    <row r="83" spans="1:24" s="175" customFormat="1" outlineLevel="2">
      <c r="A83" s="132" t="str">
        <f t="shared" ref="A83:C83" si="76">+A12</f>
        <v>psycholog 1</v>
      </c>
      <c r="B83" s="132" t="str">
        <f t="shared" si="76"/>
        <v>Balko</v>
      </c>
      <c r="C83" s="389">
        <f t="shared" si="76"/>
        <v>0.5</v>
      </c>
      <c r="D83" s="166">
        <v>40000</v>
      </c>
      <c r="E83" s="93">
        <v>40000</v>
      </c>
      <c r="F83" s="167">
        <f t="shared" si="68"/>
        <v>0</v>
      </c>
      <c r="G83" s="168"/>
      <c r="H83" s="168"/>
      <c r="I83" s="169"/>
      <c r="J83" s="170"/>
      <c r="K83" s="171"/>
      <c r="L83" s="171"/>
      <c r="M83" s="170"/>
      <c r="N83" s="172"/>
      <c r="O83" s="173"/>
      <c r="P83" s="170"/>
      <c r="Q83" s="172"/>
      <c r="R83" s="174"/>
      <c r="S83" s="170"/>
      <c r="T83" s="172"/>
      <c r="U83" s="174"/>
      <c r="V83" s="170"/>
      <c r="W83" s="172"/>
      <c r="X83" s="174"/>
    </row>
    <row r="84" spans="1:24" s="164" customFormat="1" outlineLevel="2">
      <c r="A84" s="134" t="str">
        <f t="shared" ref="A84:C84" si="77">+A13</f>
        <v xml:space="preserve">psycholog 2 </v>
      </c>
      <c r="B84" s="134">
        <f t="shared" si="77"/>
        <v>0</v>
      </c>
      <c r="C84" s="391">
        <f t="shared" si="77"/>
        <v>0</v>
      </c>
      <c r="D84" s="155"/>
      <c r="E84" s="155"/>
      <c r="F84" s="156">
        <f t="shared" si="68"/>
        <v>0</v>
      </c>
      <c r="G84" s="157"/>
      <c r="H84" s="157"/>
      <c r="I84" s="158"/>
      <c r="J84" s="159"/>
      <c r="K84" s="160"/>
      <c r="L84" s="160"/>
      <c r="M84" s="159"/>
      <c r="N84" s="161"/>
      <c r="O84" s="162"/>
      <c r="P84" s="159"/>
      <c r="Q84" s="161"/>
      <c r="R84" s="163"/>
      <c r="S84" s="159"/>
      <c r="T84" s="161"/>
      <c r="U84" s="163"/>
      <c r="V84" s="159"/>
      <c r="W84" s="161"/>
      <c r="X84" s="163"/>
    </row>
    <row r="85" spans="1:24" s="164" customFormat="1" outlineLevel="2">
      <c r="A85" s="134" t="str">
        <f t="shared" ref="A85:C85" si="78">+A14</f>
        <v xml:space="preserve">psycholog 3 </v>
      </c>
      <c r="B85" s="134">
        <f t="shared" si="78"/>
        <v>0</v>
      </c>
      <c r="C85" s="391">
        <f t="shared" si="78"/>
        <v>0</v>
      </c>
      <c r="D85" s="155"/>
      <c r="E85" s="155"/>
      <c r="F85" s="156">
        <f t="shared" si="68"/>
        <v>0</v>
      </c>
      <c r="G85" s="157"/>
      <c r="H85" s="157"/>
      <c r="I85" s="158"/>
      <c r="J85" s="159"/>
      <c r="K85" s="160"/>
      <c r="L85" s="160"/>
      <c r="M85" s="159"/>
      <c r="N85" s="161"/>
      <c r="O85" s="162"/>
      <c r="P85" s="159"/>
      <c r="Q85" s="161"/>
      <c r="R85" s="163"/>
      <c r="S85" s="159"/>
      <c r="T85" s="161"/>
      <c r="U85" s="163"/>
      <c r="V85" s="159"/>
      <c r="W85" s="161"/>
      <c r="X85" s="163"/>
    </row>
    <row r="86" spans="1:24" outlineLevel="1">
      <c r="A86" s="58" t="s">
        <v>52</v>
      </c>
      <c r="B86" s="58" t="str">
        <f>+B2</f>
        <v>jméno pracovníka</v>
      </c>
      <c r="C86" s="368" t="str">
        <f>+C2</f>
        <v>úvazek</v>
      </c>
      <c r="D86" s="111">
        <f>SUM(D87:D97)*1.34</f>
        <v>482400</v>
      </c>
      <c r="E86" s="111">
        <f>SUM(E87:E97)*1.34</f>
        <v>484410</v>
      </c>
      <c r="F86" s="112">
        <f>+E86-D86</f>
        <v>2010</v>
      </c>
      <c r="H86" s="16"/>
      <c r="I86" s="40"/>
      <c r="L86" s="82"/>
    </row>
    <row r="87" spans="1:24" outlineLevel="2">
      <c r="A87" s="132" t="str">
        <f>+A16</f>
        <v>psych. sestra 1</v>
      </c>
      <c r="B87" s="132" t="str">
        <f t="shared" ref="B87:C87" si="79">+B16</f>
        <v>Blažková</v>
      </c>
      <c r="C87" s="389">
        <f t="shared" si="79"/>
        <v>1</v>
      </c>
      <c r="D87" s="93">
        <v>55000</v>
      </c>
      <c r="E87" s="93">
        <v>55000</v>
      </c>
      <c r="F87" s="109">
        <f t="shared" si="68"/>
        <v>0</v>
      </c>
      <c r="H87" s="16"/>
      <c r="I87" s="40"/>
      <c r="L87" s="82"/>
    </row>
    <row r="88" spans="1:24" s="175" customFormat="1" outlineLevel="2">
      <c r="A88" s="132" t="str">
        <f t="shared" ref="A88:C88" si="80">+A17</f>
        <v>psych. sestra 2</v>
      </c>
      <c r="B88" s="132" t="str">
        <f t="shared" si="80"/>
        <v xml:space="preserve">Pátková </v>
      </c>
      <c r="C88" s="389">
        <f t="shared" si="80"/>
        <v>1</v>
      </c>
      <c r="D88" s="166">
        <v>65000</v>
      </c>
      <c r="E88" s="93">
        <v>66500</v>
      </c>
      <c r="F88" s="167">
        <f t="shared" si="68"/>
        <v>1500</v>
      </c>
      <c r="G88" s="168"/>
      <c r="H88" s="168"/>
      <c r="I88" s="169"/>
      <c r="J88" s="170"/>
      <c r="K88" s="171"/>
      <c r="L88" s="171"/>
      <c r="M88" s="170"/>
      <c r="N88" s="172"/>
      <c r="O88" s="173"/>
      <c r="P88" s="170"/>
      <c r="Q88" s="172"/>
      <c r="R88" s="174"/>
      <c r="S88" s="170"/>
      <c r="T88" s="172"/>
      <c r="U88" s="174"/>
      <c r="V88" s="170"/>
      <c r="W88" s="172"/>
      <c r="X88" s="174"/>
    </row>
    <row r="89" spans="1:24" s="175" customFormat="1" outlineLevel="2">
      <c r="A89" s="132" t="str">
        <f t="shared" ref="A89:C89" si="81">+A18</f>
        <v>všeob. sestra 3</v>
      </c>
      <c r="B89" s="132" t="str">
        <f t="shared" si="81"/>
        <v xml:space="preserve">Vaculínová </v>
      </c>
      <c r="C89" s="389">
        <f t="shared" si="81"/>
        <v>1</v>
      </c>
      <c r="D89" s="166">
        <v>50000</v>
      </c>
      <c r="E89" s="93">
        <v>50000</v>
      </c>
      <c r="F89" s="167">
        <f t="shared" si="68"/>
        <v>0</v>
      </c>
      <c r="G89" s="168"/>
      <c r="H89" s="168"/>
      <c r="I89" s="169"/>
      <c r="J89" s="170"/>
      <c r="K89" s="171"/>
      <c r="L89" s="171"/>
      <c r="M89" s="170"/>
      <c r="N89" s="172"/>
      <c r="O89" s="173"/>
      <c r="P89" s="170"/>
      <c r="Q89" s="172"/>
      <c r="R89" s="174"/>
      <c r="S89" s="170"/>
      <c r="T89" s="172"/>
      <c r="U89" s="174"/>
      <c r="V89" s="170"/>
      <c r="W89" s="172"/>
      <c r="X89" s="174"/>
    </row>
    <row r="90" spans="1:24" s="175" customFormat="1" outlineLevel="2">
      <c r="A90" s="132" t="str">
        <f t="shared" ref="A90:C90" si="82">+A19</f>
        <v>všeob. sestra 4</v>
      </c>
      <c r="B90" s="132" t="str">
        <f t="shared" si="82"/>
        <v xml:space="preserve">Bergmanová </v>
      </c>
      <c r="C90" s="389">
        <f t="shared" si="82"/>
        <v>1</v>
      </c>
      <c r="D90" s="166">
        <v>55000</v>
      </c>
      <c r="E90" s="93">
        <v>55000</v>
      </c>
      <c r="F90" s="167">
        <f t="shared" si="68"/>
        <v>0</v>
      </c>
      <c r="G90" s="168"/>
      <c r="H90" s="168"/>
      <c r="I90" s="169"/>
      <c r="J90" s="170"/>
      <c r="K90" s="171"/>
      <c r="L90" s="171"/>
      <c r="M90" s="170"/>
      <c r="N90" s="227"/>
      <c r="O90" s="173"/>
      <c r="P90" s="170"/>
      <c r="Q90" s="172"/>
      <c r="R90" s="174"/>
      <c r="S90" s="170"/>
      <c r="T90" s="172"/>
      <c r="U90" s="174"/>
      <c r="V90" s="170"/>
      <c r="W90" s="172"/>
      <c r="X90" s="174"/>
    </row>
    <row r="91" spans="1:24" s="164" customFormat="1" outlineLevel="2">
      <c r="A91" s="134" t="str">
        <f t="shared" ref="A91:C91" si="83">+A20</f>
        <v>psych. sestra 5</v>
      </c>
      <c r="B91" s="134">
        <f t="shared" si="83"/>
        <v>0</v>
      </c>
      <c r="C91" s="391">
        <f t="shared" si="83"/>
        <v>0</v>
      </c>
      <c r="D91" s="155"/>
      <c r="E91" s="155"/>
      <c r="F91" s="156">
        <f t="shared" si="68"/>
        <v>0</v>
      </c>
      <c r="G91" s="157"/>
      <c r="H91" s="157"/>
      <c r="I91" s="158"/>
      <c r="J91" s="159"/>
      <c r="K91" s="160"/>
      <c r="L91" s="160"/>
      <c r="M91" s="159"/>
      <c r="N91" s="161"/>
      <c r="O91" s="162"/>
      <c r="P91" s="159"/>
      <c r="Q91" s="161"/>
      <c r="R91" s="163"/>
      <c r="S91" s="159"/>
      <c r="T91" s="161"/>
      <c r="U91" s="163"/>
      <c r="V91" s="159"/>
      <c r="W91" s="161"/>
      <c r="X91" s="163"/>
    </row>
    <row r="92" spans="1:24" s="175" customFormat="1" outlineLevel="2">
      <c r="A92" s="165" t="str">
        <f t="shared" ref="A92:C92" si="84">+A21</f>
        <v>psychiatr 1</v>
      </c>
      <c r="B92" s="165" t="str">
        <f t="shared" si="84"/>
        <v>Suchánková</v>
      </c>
      <c r="C92" s="394">
        <f t="shared" si="84"/>
        <v>0.5</v>
      </c>
      <c r="D92" s="166">
        <v>80000</v>
      </c>
      <c r="E92" s="166">
        <v>80000</v>
      </c>
      <c r="F92" s="167">
        <f t="shared" si="68"/>
        <v>0</v>
      </c>
      <c r="G92" s="168"/>
      <c r="H92" s="168"/>
      <c r="I92" s="169"/>
      <c r="J92" s="170"/>
      <c r="K92" s="171"/>
      <c r="L92" s="171"/>
      <c r="M92" s="170"/>
      <c r="N92" s="172"/>
      <c r="O92" s="173"/>
      <c r="P92" s="170"/>
      <c r="Q92" s="172"/>
      <c r="R92" s="174"/>
      <c r="S92" s="170"/>
      <c r="T92" s="172"/>
      <c r="U92" s="174"/>
      <c r="V92" s="170"/>
      <c r="W92" s="172"/>
      <c r="X92" s="174"/>
    </row>
    <row r="93" spans="1:24" s="164" customFormat="1" outlineLevel="2">
      <c r="A93" s="134" t="str">
        <f t="shared" ref="A93:C93" si="85">+A22</f>
        <v xml:space="preserve">psychiatr 2 </v>
      </c>
      <c r="B93" s="134">
        <f t="shared" si="85"/>
        <v>0</v>
      </c>
      <c r="C93" s="391">
        <f t="shared" si="85"/>
        <v>0</v>
      </c>
      <c r="D93" s="155"/>
      <c r="E93" s="155"/>
      <c r="F93" s="156">
        <f t="shared" si="68"/>
        <v>0</v>
      </c>
      <c r="G93" s="157"/>
      <c r="H93" s="157"/>
      <c r="I93" s="158"/>
      <c r="J93" s="159"/>
      <c r="K93" s="160"/>
      <c r="L93" s="160"/>
      <c r="M93" s="159"/>
      <c r="N93" s="161"/>
      <c r="O93" s="162"/>
      <c r="P93" s="159"/>
      <c r="Q93" s="161"/>
      <c r="R93" s="163"/>
      <c r="S93" s="159"/>
      <c r="T93" s="161"/>
      <c r="U93" s="163"/>
      <c r="V93" s="159"/>
      <c r="W93" s="161"/>
      <c r="X93" s="163"/>
    </row>
    <row r="94" spans="1:24" s="164" customFormat="1" outlineLevel="2">
      <c r="A94" s="134" t="str">
        <f t="shared" ref="A94:C94" si="86">+A23</f>
        <v>psychiatr 3</v>
      </c>
      <c r="B94" s="134">
        <f t="shared" si="86"/>
        <v>0</v>
      </c>
      <c r="C94" s="391">
        <f t="shared" si="86"/>
        <v>0</v>
      </c>
      <c r="D94" s="155"/>
      <c r="E94" s="155"/>
      <c r="F94" s="156">
        <f t="shared" si="68"/>
        <v>0</v>
      </c>
      <c r="G94" s="157"/>
      <c r="H94" s="157"/>
      <c r="I94" s="158"/>
      <c r="J94" s="159"/>
      <c r="K94" s="160"/>
      <c r="L94" s="160"/>
      <c r="M94" s="159"/>
      <c r="N94" s="161"/>
      <c r="O94" s="162"/>
      <c r="P94" s="159"/>
      <c r="Q94" s="161"/>
      <c r="R94" s="163"/>
      <c r="S94" s="159"/>
      <c r="T94" s="161"/>
      <c r="U94" s="163"/>
      <c r="V94" s="159"/>
      <c r="W94" s="161"/>
      <c r="X94" s="163"/>
    </row>
    <row r="95" spans="1:24" s="175" customFormat="1" outlineLevel="2">
      <c r="A95" s="165" t="str">
        <f t="shared" ref="A95:C95" si="87">+A24</f>
        <v>psycholog 1</v>
      </c>
      <c r="B95" s="165" t="str">
        <f t="shared" si="87"/>
        <v>Suchopová</v>
      </c>
      <c r="C95" s="394">
        <f t="shared" si="87"/>
        <v>0.4</v>
      </c>
      <c r="D95" s="166">
        <v>40000</v>
      </c>
      <c r="E95" s="166">
        <v>40000</v>
      </c>
      <c r="F95" s="167">
        <f t="shared" si="68"/>
        <v>0</v>
      </c>
      <c r="G95" s="168"/>
      <c r="H95" s="168"/>
      <c r="I95" s="169"/>
      <c r="J95" s="170"/>
      <c r="K95" s="171"/>
      <c r="L95" s="171"/>
      <c r="M95" s="170"/>
      <c r="N95" s="172"/>
      <c r="O95" s="173"/>
      <c r="P95" s="170"/>
      <c r="Q95" s="172"/>
      <c r="R95" s="174"/>
      <c r="S95" s="170"/>
      <c r="T95" s="172"/>
      <c r="U95" s="174"/>
      <c r="V95" s="170"/>
      <c r="W95" s="172"/>
      <c r="X95" s="174"/>
    </row>
    <row r="96" spans="1:24" s="175" customFormat="1" outlineLevel="2">
      <c r="A96" s="165" t="str">
        <f t="shared" ref="A96:C96" si="88">+A25</f>
        <v xml:space="preserve">psycholog 2 </v>
      </c>
      <c r="B96" s="165" t="str">
        <f t="shared" si="88"/>
        <v>Červenková</v>
      </c>
      <c r="C96" s="394">
        <f t="shared" si="88"/>
        <v>0.2</v>
      </c>
      <c r="D96" s="166">
        <v>15000</v>
      </c>
      <c r="E96" s="166">
        <v>15000</v>
      </c>
      <c r="F96" s="167">
        <f t="shared" si="68"/>
        <v>0</v>
      </c>
      <c r="G96" s="168"/>
      <c r="H96" s="168"/>
      <c r="I96" s="169"/>
      <c r="J96" s="170"/>
      <c r="K96" s="171"/>
      <c r="L96" s="171"/>
      <c r="M96" s="170"/>
      <c r="N96" s="172"/>
      <c r="O96" s="173"/>
      <c r="P96" s="170"/>
      <c r="Q96" s="172"/>
      <c r="R96" s="174"/>
      <c r="S96" s="170"/>
      <c r="T96" s="172"/>
      <c r="U96" s="174"/>
      <c r="V96" s="170"/>
      <c r="W96" s="172"/>
      <c r="X96" s="174"/>
    </row>
    <row r="97" spans="1:24" s="164" customFormat="1" outlineLevel="2">
      <c r="A97" s="134" t="str">
        <f t="shared" ref="A97:C97" si="89">+A26</f>
        <v xml:space="preserve">psycholog 3 </v>
      </c>
      <c r="B97" s="134">
        <f t="shared" si="89"/>
        <v>0</v>
      </c>
      <c r="C97" s="391">
        <f t="shared" si="89"/>
        <v>0</v>
      </c>
      <c r="D97" s="155"/>
      <c r="E97" s="155"/>
      <c r="F97" s="156">
        <f t="shared" si="68"/>
        <v>0</v>
      </c>
      <c r="G97" s="157"/>
      <c r="H97" s="157"/>
      <c r="I97" s="158"/>
      <c r="J97" s="159"/>
      <c r="K97" s="160"/>
      <c r="L97" s="160"/>
      <c r="M97" s="159"/>
      <c r="N97" s="161"/>
      <c r="O97" s="162"/>
      <c r="P97" s="159"/>
      <c r="Q97" s="161"/>
      <c r="R97" s="163"/>
      <c r="S97" s="159"/>
      <c r="T97" s="161"/>
      <c r="U97" s="163"/>
      <c r="V97" s="159"/>
      <c r="W97" s="161"/>
      <c r="X97" s="163"/>
    </row>
    <row r="98" spans="1:24" outlineLevel="1">
      <c r="A98" s="57" t="s">
        <v>58</v>
      </c>
      <c r="B98" s="57" t="str">
        <f>+B2</f>
        <v>jméno pracovníka</v>
      </c>
      <c r="C98" s="369" t="str">
        <f>+C2</f>
        <v>úvazek</v>
      </c>
      <c r="D98" s="113">
        <f>SUM(D99:D109)*1.34</f>
        <v>513220.00000000006</v>
      </c>
      <c r="E98" s="113">
        <f>SUM(E99:E109)*1.34</f>
        <v>533990</v>
      </c>
      <c r="F98" s="114">
        <f>+E98-D98</f>
        <v>20769.999999999942</v>
      </c>
      <c r="H98" s="16"/>
      <c r="I98" s="40"/>
      <c r="L98" s="82"/>
    </row>
    <row r="99" spans="1:24" outlineLevel="2">
      <c r="A99" s="132" t="str">
        <f>+A28</f>
        <v>psych. sestra 1</v>
      </c>
      <c r="B99" s="132" t="str">
        <f t="shared" ref="B99:C99" si="90">+B28</f>
        <v>Zelenková</v>
      </c>
      <c r="C99" s="389">
        <f t="shared" si="90"/>
        <v>1</v>
      </c>
      <c r="D99" s="93">
        <v>75000</v>
      </c>
      <c r="E99" s="93">
        <v>78000</v>
      </c>
      <c r="F99" s="109">
        <f t="shared" ref="F99:F109" si="91">+E99-D99</f>
        <v>3000</v>
      </c>
      <c r="H99" s="16"/>
      <c r="I99" s="40"/>
      <c r="L99" s="83"/>
    </row>
    <row r="100" spans="1:24" s="175" customFormat="1" outlineLevel="2">
      <c r="A100" s="132" t="str">
        <f t="shared" ref="A100:C100" si="92">+A29</f>
        <v>psych. sestra 2</v>
      </c>
      <c r="B100" s="132" t="str">
        <f t="shared" si="92"/>
        <v>Vondráčková</v>
      </c>
      <c r="C100" s="389">
        <f t="shared" si="92"/>
        <v>1</v>
      </c>
      <c r="D100" s="166">
        <v>58000</v>
      </c>
      <c r="E100" s="93">
        <v>61000</v>
      </c>
      <c r="F100" s="167">
        <f t="shared" si="91"/>
        <v>3000</v>
      </c>
      <c r="G100" s="168"/>
      <c r="H100" s="168"/>
      <c r="I100" s="169"/>
      <c r="J100" s="170"/>
      <c r="K100" s="171"/>
      <c r="L100" s="228"/>
      <c r="M100" s="170"/>
      <c r="N100" s="172"/>
      <c r="O100" s="173"/>
      <c r="P100" s="170"/>
      <c r="Q100" s="172"/>
      <c r="R100" s="174"/>
      <c r="S100" s="170"/>
      <c r="T100" s="172"/>
      <c r="U100" s="174"/>
      <c r="V100" s="170"/>
      <c r="W100" s="172"/>
      <c r="X100" s="174"/>
    </row>
    <row r="101" spans="1:24" s="175" customFormat="1" outlineLevel="2">
      <c r="A101" s="132" t="str">
        <f t="shared" ref="A101:C101" si="93">+A30</f>
        <v>psych. sestra 3</v>
      </c>
      <c r="B101" s="132" t="str">
        <f t="shared" si="93"/>
        <v>Nováková</v>
      </c>
      <c r="C101" s="389">
        <f t="shared" si="93"/>
        <v>1</v>
      </c>
      <c r="D101" s="166">
        <v>55000</v>
      </c>
      <c r="E101" s="93">
        <v>60000</v>
      </c>
      <c r="F101" s="167">
        <f t="shared" si="91"/>
        <v>5000</v>
      </c>
      <c r="G101" s="168"/>
      <c r="H101" s="168"/>
      <c r="I101" s="169"/>
      <c r="J101" s="170"/>
      <c r="K101" s="171"/>
      <c r="L101" s="228"/>
      <c r="M101" s="170"/>
      <c r="N101" s="172"/>
      <c r="O101" s="173"/>
      <c r="P101" s="170"/>
      <c r="Q101" s="172"/>
      <c r="R101" s="174"/>
      <c r="S101" s="170"/>
      <c r="T101" s="172"/>
      <c r="U101" s="174"/>
      <c r="V101" s="170"/>
      <c r="W101" s="172"/>
      <c r="X101" s="174"/>
    </row>
    <row r="102" spans="1:24" s="175" customFormat="1" outlineLevel="2">
      <c r="A102" s="132" t="str">
        <f t="shared" ref="A102:C102" si="94">+A31</f>
        <v>psych. sestra 4</v>
      </c>
      <c r="B102" s="132" t="str">
        <f t="shared" si="94"/>
        <v>Dušková</v>
      </c>
      <c r="C102" s="389">
        <f t="shared" si="94"/>
        <v>1</v>
      </c>
      <c r="D102" s="166">
        <v>55000</v>
      </c>
      <c r="E102" s="93">
        <v>59500</v>
      </c>
      <c r="F102" s="167">
        <f t="shared" si="91"/>
        <v>4500</v>
      </c>
      <c r="G102" s="168"/>
      <c r="H102" s="168"/>
      <c r="I102" s="169"/>
      <c r="J102" s="170"/>
      <c r="K102" s="171"/>
      <c r="L102" s="228"/>
      <c r="M102" s="170"/>
      <c r="N102" s="172"/>
      <c r="O102" s="173"/>
      <c r="P102" s="170"/>
      <c r="Q102" s="172"/>
      <c r="R102" s="174"/>
      <c r="S102" s="170"/>
      <c r="T102" s="172"/>
      <c r="U102" s="174"/>
      <c r="V102" s="170"/>
      <c r="W102" s="172"/>
      <c r="X102" s="174"/>
    </row>
    <row r="103" spans="1:24" s="164" customFormat="1" outlineLevel="2">
      <c r="A103" s="134" t="str">
        <f t="shared" ref="A103:C103" si="95">+A32</f>
        <v>psych. sestra 5</v>
      </c>
      <c r="B103" s="134">
        <f t="shared" si="95"/>
        <v>0</v>
      </c>
      <c r="C103" s="391">
        <f t="shared" si="95"/>
        <v>0</v>
      </c>
      <c r="D103" s="155"/>
      <c r="E103" s="155"/>
      <c r="F103" s="156">
        <f t="shared" si="91"/>
        <v>0</v>
      </c>
      <c r="G103" s="157"/>
      <c r="H103" s="157"/>
      <c r="I103" s="158"/>
      <c r="J103" s="159"/>
      <c r="K103" s="160"/>
      <c r="L103" s="296"/>
      <c r="M103" s="159"/>
      <c r="N103" s="161"/>
      <c r="O103" s="162"/>
      <c r="P103" s="159"/>
      <c r="Q103" s="161"/>
      <c r="R103" s="163"/>
      <c r="S103" s="159"/>
      <c r="T103" s="161"/>
      <c r="U103" s="163"/>
      <c r="V103" s="159"/>
      <c r="W103" s="161"/>
      <c r="X103" s="163"/>
    </row>
    <row r="104" spans="1:24" s="175" customFormat="1" outlineLevel="2">
      <c r="A104" s="132" t="str">
        <f t="shared" ref="A104:C104" si="96">+A33</f>
        <v>psychiatr 1</v>
      </c>
      <c r="B104" s="132" t="str">
        <f t="shared" si="96"/>
        <v>Suchánková</v>
      </c>
      <c r="C104" s="389">
        <f t="shared" si="96"/>
        <v>0.5</v>
      </c>
      <c r="D104" s="166">
        <f>160000*0.5</f>
        <v>80000</v>
      </c>
      <c r="E104" s="93">
        <v>80000</v>
      </c>
      <c r="F104" s="167">
        <f t="shared" ref="F104" si="97">+E104-D104</f>
        <v>0</v>
      </c>
      <c r="G104" s="168"/>
      <c r="H104" s="168"/>
      <c r="I104" s="169"/>
      <c r="J104" s="170"/>
      <c r="K104" s="171"/>
      <c r="L104" s="228"/>
      <c r="M104" s="170"/>
      <c r="N104" s="172"/>
      <c r="O104" s="173"/>
      <c r="P104" s="170"/>
      <c r="Q104" s="172"/>
      <c r="R104" s="174"/>
      <c r="S104" s="170"/>
      <c r="T104" s="172"/>
      <c r="U104" s="174"/>
      <c r="V104" s="170"/>
      <c r="W104" s="172"/>
      <c r="X104" s="174"/>
    </row>
    <row r="105" spans="1:24" s="164" customFormat="1" outlineLevel="2">
      <c r="A105" s="134" t="str">
        <f t="shared" ref="A105:C105" si="98">+A34</f>
        <v xml:space="preserve">psychiatr 2 </v>
      </c>
      <c r="B105" s="134">
        <f t="shared" si="98"/>
        <v>0</v>
      </c>
      <c r="C105" s="391">
        <f t="shared" si="98"/>
        <v>0</v>
      </c>
      <c r="D105" s="155"/>
      <c r="E105" s="155"/>
      <c r="F105" s="156">
        <f t="shared" si="91"/>
        <v>0</v>
      </c>
      <c r="G105" s="157"/>
      <c r="H105" s="157"/>
      <c r="I105" s="158"/>
      <c r="J105" s="159"/>
      <c r="K105" s="160"/>
      <c r="L105" s="296"/>
      <c r="M105" s="159"/>
      <c r="N105" s="161"/>
      <c r="O105" s="162"/>
      <c r="P105" s="159"/>
      <c r="Q105" s="161"/>
      <c r="R105" s="163"/>
      <c r="S105" s="159"/>
      <c r="T105" s="161"/>
      <c r="U105" s="163"/>
      <c r="V105" s="159"/>
      <c r="W105" s="161"/>
      <c r="X105" s="163"/>
    </row>
    <row r="106" spans="1:24" s="164" customFormat="1" outlineLevel="2">
      <c r="A106" s="134" t="str">
        <f t="shared" ref="A106:C106" si="99">+A35</f>
        <v>psychiatr 3</v>
      </c>
      <c r="B106" s="134">
        <f t="shared" si="99"/>
        <v>0</v>
      </c>
      <c r="C106" s="391">
        <f t="shared" si="99"/>
        <v>0</v>
      </c>
      <c r="D106" s="155"/>
      <c r="E106" s="155"/>
      <c r="F106" s="156">
        <f t="shared" si="91"/>
        <v>0</v>
      </c>
      <c r="G106" s="157"/>
      <c r="H106" s="157"/>
      <c r="I106" s="158"/>
      <c r="J106" s="159"/>
      <c r="K106" s="160"/>
      <c r="L106" s="296"/>
      <c r="M106" s="159"/>
      <c r="N106" s="161"/>
      <c r="O106" s="162"/>
      <c r="P106" s="159"/>
      <c r="Q106" s="161"/>
      <c r="R106" s="163"/>
      <c r="S106" s="159"/>
      <c r="T106" s="161"/>
      <c r="U106" s="163"/>
      <c r="V106" s="159"/>
      <c r="W106" s="161"/>
      <c r="X106" s="163"/>
    </row>
    <row r="107" spans="1:24" s="78" customFormat="1" outlineLevel="2">
      <c r="A107" s="165" t="str">
        <f t="shared" ref="A107:C107" si="100">+A36</f>
        <v>psycholog 1</v>
      </c>
      <c r="B107" s="165" t="str">
        <f t="shared" si="100"/>
        <v>Kliská</v>
      </c>
      <c r="C107" s="394">
        <f t="shared" si="100"/>
        <v>0.2</v>
      </c>
      <c r="D107" s="166">
        <v>20000</v>
      </c>
      <c r="E107" s="93">
        <v>20000</v>
      </c>
      <c r="F107" s="167">
        <f t="shared" ref="F107" si="101">+E107-D107</f>
        <v>0</v>
      </c>
      <c r="G107" s="79"/>
      <c r="H107" s="79"/>
      <c r="I107" s="80"/>
      <c r="J107" s="81"/>
      <c r="K107" s="82"/>
      <c r="L107" s="83"/>
      <c r="M107" s="81"/>
      <c r="N107" s="84"/>
      <c r="O107" s="85"/>
      <c r="P107" s="81"/>
      <c r="Q107" s="84"/>
      <c r="R107" s="86"/>
      <c r="S107" s="81"/>
      <c r="T107" s="84"/>
      <c r="U107" s="86"/>
      <c r="V107" s="81"/>
      <c r="W107" s="84"/>
      <c r="X107" s="86"/>
    </row>
    <row r="108" spans="1:24" s="175" customFormat="1" outlineLevel="2">
      <c r="A108" s="165" t="str">
        <f t="shared" ref="A108:C108" si="102">+A37</f>
        <v xml:space="preserve">psycholog 2 </v>
      </c>
      <c r="B108" s="165" t="str">
        <f t="shared" si="102"/>
        <v>Brožek Ľuba</v>
      </c>
      <c r="C108" s="394">
        <f t="shared" si="102"/>
        <v>0.5</v>
      </c>
      <c r="D108" s="166">
        <v>40000</v>
      </c>
      <c r="E108" s="166">
        <v>40000</v>
      </c>
      <c r="F108" s="167">
        <f t="shared" si="91"/>
        <v>0</v>
      </c>
      <c r="G108" s="168"/>
      <c r="H108" s="168"/>
      <c r="I108" s="169"/>
      <c r="J108" s="170"/>
      <c r="K108" s="171"/>
      <c r="L108" s="228"/>
      <c r="M108" s="170"/>
      <c r="N108" s="172"/>
      <c r="O108" s="173"/>
      <c r="P108" s="170"/>
      <c r="Q108" s="172"/>
      <c r="R108" s="174"/>
      <c r="S108" s="170"/>
      <c r="T108" s="172"/>
      <c r="U108" s="174"/>
      <c r="V108" s="170"/>
      <c r="W108" s="172"/>
      <c r="X108" s="174"/>
    </row>
    <row r="109" spans="1:24" s="164" customFormat="1" outlineLevel="2">
      <c r="A109" s="134" t="str">
        <f t="shared" ref="A109:C109" si="103">+A38</f>
        <v xml:space="preserve">psycholog 3 </v>
      </c>
      <c r="B109" s="134">
        <f t="shared" si="103"/>
        <v>0</v>
      </c>
      <c r="C109" s="391">
        <f t="shared" si="103"/>
        <v>0</v>
      </c>
      <c r="D109" s="155"/>
      <c r="E109" s="155"/>
      <c r="F109" s="156">
        <f t="shared" si="91"/>
        <v>0</v>
      </c>
      <c r="G109" s="157"/>
      <c r="H109" s="157"/>
      <c r="I109" s="158"/>
      <c r="J109" s="159"/>
      <c r="K109" s="160"/>
      <c r="L109" s="296"/>
      <c r="M109" s="159"/>
      <c r="N109" s="161"/>
      <c r="O109" s="162"/>
      <c r="P109" s="159"/>
      <c r="Q109" s="161"/>
      <c r="R109" s="163"/>
      <c r="S109" s="159"/>
      <c r="T109" s="161"/>
      <c r="U109" s="163"/>
      <c r="V109" s="159"/>
      <c r="W109" s="161"/>
      <c r="X109" s="163"/>
    </row>
    <row r="110" spans="1:24" outlineLevel="1">
      <c r="A110" s="50" t="s">
        <v>60</v>
      </c>
      <c r="B110" s="50" t="str">
        <f>+B2</f>
        <v>jméno pracovníka</v>
      </c>
      <c r="C110" s="50" t="str">
        <f>+C2</f>
        <v>úvazek</v>
      </c>
      <c r="D110" s="115">
        <f>SUM(D111:D121)*1.34</f>
        <v>191620</v>
      </c>
      <c r="E110" s="115">
        <f>SUM(E111:E121)*1.34</f>
        <v>191620</v>
      </c>
      <c r="F110" s="116">
        <f>+E110-D110</f>
        <v>0</v>
      </c>
      <c r="H110" s="16"/>
      <c r="I110" s="40"/>
    </row>
    <row r="111" spans="1:24" s="164" customFormat="1" outlineLevel="2">
      <c r="A111" s="165" t="str">
        <f>+A40</f>
        <v>všeob. sestra 1</v>
      </c>
      <c r="B111" s="165" t="str">
        <f t="shared" ref="B111:C111" si="104">+B40</f>
        <v>Kopecká</v>
      </c>
      <c r="C111" s="394">
        <f t="shared" si="104"/>
        <v>1</v>
      </c>
      <c r="D111" s="166">
        <v>28000</v>
      </c>
      <c r="E111" s="166">
        <v>28000</v>
      </c>
      <c r="F111" s="167">
        <f t="shared" ref="F111:F133" si="105">+E111-D111</f>
        <v>0</v>
      </c>
      <c r="G111" s="157"/>
      <c r="H111" s="157"/>
      <c r="I111" s="157"/>
      <c r="J111" s="159"/>
      <c r="K111" s="160"/>
      <c r="L111" s="296"/>
      <c r="M111" s="159"/>
      <c r="N111" s="161"/>
      <c r="O111" s="162"/>
      <c r="P111" s="159"/>
      <c r="Q111" s="161"/>
      <c r="R111" s="163"/>
      <c r="S111" s="159"/>
      <c r="T111" s="161"/>
      <c r="U111" s="163"/>
      <c r="V111" s="159"/>
      <c r="W111" s="161"/>
      <c r="X111" s="163"/>
    </row>
    <row r="112" spans="1:24" s="175" customFormat="1" outlineLevel="2">
      <c r="A112" s="165" t="str">
        <f t="shared" ref="A112:C112" si="106">+A41</f>
        <v>psych. sestra 2</v>
      </c>
      <c r="B112" s="165" t="str">
        <f t="shared" si="106"/>
        <v>Prajzová</v>
      </c>
      <c r="C112" s="394">
        <f t="shared" si="106"/>
        <v>1</v>
      </c>
      <c r="D112" s="166"/>
      <c r="E112" s="166"/>
      <c r="F112" s="167">
        <f t="shared" si="105"/>
        <v>0</v>
      </c>
      <c r="G112" s="168"/>
      <c r="H112" s="168"/>
      <c r="I112" s="169"/>
      <c r="J112" s="170"/>
      <c r="K112" s="171"/>
      <c r="L112" s="228"/>
      <c r="M112" s="170"/>
      <c r="N112" s="172"/>
      <c r="O112" s="173"/>
      <c r="P112" s="170"/>
      <c r="Q112" s="172"/>
      <c r="R112" s="174"/>
      <c r="S112" s="170"/>
      <c r="T112" s="172"/>
      <c r="U112" s="174"/>
      <c r="V112" s="170"/>
      <c r="W112" s="172"/>
      <c r="X112" s="174"/>
    </row>
    <row r="113" spans="1:24" s="164" customFormat="1" outlineLevel="2">
      <c r="A113" s="134" t="str">
        <f t="shared" ref="A113:C113" si="107">+A42</f>
        <v>psych. sestra 3</v>
      </c>
      <c r="B113" s="134">
        <f t="shared" si="107"/>
        <v>0</v>
      </c>
      <c r="C113" s="391">
        <f t="shared" si="107"/>
        <v>0</v>
      </c>
      <c r="D113" s="155"/>
      <c r="E113" s="155"/>
      <c r="F113" s="156">
        <f t="shared" si="105"/>
        <v>0</v>
      </c>
      <c r="G113" s="157"/>
      <c r="H113" s="157"/>
      <c r="I113" s="158"/>
      <c r="J113" s="159"/>
      <c r="K113" s="160"/>
      <c r="L113" s="296"/>
      <c r="M113" s="159"/>
      <c r="N113" s="161"/>
      <c r="O113" s="162"/>
      <c r="P113" s="159"/>
      <c r="Q113" s="161"/>
      <c r="R113" s="163"/>
      <c r="S113" s="159"/>
      <c r="T113" s="161"/>
      <c r="U113" s="163"/>
      <c r="V113" s="159"/>
      <c r="W113" s="161"/>
      <c r="X113" s="163"/>
    </row>
    <row r="114" spans="1:24" s="164" customFormat="1" outlineLevel="2">
      <c r="A114" s="134" t="str">
        <f t="shared" ref="A114:C114" si="108">+A43</f>
        <v>psych. sestra 4</v>
      </c>
      <c r="B114" s="134">
        <f t="shared" si="108"/>
        <v>0</v>
      </c>
      <c r="C114" s="391">
        <f t="shared" si="108"/>
        <v>0</v>
      </c>
      <c r="D114" s="155"/>
      <c r="E114" s="155"/>
      <c r="F114" s="156">
        <f t="shared" si="105"/>
        <v>0</v>
      </c>
      <c r="G114" s="157"/>
      <c r="H114" s="157"/>
      <c r="I114" s="158"/>
      <c r="J114" s="159"/>
      <c r="K114" s="160"/>
      <c r="L114" s="296"/>
      <c r="M114" s="159"/>
      <c r="N114" s="161"/>
      <c r="O114" s="162"/>
      <c r="P114" s="159"/>
      <c r="Q114" s="161"/>
      <c r="R114" s="163"/>
      <c r="S114" s="159"/>
      <c r="T114" s="161"/>
      <c r="U114" s="163"/>
      <c r="V114" s="159"/>
      <c r="W114" s="161"/>
      <c r="X114" s="163"/>
    </row>
    <row r="115" spans="1:24" s="164" customFormat="1" outlineLevel="2">
      <c r="A115" s="134" t="str">
        <f t="shared" ref="A115:C115" si="109">+A44</f>
        <v>psych. sestra 5</v>
      </c>
      <c r="B115" s="134">
        <f t="shared" si="109"/>
        <v>0</v>
      </c>
      <c r="C115" s="391">
        <f t="shared" si="109"/>
        <v>0</v>
      </c>
      <c r="D115" s="155"/>
      <c r="E115" s="155"/>
      <c r="F115" s="156">
        <f t="shared" si="105"/>
        <v>0</v>
      </c>
      <c r="G115" s="157"/>
      <c r="H115" s="157"/>
      <c r="I115" s="158"/>
      <c r="J115" s="159"/>
      <c r="K115" s="160"/>
      <c r="L115" s="296"/>
      <c r="M115" s="159"/>
      <c r="N115" s="161"/>
      <c r="O115" s="162"/>
      <c r="P115" s="159"/>
      <c r="Q115" s="161"/>
      <c r="R115" s="163"/>
      <c r="S115" s="159"/>
      <c r="T115" s="161"/>
      <c r="U115" s="163"/>
      <c r="V115" s="159"/>
      <c r="W115" s="161"/>
      <c r="X115" s="163"/>
    </row>
    <row r="116" spans="1:24" s="164" customFormat="1" outlineLevel="2">
      <c r="A116" s="165" t="str">
        <f t="shared" ref="A116:C116" si="110">+A45</f>
        <v>psychiatr 1</v>
      </c>
      <c r="B116" s="165" t="str">
        <f t="shared" si="110"/>
        <v>Kútniková</v>
      </c>
      <c r="C116" s="394">
        <f t="shared" si="110"/>
        <v>0.5</v>
      </c>
      <c r="D116" s="166">
        <v>45000</v>
      </c>
      <c r="E116" s="166">
        <v>45000</v>
      </c>
      <c r="F116" s="167">
        <f t="shared" si="105"/>
        <v>0</v>
      </c>
      <c r="G116" s="157"/>
      <c r="H116" s="157"/>
      <c r="I116" s="157"/>
      <c r="J116" s="159"/>
      <c r="K116" s="160"/>
      <c r="L116" s="296"/>
      <c r="M116" s="159"/>
      <c r="N116" s="161"/>
      <c r="O116" s="162"/>
      <c r="P116" s="159"/>
      <c r="Q116" s="161"/>
      <c r="R116" s="163"/>
      <c r="S116" s="159"/>
      <c r="T116" s="161"/>
      <c r="U116" s="163"/>
      <c r="V116" s="159"/>
      <c r="W116" s="161"/>
      <c r="X116" s="163"/>
    </row>
    <row r="117" spans="1:24" s="175" customFormat="1" outlineLevel="2">
      <c r="A117" s="165" t="str">
        <f t="shared" ref="A117:C117" si="111">+A46</f>
        <v xml:space="preserve">psychiatr 2 </v>
      </c>
      <c r="B117" s="165" t="str">
        <f t="shared" si="111"/>
        <v>Štětinová</v>
      </c>
      <c r="C117" s="394">
        <f t="shared" si="111"/>
        <v>0.5</v>
      </c>
      <c r="D117" s="166">
        <v>40000</v>
      </c>
      <c r="E117" s="166">
        <v>40000</v>
      </c>
      <c r="F117" s="167">
        <f t="shared" si="105"/>
        <v>0</v>
      </c>
      <c r="G117" s="168"/>
      <c r="H117" s="168"/>
      <c r="I117" s="169"/>
      <c r="J117" s="170"/>
      <c r="K117" s="171"/>
      <c r="L117" s="228"/>
      <c r="M117" s="170"/>
      <c r="N117" s="172"/>
      <c r="O117" s="173"/>
      <c r="P117" s="170"/>
      <c r="Q117" s="172"/>
      <c r="R117" s="174"/>
      <c r="S117" s="170"/>
      <c r="T117" s="172"/>
      <c r="U117" s="174"/>
      <c r="V117" s="170"/>
      <c r="W117" s="172"/>
      <c r="X117" s="174"/>
    </row>
    <row r="118" spans="1:24" s="164" customFormat="1" outlineLevel="2">
      <c r="A118" s="134" t="str">
        <f t="shared" ref="A118:C118" si="112">+A47</f>
        <v>psychiatr 3</v>
      </c>
      <c r="B118" s="134">
        <f t="shared" si="112"/>
        <v>0</v>
      </c>
      <c r="C118" s="391">
        <f t="shared" si="112"/>
        <v>0</v>
      </c>
      <c r="D118" s="155"/>
      <c r="E118" s="155"/>
      <c r="F118" s="156">
        <f t="shared" si="105"/>
        <v>0</v>
      </c>
      <c r="G118" s="157"/>
      <c r="H118" s="157"/>
      <c r="I118" s="158"/>
      <c r="J118" s="159"/>
      <c r="K118" s="160"/>
      <c r="L118" s="296"/>
      <c r="M118" s="159"/>
      <c r="N118" s="161"/>
      <c r="O118" s="162"/>
      <c r="P118" s="159"/>
      <c r="Q118" s="161"/>
      <c r="R118" s="163"/>
      <c r="S118" s="159"/>
      <c r="T118" s="161"/>
      <c r="U118" s="163"/>
      <c r="V118" s="159"/>
      <c r="W118" s="161"/>
      <c r="X118" s="163"/>
    </row>
    <row r="119" spans="1:24" s="164" customFormat="1" outlineLevel="2">
      <c r="A119" s="165" t="str">
        <f t="shared" ref="A119:C119" si="113">+A48</f>
        <v>psycholog 1</v>
      </c>
      <c r="B119" s="165" t="str">
        <f t="shared" si="113"/>
        <v>Lichtenbergová</v>
      </c>
      <c r="C119" s="394">
        <f t="shared" si="113"/>
        <v>0.5</v>
      </c>
      <c r="D119" s="166">
        <v>30000</v>
      </c>
      <c r="E119" s="166">
        <v>30000</v>
      </c>
      <c r="F119" s="167">
        <f t="shared" si="105"/>
        <v>0</v>
      </c>
      <c r="G119" s="157"/>
      <c r="H119" s="157"/>
      <c r="I119" s="157"/>
      <c r="J119" s="159"/>
      <c r="K119" s="160"/>
      <c r="L119" s="296"/>
      <c r="M119" s="159"/>
      <c r="N119" s="161"/>
      <c r="O119" s="162"/>
      <c r="P119" s="159"/>
      <c r="Q119" s="161"/>
      <c r="R119" s="163"/>
      <c r="S119" s="159"/>
      <c r="T119" s="161"/>
      <c r="U119" s="163"/>
      <c r="V119" s="159"/>
      <c r="W119" s="161"/>
      <c r="X119" s="163"/>
    </row>
    <row r="120" spans="1:24" s="164" customFormat="1" outlineLevel="2">
      <c r="A120" s="134" t="str">
        <f t="shared" ref="A120:C120" si="114">+A49</f>
        <v xml:space="preserve">psycholog 2 </v>
      </c>
      <c r="B120" s="134">
        <f t="shared" si="114"/>
        <v>0</v>
      </c>
      <c r="C120" s="391">
        <f t="shared" si="114"/>
        <v>0</v>
      </c>
      <c r="D120" s="155"/>
      <c r="E120" s="155"/>
      <c r="F120" s="156">
        <f t="shared" si="105"/>
        <v>0</v>
      </c>
      <c r="G120" s="157"/>
      <c r="H120" s="157"/>
      <c r="I120" s="158"/>
      <c r="J120" s="159"/>
      <c r="K120" s="160"/>
      <c r="L120" s="296"/>
      <c r="M120" s="159"/>
      <c r="N120" s="161"/>
      <c r="O120" s="162"/>
      <c r="P120" s="159"/>
      <c r="Q120" s="161"/>
      <c r="R120" s="163"/>
      <c r="S120" s="159"/>
      <c r="T120" s="161"/>
      <c r="U120" s="163"/>
      <c r="V120" s="159"/>
      <c r="W120" s="161"/>
      <c r="X120" s="163"/>
    </row>
    <row r="121" spans="1:24" s="164" customFormat="1" outlineLevel="2">
      <c r="A121" s="134" t="str">
        <f t="shared" ref="A121:C121" si="115">+A50</f>
        <v xml:space="preserve">psycholog 3 </v>
      </c>
      <c r="B121" s="134">
        <f t="shared" si="115"/>
        <v>0</v>
      </c>
      <c r="C121" s="391">
        <f t="shared" si="115"/>
        <v>0</v>
      </c>
      <c r="D121" s="155"/>
      <c r="E121" s="155"/>
      <c r="F121" s="156">
        <f t="shared" si="105"/>
        <v>0</v>
      </c>
      <c r="G121" s="157"/>
      <c r="H121" s="157"/>
      <c r="I121" s="158"/>
      <c r="J121" s="159"/>
      <c r="K121" s="160"/>
      <c r="L121" s="296"/>
      <c r="M121" s="159"/>
      <c r="N121" s="161"/>
      <c r="O121" s="162"/>
      <c r="P121" s="159"/>
      <c r="Q121" s="161"/>
      <c r="R121" s="163"/>
      <c r="S121" s="159"/>
      <c r="T121" s="161"/>
      <c r="U121" s="163"/>
      <c r="V121" s="159"/>
      <c r="W121" s="161"/>
      <c r="X121" s="163"/>
    </row>
    <row r="122" spans="1:24" outlineLevel="1">
      <c r="A122" s="135" t="s">
        <v>62</v>
      </c>
      <c r="B122" s="135" t="str">
        <f>+B2</f>
        <v>jméno pracovníka</v>
      </c>
      <c r="C122" s="135" t="str">
        <f>+C2</f>
        <v>úvazek</v>
      </c>
      <c r="D122" s="117">
        <f>SUM(D123:D124)*1.34</f>
        <v>0</v>
      </c>
      <c r="E122" s="117">
        <f>SUM(E123:E124)*1.34</f>
        <v>0</v>
      </c>
      <c r="F122" s="118">
        <f t="shared" si="105"/>
        <v>0</v>
      </c>
      <c r="H122" s="16"/>
      <c r="I122" s="40"/>
    </row>
    <row r="123" spans="1:24" outlineLevel="2">
      <c r="A123" s="134" t="str">
        <f>+A52</f>
        <v>psych. sestra 1</v>
      </c>
      <c r="B123" s="134"/>
      <c r="C123" s="367"/>
      <c r="D123" s="155">
        <v>0</v>
      </c>
      <c r="E123" s="155">
        <v>0</v>
      </c>
      <c r="F123" s="156">
        <f t="shared" si="105"/>
        <v>0</v>
      </c>
      <c r="H123" s="16"/>
      <c r="I123" s="40"/>
    </row>
    <row r="124" spans="1:24" s="78" customFormat="1" outlineLevel="2">
      <c r="A124" s="134" t="str">
        <f>+A53</f>
        <v>psych. sestra 2</v>
      </c>
      <c r="B124" s="134"/>
      <c r="C124" s="367"/>
      <c r="D124" s="95">
        <v>0</v>
      </c>
      <c r="E124" s="95">
        <v>0</v>
      </c>
      <c r="F124" s="110">
        <f t="shared" si="105"/>
        <v>0</v>
      </c>
      <c r="G124" s="79"/>
      <c r="H124" s="79"/>
      <c r="I124" s="80"/>
      <c r="J124" s="81"/>
      <c r="K124" s="82"/>
      <c r="L124" s="83"/>
      <c r="M124" s="81"/>
      <c r="N124" s="84"/>
      <c r="O124" s="85"/>
      <c r="P124" s="81"/>
      <c r="Q124" s="84"/>
      <c r="R124" s="86"/>
      <c r="S124" s="81"/>
      <c r="T124" s="84"/>
      <c r="U124" s="86"/>
      <c r="V124" s="81"/>
      <c r="W124" s="84"/>
      <c r="X124" s="86"/>
    </row>
    <row r="125" spans="1:24" outlineLevel="1">
      <c r="A125" s="136" t="s">
        <v>63</v>
      </c>
      <c r="B125" s="136" t="str">
        <f>+B2</f>
        <v>jméno pracovníka</v>
      </c>
      <c r="C125" s="136" t="str">
        <f>+C2</f>
        <v>úvazek</v>
      </c>
      <c r="D125" s="120">
        <f>SUM(D126:D127)*1.34</f>
        <v>73700</v>
      </c>
      <c r="E125" s="120">
        <f>SUM(E126:E127)*1.34</f>
        <v>78390</v>
      </c>
      <c r="F125" s="121">
        <f t="shared" si="105"/>
        <v>4690</v>
      </c>
      <c r="H125" s="16"/>
      <c r="I125" s="40"/>
    </row>
    <row r="126" spans="1:24" outlineLevel="2">
      <c r="A126" s="165" t="str">
        <f>+A55</f>
        <v>psych. sestra 1</v>
      </c>
      <c r="B126" s="165" t="str">
        <f t="shared" ref="B126:C126" si="116">+B55</f>
        <v>Prajzová</v>
      </c>
      <c r="C126" s="394">
        <f t="shared" si="116"/>
        <v>1</v>
      </c>
      <c r="D126" s="93">
        <v>55000</v>
      </c>
      <c r="E126" s="93">
        <v>58500</v>
      </c>
      <c r="F126" s="119">
        <f t="shared" si="105"/>
        <v>3500</v>
      </c>
      <c r="H126" s="16"/>
      <c r="I126" s="40"/>
    </row>
    <row r="127" spans="1:24" s="78" customFormat="1" outlineLevel="2">
      <c r="A127" s="134" t="str">
        <f>+A56</f>
        <v>psych. sestra 2</v>
      </c>
      <c r="B127" s="134">
        <f t="shared" ref="B127:C127" si="117">+B56</f>
        <v>0</v>
      </c>
      <c r="C127" s="391">
        <f t="shared" si="117"/>
        <v>0</v>
      </c>
      <c r="D127" s="95"/>
      <c r="E127" s="95"/>
      <c r="F127" s="110">
        <f t="shared" si="105"/>
        <v>0</v>
      </c>
      <c r="G127" s="79"/>
      <c r="H127" s="79"/>
      <c r="I127" s="80"/>
      <c r="J127" s="81"/>
      <c r="K127" s="82"/>
      <c r="L127" s="83"/>
      <c r="M127" s="81"/>
      <c r="N127" s="84"/>
      <c r="O127" s="85"/>
      <c r="P127" s="81"/>
      <c r="Q127" s="84"/>
      <c r="R127" s="86"/>
      <c r="S127" s="81"/>
      <c r="T127" s="84"/>
      <c r="U127" s="86"/>
      <c r="V127" s="81"/>
      <c r="W127" s="84"/>
      <c r="X127" s="86"/>
    </row>
    <row r="128" spans="1:24" outlineLevel="1">
      <c r="A128" s="202" t="s">
        <v>64</v>
      </c>
      <c r="B128" s="202" t="str">
        <f>+B2</f>
        <v>jméno pracovníka</v>
      </c>
      <c r="C128" s="202" t="str">
        <f>+C2</f>
        <v>úvazek</v>
      </c>
      <c r="D128" s="203">
        <f>SUM(D129:D130)*1.34</f>
        <v>0</v>
      </c>
      <c r="E128" s="203">
        <f>SUM(E129:E130)*1.34</f>
        <v>0</v>
      </c>
      <c r="F128" s="204">
        <f t="shared" si="105"/>
        <v>0</v>
      </c>
      <c r="H128" s="16"/>
      <c r="I128" s="40"/>
    </row>
    <row r="129" spans="1:24" s="78" customFormat="1" outlineLevel="2">
      <c r="A129" s="134" t="str">
        <f t="shared" ref="A129:C130" si="118">+A58</f>
        <v>psych. sestra 1</v>
      </c>
      <c r="B129" s="134">
        <f t="shared" si="118"/>
        <v>0</v>
      </c>
      <c r="C129" s="391">
        <f t="shared" si="118"/>
        <v>0</v>
      </c>
      <c r="D129" s="95"/>
      <c r="E129" s="95"/>
      <c r="F129" s="110">
        <f t="shared" si="105"/>
        <v>0</v>
      </c>
      <c r="G129" s="79"/>
      <c r="H129" s="79"/>
      <c r="I129" s="80"/>
      <c r="J129" s="81"/>
      <c r="K129" s="82"/>
      <c r="L129" s="83"/>
      <c r="M129" s="81"/>
      <c r="N129" s="84"/>
      <c r="O129" s="85"/>
      <c r="P129" s="81"/>
      <c r="Q129" s="84"/>
      <c r="R129" s="86"/>
      <c r="S129" s="81"/>
      <c r="T129" s="84"/>
      <c r="U129" s="86"/>
      <c r="V129" s="81"/>
      <c r="W129" s="84"/>
      <c r="X129" s="86"/>
    </row>
    <row r="130" spans="1:24" s="78" customFormat="1" outlineLevel="2">
      <c r="A130" s="134" t="str">
        <f t="shared" si="118"/>
        <v>psych. sestra 2</v>
      </c>
      <c r="B130" s="134">
        <f t="shared" si="118"/>
        <v>0</v>
      </c>
      <c r="C130" s="391">
        <f t="shared" si="118"/>
        <v>0</v>
      </c>
      <c r="D130" s="95"/>
      <c r="E130" s="95"/>
      <c r="F130" s="110">
        <f t="shared" si="105"/>
        <v>0</v>
      </c>
      <c r="G130" s="79"/>
      <c r="H130" s="79"/>
      <c r="I130" s="80"/>
      <c r="J130" s="81"/>
      <c r="K130" s="82"/>
      <c r="L130" s="83"/>
      <c r="M130" s="81"/>
      <c r="N130" s="84"/>
      <c r="O130" s="85"/>
      <c r="P130" s="81"/>
      <c r="Q130" s="84"/>
      <c r="R130" s="86"/>
      <c r="S130" s="81"/>
      <c r="T130" s="84"/>
      <c r="U130" s="86"/>
      <c r="V130" s="81"/>
      <c r="W130" s="84"/>
      <c r="X130" s="86"/>
    </row>
    <row r="131" spans="1:24" outlineLevel="1">
      <c r="A131" s="202" t="s">
        <v>65</v>
      </c>
      <c r="B131" s="202" t="str">
        <f>+B2</f>
        <v>jméno pracovníka</v>
      </c>
      <c r="C131" s="202" t="str">
        <f>+C2</f>
        <v>úvazek</v>
      </c>
      <c r="D131" s="203">
        <f>SUM(D132:D139)*1.34</f>
        <v>153430</v>
      </c>
      <c r="E131" s="203">
        <f>SUM(E132:E139)*1.34</f>
        <v>153430</v>
      </c>
      <c r="F131" s="204">
        <f t="shared" si="105"/>
        <v>0</v>
      </c>
      <c r="H131" s="16"/>
      <c r="I131" s="40"/>
    </row>
    <row r="132" spans="1:24" s="175" customFormat="1" outlineLevel="2">
      <c r="A132" s="165" t="str">
        <f>+A61</f>
        <v>všeob. sestra 1</v>
      </c>
      <c r="B132" s="165" t="str">
        <f t="shared" ref="B132:C132" si="119">+B61</f>
        <v>Pekárová</v>
      </c>
      <c r="C132" s="394">
        <f t="shared" si="119"/>
        <v>1</v>
      </c>
      <c r="D132" s="166"/>
      <c r="E132" s="166"/>
      <c r="F132" s="167">
        <f t="shared" si="105"/>
        <v>0</v>
      </c>
      <c r="G132" s="168"/>
      <c r="H132" s="168"/>
      <c r="I132" s="169"/>
      <c r="J132" s="170"/>
      <c r="K132" s="171"/>
      <c r="L132" s="228"/>
      <c r="M132" s="170"/>
      <c r="N132" s="172"/>
      <c r="O132" s="173"/>
      <c r="P132" s="170"/>
      <c r="Q132" s="172"/>
      <c r="R132" s="174"/>
      <c r="S132" s="170"/>
      <c r="T132" s="172"/>
      <c r="U132" s="174"/>
      <c r="V132" s="170"/>
      <c r="W132" s="172"/>
      <c r="X132" s="174"/>
    </row>
    <row r="133" spans="1:24" s="175" customFormat="1" outlineLevel="2">
      <c r="A133" s="165" t="str">
        <f>+A62</f>
        <v>psychiatr 1</v>
      </c>
      <c r="B133" s="165" t="str">
        <f>+B62</f>
        <v>Dorofeev</v>
      </c>
      <c r="C133" s="411">
        <f>+C62</f>
        <v>0.25</v>
      </c>
      <c r="D133" s="166">
        <v>37500</v>
      </c>
      <c r="E133" s="166">
        <v>37500</v>
      </c>
      <c r="F133" s="167">
        <f t="shared" si="105"/>
        <v>0</v>
      </c>
      <c r="G133" s="168"/>
      <c r="H133" s="168"/>
      <c r="I133" s="169"/>
      <c r="J133" s="170"/>
      <c r="K133" s="171"/>
      <c r="L133" s="228"/>
      <c r="M133" s="170"/>
      <c r="N133" s="172"/>
      <c r="O133" s="173"/>
      <c r="P133" s="170"/>
      <c r="Q133" s="172"/>
      <c r="R133" s="174"/>
      <c r="S133" s="170"/>
      <c r="T133" s="172"/>
      <c r="U133" s="174"/>
      <c r="V133" s="170"/>
      <c r="W133" s="172"/>
      <c r="X133" s="174"/>
    </row>
    <row r="134" spans="1:24" s="175" customFormat="1" outlineLevel="2">
      <c r="A134" s="165" t="str">
        <f t="shared" ref="A134:C134" si="120">+A63</f>
        <v>psych.sestra 1</v>
      </c>
      <c r="B134" s="165" t="str">
        <f t="shared" si="120"/>
        <v>Kašpárková</v>
      </c>
      <c r="C134" s="411">
        <f t="shared" si="120"/>
        <v>1</v>
      </c>
      <c r="D134" s="166">
        <v>65000</v>
      </c>
      <c r="E134" s="166">
        <v>65000</v>
      </c>
      <c r="F134" s="167">
        <f t="shared" ref="F134:F139" si="121">+E134-D134</f>
        <v>0</v>
      </c>
      <c r="G134" s="168"/>
      <c r="H134" s="168"/>
      <c r="I134" s="169"/>
      <c r="J134" s="170"/>
      <c r="K134" s="171"/>
      <c r="L134" s="228"/>
      <c r="M134" s="170"/>
      <c r="N134" s="172"/>
      <c r="O134" s="173"/>
      <c r="P134" s="170"/>
      <c r="Q134" s="172"/>
      <c r="R134" s="174"/>
      <c r="S134" s="170"/>
      <c r="T134" s="172"/>
      <c r="U134" s="174"/>
      <c r="V134" s="170"/>
      <c r="W134" s="172"/>
      <c r="X134" s="174"/>
    </row>
    <row r="135" spans="1:24" s="175" customFormat="1" outlineLevel="2">
      <c r="A135" s="165" t="str">
        <f t="shared" ref="A135:C135" si="122">+A64</f>
        <v>psycholog 1</v>
      </c>
      <c r="B135" s="165" t="str">
        <f t="shared" si="122"/>
        <v>Jakovcová</v>
      </c>
      <c r="C135" s="411">
        <f t="shared" si="122"/>
        <v>0.2</v>
      </c>
      <c r="D135" s="166">
        <v>12000</v>
      </c>
      <c r="E135" s="166">
        <v>12000</v>
      </c>
      <c r="F135" s="167">
        <f t="shared" si="121"/>
        <v>0</v>
      </c>
      <c r="G135" s="168"/>
      <c r="H135" s="168"/>
      <c r="I135" s="169"/>
      <c r="J135" s="170"/>
      <c r="K135" s="171"/>
      <c r="L135" s="228"/>
      <c r="M135" s="170"/>
      <c r="N135" s="172"/>
      <c r="O135" s="173"/>
      <c r="P135" s="170"/>
      <c r="Q135" s="172"/>
      <c r="R135" s="174"/>
      <c r="S135" s="170"/>
      <c r="T135" s="172"/>
      <c r="U135" s="174"/>
      <c r="V135" s="170"/>
      <c r="W135" s="172"/>
      <c r="X135" s="174"/>
    </row>
    <row r="136" spans="1:24" s="175" customFormat="1" outlineLevel="2">
      <c r="A136" s="134" t="str">
        <f t="shared" ref="A136:C137" si="123">+A66</f>
        <v>další pozice</v>
      </c>
      <c r="B136" s="134">
        <f t="shared" si="123"/>
        <v>0</v>
      </c>
      <c r="C136" s="414">
        <f t="shared" si="123"/>
        <v>0</v>
      </c>
      <c r="D136" s="155"/>
      <c r="E136" s="155"/>
      <c r="F136" s="156">
        <f t="shared" si="121"/>
        <v>0</v>
      </c>
      <c r="G136" s="168"/>
      <c r="H136" s="168"/>
      <c r="I136" s="169"/>
      <c r="J136" s="170"/>
      <c r="K136" s="171"/>
      <c r="L136" s="228"/>
      <c r="M136" s="170"/>
      <c r="N136" s="172"/>
      <c r="O136" s="173"/>
      <c r="P136" s="170"/>
      <c r="Q136" s="172"/>
      <c r="R136" s="174"/>
      <c r="S136" s="170"/>
      <c r="T136" s="172"/>
      <c r="U136" s="174"/>
      <c r="V136" s="170"/>
      <c r="W136" s="172"/>
      <c r="X136" s="174"/>
    </row>
    <row r="137" spans="1:24" s="175" customFormat="1" outlineLevel="2">
      <c r="A137" s="134" t="str">
        <f t="shared" si="123"/>
        <v>další pozice</v>
      </c>
      <c r="B137" s="134">
        <f t="shared" si="123"/>
        <v>0</v>
      </c>
      <c r="C137" s="414">
        <f t="shared" si="123"/>
        <v>0</v>
      </c>
      <c r="D137" s="155"/>
      <c r="E137" s="155"/>
      <c r="F137" s="156">
        <f t="shared" ref="F137" si="124">+E137-D137</f>
        <v>0</v>
      </c>
      <c r="G137" s="168"/>
      <c r="H137" s="168"/>
      <c r="I137" s="169"/>
      <c r="J137" s="170"/>
      <c r="K137" s="171"/>
      <c r="L137" s="228"/>
      <c r="M137" s="170"/>
      <c r="N137" s="172"/>
      <c r="O137" s="173"/>
      <c r="P137" s="170"/>
      <c r="Q137" s="172"/>
      <c r="R137" s="174"/>
      <c r="S137" s="170"/>
      <c r="T137" s="172"/>
      <c r="U137" s="174"/>
      <c r="V137" s="170"/>
      <c r="W137" s="172"/>
      <c r="X137" s="174"/>
    </row>
    <row r="138" spans="1:24" s="175" customFormat="1" outlineLevel="2">
      <c r="A138" s="134" t="str">
        <f t="shared" ref="A138:C138" si="125">+A67</f>
        <v>další pozice</v>
      </c>
      <c r="B138" s="134">
        <f t="shared" si="125"/>
        <v>0</v>
      </c>
      <c r="C138" s="414">
        <f t="shared" si="125"/>
        <v>0</v>
      </c>
      <c r="D138" s="155"/>
      <c r="E138" s="155"/>
      <c r="F138" s="156">
        <f t="shared" si="121"/>
        <v>0</v>
      </c>
      <c r="G138" s="168"/>
      <c r="H138" s="168"/>
      <c r="I138" s="169"/>
      <c r="J138" s="170"/>
      <c r="K138" s="171"/>
      <c r="L138" s="228"/>
      <c r="M138" s="170"/>
      <c r="N138" s="172"/>
      <c r="O138" s="173"/>
      <c r="P138" s="170"/>
      <c r="Q138" s="172"/>
      <c r="R138" s="174"/>
      <c r="S138" s="170"/>
      <c r="T138" s="172"/>
      <c r="U138" s="174"/>
      <c r="V138" s="170"/>
      <c r="W138" s="172"/>
      <c r="X138" s="174"/>
    </row>
    <row r="139" spans="1:24" s="175" customFormat="1" outlineLevel="2">
      <c r="A139" s="134" t="str">
        <f t="shared" ref="A139:C139" si="126">+A68</f>
        <v>další pozice</v>
      </c>
      <c r="B139" s="134">
        <f t="shared" si="126"/>
        <v>0</v>
      </c>
      <c r="C139" s="414">
        <f t="shared" si="126"/>
        <v>0</v>
      </c>
      <c r="D139" s="155"/>
      <c r="E139" s="155"/>
      <c r="F139" s="156">
        <f t="shared" si="121"/>
        <v>0</v>
      </c>
      <c r="G139" s="168"/>
      <c r="H139" s="168"/>
      <c r="I139" s="169"/>
      <c r="J139" s="170"/>
      <c r="K139" s="171"/>
      <c r="L139" s="228"/>
      <c r="M139" s="170"/>
      <c r="N139" s="172"/>
      <c r="O139" s="173"/>
      <c r="P139" s="170"/>
      <c r="Q139" s="172"/>
      <c r="R139" s="174"/>
      <c r="S139" s="170"/>
      <c r="T139" s="172"/>
      <c r="U139" s="174"/>
      <c r="V139" s="170"/>
      <c r="W139" s="172"/>
      <c r="X139" s="174"/>
    </row>
    <row r="140" spans="1:24">
      <c r="A140" s="89" t="s">
        <v>66</v>
      </c>
      <c r="B140" s="89"/>
      <c r="C140" s="378"/>
      <c r="D140" s="122">
        <f>SUM(D141:D148)</f>
        <v>728925</v>
      </c>
      <c r="E140" s="122">
        <f>SUM(E141:E148)</f>
        <v>547942.21680000005</v>
      </c>
      <c r="F140" s="123">
        <f>+E140-D140</f>
        <v>-180982.78319999995</v>
      </c>
    </row>
    <row r="141" spans="1:24" outlineLevel="1">
      <c r="A141" s="44" t="s">
        <v>67</v>
      </c>
      <c r="B141" s="44"/>
      <c r="C141" s="366"/>
      <c r="D141" s="141">
        <f>+D3*0.15</f>
        <v>194250</v>
      </c>
      <c r="E141" s="141">
        <f>+E3*0.15</f>
        <v>146484</v>
      </c>
      <c r="F141" s="142">
        <f t="shared" ref="F141:F166" si="127">+E141-D141</f>
        <v>-47766</v>
      </c>
    </row>
    <row r="142" spans="1:24" outlineLevel="1">
      <c r="A142" s="58" t="s">
        <v>68</v>
      </c>
      <c r="B142" s="58"/>
      <c r="C142" s="368"/>
      <c r="D142" s="141">
        <f>+D15*0.15</f>
        <v>162750</v>
      </c>
      <c r="E142" s="141">
        <f>+E15*0.15</f>
        <v>152193.71099999998</v>
      </c>
      <c r="F142" s="142">
        <f t="shared" si="127"/>
        <v>-10556.289000000019</v>
      </c>
    </row>
    <row r="143" spans="1:24" outlineLevel="1">
      <c r="A143" s="57" t="s">
        <v>69</v>
      </c>
      <c r="B143" s="57"/>
      <c r="C143" s="369"/>
      <c r="D143" s="141">
        <f>+D27*0.15</f>
        <v>162750</v>
      </c>
      <c r="E143" s="141">
        <f>+E27*0.15</f>
        <v>175052.6508</v>
      </c>
      <c r="F143" s="142">
        <f t="shared" si="127"/>
        <v>12302.650800000003</v>
      </c>
    </row>
    <row r="144" spans="1:24" outlineLevel="1">
      <c r="A144" s="50" t="s">
        <v>70</v>
      </c>
      <c r="B144" s="50"/>
      <c r="C144" s="370"/>
      <c r="D144" s="141">
        <f>+D39*0.15</f>
        <v>130500</v>
      </c>
      <c r="E144" s="141">
        <f>+E39*0.15</f>
        <v>39949.799999999996</v>
      </c>
      <c r="F144" s="142">
        <f t="shared" si="127"/>
        <v>-90550.200000000012</v>
      </c>
    </row>
    <row r="145" spans="1:6" outlineLevel="1">
      <c r="A145" s="67" t="s">
        <v>71</v>
      </c>
      <c r="B145" s="67"/>
      <c r="C145" s="371"/>
      <c r="D145" s="141">
        <f>+D51*0.15</f>
        <v>0</v>
      </c>
      <c r="E145" s="141">
        <f>+E51*0.15</f>
        <v>0</v>
      </c>
      <c r="F145" s="142">
        <f t="shared" si="127"/>
        <v>0</v>
      </c>
    </row>
    <row r="146" spans="1:6" outlineLevel="1">
      <c r="A146" s="47" t="s">
        <v>72</v>
      </c>
      <c r="B146" s="47"/>
      <c r="C146" s="372"/>
      <c r="D146" s="141">
        <f>+D54*0.15</f>
        <v>0</v>
      </c>
      <c r="E146" s="141">
        <f>+E54*0.15</f>
        <v>0</v>
      </c>
      <c r="F146" s="142">
        <f t="shared" si="127"/>
        <v>0</v>
      </c>
    </row>
    <row r="147" spans="1:6" outlineLevel="1">
      <c r="A147" s="198" t="s">
        <v>73</v>
      </c>
      <c r="B147" s="198"/>
      <c r="C147" s="374"/>
      <c r="D147" s="141">
        <f>+D57*0.15</f>
        <v>0</v>
      </c>
      <c r="E147" s="141">
        <f>+E57*0.15</f>
        <v>0</v>
      </c>
      <c r="F147" s="142">
        <f t="shared" si="127"/>
        <v>0</v>
      </c>
    </row>
    <row r="148" spans="1:6" outlineLevel="1">
      <c r="A148" s="198" t="s">
        <v>74</v>
      </c>
      <c r="B148" s="198"/>
      <c r="C148" s="374"/>
      <c r="D148" s="141">
        <f>+D60*0.15</f>
        <v>78675</v>
      </c>
      <c r="E148" s="141">
        <f>+E60*0.15</f>
        <v>34262.055</v>
      </c>
      <c r="F148" s="142">
        <f t="shared" si="127"/>
        <v>-44412.945</v>
      </c>
    </row>
    <row r="149" spans="1:6">
      <c r="A149" s="88" t="s">
        <v>75</v>
      </c>
      <c r="B149" s="88"/>
      <c r="C149" s="379"/>
      <c r="D149" s="124">
        <f>SUM(D150:D157)</f>
        <v>70000</v>
      </c>
      <c r="E149" s="124">
        <f>SUM(E150:E157)</f>
        <v>70000</v>
      </c>
      <c r="F149" s="125">
        <f>+E149-D149</f>
        <v>0</v>
      </c>
    </row>
    <row r="150" spans="1:6" outlineLevel="1">
      <c r="A150" s="44" t="s">
        <v>76</v>
      </c>
      <c r="B150" s="44"/>
      <c r="C150" s="366"/>
      <c r="D150" s="111">
        <v>30000</v>
      </c>
      <c r="E150" s="111">
        <f>+D150</f>
        <v>30000</v>
      </c>
      <c r="F150" s="112">
        <f t="shared" si="127"/>
        <v>0</v>
      </c>
    </row>
    <row r="151" spans="1:6" outlineLevel="1">
      <c r="A151" s="58" t="s">
        <v>77</v>
      </c>
      <c r="B151" s="58"/>
      <c r="C151" s="368"/>
      <c r="D151" s="111">
        <v>20000</v>
      </c>
      <c r="E151" s="111">
        <f t="shared" ref="E151:E157" si="128">+D151</f>
        <v>20000</v>
      </c>
      <c r="F151" s="112">
        <f t="shared" si="127"/>
        <v>0</v>
      </c>
    </row>
    <row r="152" spans="1:6" outlineLevel="1">
      <c r="A152" s="57" t="s">
        <v>78</v>
      </c>
      <c r="B152" s="57"/>
      <c r="C152" s="369"/>
      <c r="D152" s="111">
        <v>20000</v>
      </c>
      <c r="E152" s="111">
        <f t="shared" si="128"/>
        <v>20000</v>
      </c>
      <c r="F152" s="111">
        <f t="shared" si="127"/>
        <v>0</v>
      </c>
    </row>
    <row r="153" spans="1:6" outlineLevel="1">
      <c r="A153" s="50" t="s">
        <v>79</v>
      </c>
      <c r="B153" s="50"/>
      <c r="C153" s="370"/>
      <c r="D153" s="111">
        <v>0</v>
      </c>
      <c r="E153" s="111">
        <f t="shared" si="128"/>
        <v>0</v>
      </c>
      <c r="F153" s="111">
        <f t="shared" si="127"/>
        <v>0</v>
      </c>
    </row>
    <row r="154" spans="1:6" outlineLevel="1">
      <c r="A154" s="67" t="s">
        <v>80</v>
      </c>
      <c r="B154" s="67"/>
      <c r="C154" s="371"/>
      <c r="D154" s="111">
        <v>0</v>
      </c>
      <c r="E154" s="111">
        <f t="shared" si="128"/>
        <v>0</v>
      </c>
      <c r="F154" s="111">
        <f t="shared" si="127"/>
        <v>0</v>
      </c>
    </row>
    <row r="155" spans="1:6" outlineLevel="1">
      <c r="A155" s="47" t="s">
        <v>81</v>
      </c>
      <c r="B155" s="47"/>
      <c r="C155" s="372"/>
      <c r="D155" s="111">
        <v>0</v>
      </c>
      <c r="E155" s="111">
        <f t="shared" si="128"/>
        <v>0</v>
      </c>
      <c r="F155" s="111">
        <f t="shared" si="127"/>
        <v>0</v>
      </c>
    </row>
    <row r="156" spans="1:6" outlineLevel="1">
      <c r="A156" s="198" t="s">
        <v>82</v>
      </c>
      <c r="B156" s="198"/>
      <c r="C156" s="374"/>
      <c r="D156" s="111">
        <v>0</v>
      </c>
      <c r="E156" s="111">
        <f t="shared" si="128"/>
        <v>0</v>
      </c>
      <c r="F156" s="111">
        <f t="shared" si="127"/>
        <v>0</v>
      </c>
    </row>
    <row r="157" spans="1:6" outlineLevel="1">
      <c r="A157" s="198" t="s">
        <v>83</v>
      </c>
      <c r="B157" s="198"/>
      <c r="C157" s="374"/>
      <c r="D157" s="111">
        <v>0</v>
      </c>
      <c r="E157" s="111">
        <f t="shared" si="128"/>
        <v>0</v>
      </c>
      <c r="F157" s="111">
        <f t="shared" si="127"/>
        <v>0</v>
      </c>
    </row>
    <row r="158" spans="1:6">
      <c r="A158" s="150" t="s">
        <v>84</v>
      </c>
      <c r="B158" s="150"/>
      <c r="C158" s="380"/>
      <c r="D158" s="151">
        <f>SUM(D159:D166)</f>
        <v>485950</v>
      </c>
      <c r="E158" s="151">
        <f t="shared" ref="E158" si="129">SUM(E159:E166)</f>
        <v>365294.8112</v>
      </c>
      <c r="F158" s="151">
        <f>+E158-D158</f>
        <v>-120655.1888</v>
      </c>
    </row>
    <row r="159" spans="1:6" outlineLevel="1">
      <c r="A159" s="44" t="s">
        <v>85</v>
      </c>
      <c r="B159" s="44"/>
      <c r="C159" s="366"/>
      <c r="D159" s="152">
        <f>+D3/10</f>
        <v>129500</v>
      </c>
      <c r="E159" s="152">
        <f>+E3/10</f>
        <v>97656.000000000015</v>
      </c>
      <c r="F159" s="153">
        <f t="shared" si="127"/>
        <v>-31843.999999999985</v>
      </c>
    </row>
    <row r="160" spans="1:6" outlineLevel="1">
      <c r="A160" s="58" t="s">
        <v>86</v>
      </c>
      <c r="B160" s="58"/>
      <c r="C160" s="368"/>
      <c r="D160" s="152">
        <f>+D15/10</f>
        <v>108500</v>
      </c>
      <c r="E160" s="152">
        <f>+E15/10</f>
        <v>101462.47399999999</v>
      </c>
      <c r="F160" s="153">
        <f t="shared" si="127"/>
        <v>-7037.5260000000126</v>
      </c>
    </row>
    <row r="161" spans="1:9" outlineLevel="1">
      <c r="A161" s="57" t="s">
        <v>87</v>
      </c>
      <c r="B161" s="57"/>
      <c r="C161" s="369"/>
      <c r="D161" s="152">
        <f>+D27/10</f>
        <v>108500</v>
      </c>
      <c r="E161" s="152">
        <f>+E27/10</f>
        <v>116701.7672</v>
      </c>
      <c r="F161" s="152">
        <f t="shared" si="127"/>
        <v>8201.767200000002</v>
      </c>
    </row>
    <row r="162" spans="1:9" outlineLevel="1">
      <c r="A162" s="50" t="s">
        <v>88</v>
      </c>
      <c r="B162" s="50"/>
      <c r="C162" s="370"/>
      <c r="D162" s="152">
        <f>+D39/10</f>
        <v>87000</v>
      </c>
      <c r="E162" s="152">
        <f>+E39/10</f>
        <v>26633.200000000001</v>
      </c>
      <c r="F162" s="152">
        <f t="shared" si="127"/>
        <v>-60366.8</v>
      </c>
    </row>
    <row r="163" spans="1:9" outlineLevel="1">
      <c r="A163" s="67" t="s">
        <v>89</v>
      </c>
      <c r="B163" s="67"/>
      <c r="C163" s="371"/>
      <c r="D163" s="152">
        <f>+D51/10</f>
        <v>0</v>
      </c>
      <c r="E163" s="152">
        <f>+E51/10</f>
        <v>0</v>
      </c>
      <c r="F163" s="152">
        <f t="shared" si="127"/>
        <v>0</v>
      </c>
    </row>
    <row r="164" spans="1:9" outlineLevel="1">
      <c r="A164" s="47" t="s">
        <v>90</v>
      </c>
      <c r="B164" s="47"/>
      <c r="C164" s="372"/>
      <c r="D164" s="152">
        <f>+D54/10</f>
        <v>0</v>
      </c>
      <c r="E164" s="152">
        <f>+E54/10</f>
        <v>0</v>
      </c>
      <c r="F164" s="152">
        <f t="shared" si="127"/>
        <v>0</v>
      </c>
    </row>
    <row r="165" spans="1:9" outlineLevel="1">
      <c r="A165" s="198" t="s">
        <v>91</v>
      </c>
      <c r="B165" s="198"/>
      <c r="C165" s="374"/>
      <c r="D165" s="152">
        <f>+D57/10</f>
        <v>0</v>
      </c>
      <c r="E165" s="152">
        <f>+E57/10</f>
        <v>0</v>
      </c>
      <c r="F165" s="152">
        <f t="shared" si="127"/>
        <v>0</v>
      </c>
    </row>
    <row r="166" spans="1:9" outlineLevel="1">
      <c r="A166" s="198" t="s">
        <v>92</v>
      </c>
      <c r="B166" s="198"/>
      <c r="C166" s="374"/>
      <c r="D166" s="152">
        <f>+D60/10</f>
        <v>52450</v>
      </c>
      <c r="E166" s="152">
        <f>+E60/10</f>
        <v>22841.370000000003</v>
      </c>
      <c r="F166" s="152">
        <f t="shared" si="127"/>
        <v>-29608.629999999997</v>
      </c>
    </row>
    <row r="167" spans="1:9" ht="18">
      <c r="A167" s="139" t="s">
        <v>93</v>
      </c>
      <c r="B167" s="139"/>
      <c r="C167" s="381"/>
      <c r="D167" s="126">
        <f t="shared" ref="D167:F168" si="130">+D149+D140+D73+D158</f>
        <v>3271425</v>
      </c>
      <c r="E167" s="126">
        <f t="shared" si="130"/>
        <v>3007508.0279999999</v>
      </c>
      <c r="F167" s="126">
        <f t="shared" si="130"/>
        <v>-263916.97199999995</v>
      </c>
      <c r="G167" s="15"/>
      <c r="H167" s="10"/>
      <c r="I167" s="41"/>
    </row>
    <row r="168" spans="1:9" outlineLevel="1">
      <c r="A168" s="44" t="s">
        <v>94</v>
      </c>
      <c r="B168" s="44"/>
      <c r="C168" s="366"/>
      <c r="D168" s="140">
        <f t="shared" si="130"/>
        <v>925930</v>
      </c>
      <c r="E168" s="140">
        <f t="shared" si="130"/>
        <v>856571</v>
      </c>
      <c r="F168" s="140">
        <f t="shared" si="130"/>
        <v>-69358.999999999985</v>
      </c>
      <c r="G168" s="15"/>
      <c r="H168" s="10"/>
      <c r="I168" s="41"/>
    </row>
    <row r="169" spans="1:9" outlineLevel="1">
      <c r="A169" s="58" t="s">
        <v>95</v>
      </c>
      <c r="B169" s="58"/>
      <c r="C169" s="368"/>
      <c r="D169" s="140">
        <f>+D151+D142+D86+D160</f>
        <v>773650</v>
      </c>
      <c r="E169" s="140">
        <f>+E151+E142+E86+E160</f>
        <v>758066.18500000006</v>
      </c>
      <c r="F169" s="140">
        <f>+F151+F142+F86+F160</f>
        <v>-15583.815000000031</v>
      </c>
      <c r="G169" s="15"/>
      <c r="H169" s="10"/>
      <c r="I169" s="41"/>
    </row>
    <row r="170" spans="1:9" outlineLevel="1">
      <c r="A170" s="57" t="s">
        <v>96</v>
      </c>
      <c r="B170" s="57"/>
      <c r="C170" s="369"/>
      <c r="D170" s="140">
        <f>+D152+D143+D98+D161</f>
        <v>804470</v>
      </c>
      <c r="E170" s="140">
        <f>+E152+E143+E98+E161</f>
        <v>845744.41799999995</v>
      </c>
      <c r="F170" s="140">
        <f>+F152+F143+F98+F161</f>
        <v>41274.417999999947</v>
      </c>
      <c r="G170" s="15"/>
      <c r="H170" s="10"/>
      <c r="I170" s="41"/>
    </row>
    <row r="171" spans="1:9" outlineLevel="1">
      <c r="A171" s="50" t="s">
        <v>97</v>
      </c>
      <c r="B171" s="50"/>
      <c r="C171" s="370"/>
      <c r="D171" s="140">
        <f>+D153+D144+D110+D162</f>
        <v>409120</v>
      </c>
      <c r="E171" s="140">
        <f>+E153+E144+E110+E162</f>
        <v>258203</v>
      </c>
      <c r="F171" s="140">
        <f>+F153+F144+F110+F162</f>
        <v>-150917</v>
      </c>
      <c r="G171" s="15"/>
      <c r="H171" s="10"/>
      <c r="I171" s="41"/>
    </row>
    <row r="172" spans="1:9" outlineLevel="1">
      <c r="A172" s="67" t="s">
        <v>98</v>
      </c>
      <c r="B172" s="67"/>
      <c r="C172" s="371"/>
      <c r="D172" s="140">
        <f>+D154+D145+D122+D163</f>
        <v>0</v>
      </c>
      <c r="E172" s="140">
        <f>+E154+E145+E122+E163</f>
        <v>0</v>
      </c>
      <c r="F172" s="140">
        <f>+F154+F145+F122+F163</f>
        <v>0</v>
      </c>
      <c r="G172" s="15"/>
      <c r="H172" s="10"/>
      <c r="I172" s="41"/>
    </row>
    <row r="173" spans="1:9" outlineLevel="1">
      <c r="A173" s="47" t="s">
        <v>99</v>
      </c>
      <c r="B173" s="47"/>
      <c r="C173" s="372"/>
      <c r="D173" s="140">
        <f>+D164+D155+D146+D125</f>
        <v>73700</v>
      </c>
      <c r="E173" s="140">
        <f>+E164+E155+E146+E125</f>
        <v>78390</v>
      </c>
      <c r="F173" s="140">
        <f>+F156+F147+F130+F165</f>
        <v>0</v>
      </c>
      <c r="G173" s="15"/>
      <c r="H173" s="10"/>
      <c r="I173" s="41"/>
    </row>
    <row r="174" spans="1:9" outlineLevel="1">
      <c r="A174" s="198" t="s">
        <v>100</v>
      </c>
      <c r="B174" s="198"/>
      <c r="C174" s="374"/>
      <c r="D174" s="140">
        <f>+D165+D156+D147+D128</f>
        <v>0</v>
      </c>
      <c r="E174" s="140">
        <f>+E165+E156+E147+E128</f>
        <v>0</v>
      </c>
      <c r="F174" s="140">
        <f>+F156+F147+F130+F165</f>
        <v>0</v>
      </c>
      <c r="G174" s="15"/>
      <c r="H174" s="10"/>
      <c r="I174" s="41"/>
    </row>
    <row r="175" spans="1:9" outlineLevel="1">
      <c r="A175" s="198" t="s">
        <v>101</v>
      </c>
      <c r="B175" s="198"/>
      <c r="C175" s="374"/>
      <c r="D175" s="140">
        <f>+D166+D157+D148+D131</f>
        <v>284555</v>
      </c>
      <c r="E175" s="140">
        <f>+E166+E157+E148+E131</f>
        <v>210533.42499999999</v>
      </c>
      <c r="F175" s="140">
        <f>+F157+F148+F131+F166</f>
        <v>-74021.574999999997</v>
      </c>
      <c r="G175" s="15"/>
      <c r="H175" s="10"/>
      <c r="I175" s="41"/>
    </row>
    <row r="176" spans="1:9">
      <c r="A176" s="7"/>
      <c r="B176" s="7"/>
      <c r="C176" s="382"/>
      <c r="D176" s="127"/>
      <c r="E176" s="127"/>
      <c r="F176" s="128"/>
      <c r="G176" s="15"/>
      <c r="H176" s="10"/>
      <c r="I176" s="41"/>
    </row>
    <row r="177" spans="1:9" ht="15.75">
      <c r="A177" s="177" t="s">
        <v>102</v>
      </c>
      <c r="B177" s="177"/>
      <c r="C177" s="383"/>
      <c r="D177" s="129">
        <f>+D70-D167</f>
        <v>1588075</v>
      </c>
      <c r="E177" s="129">
        <f>+E70-E167</f>
        <v>645440.0839999998</v>
      </c>
      <c r="F177" s="129">
        <f>+F70-F167</f>
        <v>-942634.91600000008</v>
      </c>
      <c r="G177" s="19"/>
      <c r="H177" s="20"/>
      <c r="I177" s="42"/>
    </row>
    <row r="178" spans="1:9">
      <c r="A178" s="44" t="s">
        <v>103</v>
      </c>
      <c r="B178" s="44"/>
      <c r="C178" s="366"/>
      <c r="D178" s="178">
        <f>+D3-D168</f>
        <v>369070</v>
      </c>
      <c r="E178" s="178">
        <f>+E3-E168</f>
        <v>119989.00000000012</v>
      </c>
      <c r="F178" s="178">
        <f>+F3-F168</f>
        <v>-249080.99999999994</v>
      </c>
      <c r="G178" s="19"/>
      <c r="H178" s="20"/>
      <c r="I178" s="42"/>
    </row>
    <row r="179" spans="1:9">
      <c r="A179" s="58" t="s">
        <v>104</v>
      </c>
      <c r="B179" s="58"/>
      <c r="C179" s="368"/>
      <c r="D179" s="178">
        <f>+D15-D169</f>
        <v>311350</v>
      </c>
      <c r="E179" s="178">
        <f>+E15-E169</f>
        <v>256558.55499999982</v>
      </c>
      <c r="F179" s="178">
        <f>+F15-F169</f>
        <v>-54791.445000000036</v>
      </c>
      <c r="G179" s="19"/>
      <c r="H179" s="20"/>
      <c r="I179" s="42"/>
    </row>
    <row r="180" spans="1:9">
      <c r="A180" s="57" t="s">
        <v>105</v>
      </c>
      <c r="B180" s="57"/>
      <c r="C180" s="369"/>
      <c r="D180" s="178">
        <f>+D27-D170</f>
        <v>280530</v>
      </c>
      <c r="E180" s="178">
        <f>+E27-E170</f>
        <v>321273.25400000007</v>
      </c>
      <c r="F180" s="178">
        <f>+F27-F170</f>
        <v>40743.254000000015</v>
      </c>
      <c r="G180" s="19"/>
      <c r="H180" s="20"/>
      <c r="I180" s="42"/>
    </row>
    <row r="181" spans="1:9">
      <c r="A181" s="50" t="s">
        <v>106</v>
      </c>
      <c r="B181" s="50"/>
      <c r="C181" s="370"/>
      <c r="D181" s="178">
        <f>+D39-D171</f>
        <v>460880</v>
      </c>
      <c r="E181" s="178">
        <f>+E39-E171</f>
        <v>8129</v>
      </c>
      <c r="F181" s="178">
        <f>+F39-F171</f>
        <v>-452751</v>
      </c>
      <c r="G181" s="19"/>
      <c r="H181" s="20"/>
      <c r="I181" s="42"/>
    </row>
    <row r="182" spans="1:9">
      <c r="A182" s="61" t="s">
        <v>107</v>
      </c>
      <c r="B182" s="61"/>
      <c r="C182" s="384"/>
      <c r="D182" s="178">
        <f>+D51-D172</f>
        <v>0</v>
      </c>
      <c r="E182" s="178">
        <f>+E51-E172</f>
        <v>0</v>
      </c>
      <c r="F182" s="178">
        <f>+F51-F172</f>
        <v>0</v>
      </c>
      <c r="G182" s="19"/>
      <c r="H182" s="20"/>
      <c r="I182" s="42"/>
    </row>
    <row r="183" spans="1:9">
      <c r="A183" s="62" t="s">
        <v>108</v>
      </c>
      <c r="B183" s="62"/>
      <c r="C183" s="385"/>
      <c r="D183" s="178">
        <f>+D54-D173</f>
        <v>-73700</v>
      </c>
      <c r="E183" s="178">
        <f>+E54-E173</f>
        <v>-78390</v>
      </c>
      <c r="F183" s="178">
        <f>+F59-F174</f>
        <v>0</v>
      </c>
      <c r="G183" s="19"/>
      <c r="H183" s="20"/>
      <c r="I183" s="42"/>
    </row>
    <row r="184" spans="1:9">
      <c r="A184" s="201" t="s">
        <v>109</v>
      </c>
      <c r="B184" s="201"/>
      <c r="C184" s="386"/>
      <c r="D184" s="178">
        <f>+D57-D174</f>
        <v>0</v>
      </c>
      <c r="E184" s="178">
        <f>+E57-E174</f>
        <v>0</v>
      </c>
      <c r="F184" s="178">
        <f>+F59-F174</f>
        <v>0</v>
      </c>
      <c r="G184" s="19"/>
      <c r="H184" s="20"/>
      <c r="I184" s="42"/>
    </row>
    <row r="185" spans="1:9">
      <c r="A185" s="201" t="s">
        <v>110</v>
      </c>
      <c r="B185" s="201"/>
      <c r="C185" s="386"/>
      <c r="D185" s="178">
        <f>+D60-D175</f>
        <v>239945</v>
      </c>
      <c r="E185" s="178">
        <f>+E60-E175</f>
        <v>17880.275000000023</v>
      </c>
      <c r="F185" s="178">
        <f>+F60-F175</f>
        <v>-222064.72499999998</v>
      </c>
      <c r="G185" s="19"/>
      <c r="H185" s="20"/>
      <c r="I185" s="42"/>
    </row>
    <row r="186" spans="1:9">
      <c r="F186" s="131"/>
      <c r="G186" s="21"/>
      <c r="H186" s="22"/>
      <c r="I186" s="43"/>
    </row>
    <row r="187" spans="1:9">
      <c r="A187" s="179" t="s">
        <v>111</v>
      </c>
      <c r="B187" s="179"/>
      <c r="C187" s="388"/>
      <c r="D187" s="180">
        <f>+D70/D167-1</f>
        <v>0.48543830288024337</v>
      </c>
      <c r="E187" s="180">
        <f>+E70/E167-1</f>
        <v>0.21460959638043553</v>
      </c>
    </row>
  </sheetData>
  <mergeCells count="5">
    <mergeCell ref="J1:L1"/>
    <mergeCell ref="M1:O1"/>
    <mergeCell ref="P1:R1"/>
    <mergeCell ref="S1:U1"/>
    <mergeCell ref="V1:X1"/>
  </mergeCells>
  <conditionalFormatting sqref="D178:F185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F4:F1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{B9EFDEB3-69DB-4869-9734-922C98650410}</x14:id>
        </ext>
      </extLst>
    </cfRule>
  </conditionalFormatting>
  <conditionalFormatting sqref="F16:F26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{0DDB09B2-9B85-4787-BAAA-5FDD5E822B0F}</x14:id>
        </ext>
      </extLst>
    </cfRule>
  </conditionalFormatting>
  <conditionalFormatting sqref="F28:F3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{2DBC350F-DDDE-4872-9C9A-0B5167D42D51}</x14:id>
        </ext>
      </extLst>
    </cfRule>
  </conditionalFormatting>
  <conditionalFormatting sqref="F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{7808B92E-D28B-4B7D-9CF6-E9511A675A2D}</x14:id>
        </ext>
      </extLst>
    </cfRule>
  </conditionalFormatting>
  <conditionalFormatting sqref="F41:F5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{AA105F4A-3CE2-41AA-B835-897C2ADECABC}</x14:id>
        </ext>
      </extLst>
    </cfRule>
  </conditionalFormatting>
  <conditionalFormatting sqref="F52:F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{70D76A6A-00A5-4023-9C05-7351D4653E32}</x14:id>
        </ext>
      </extLst>
    </cfRule>
  </conditionalFormatting>
  <conditionalFormatting sqref="F55:F5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{FBEFBA3C-6B65-4533-9405-12DCC20D1A82}</x14:id>
        </ext>
      </extLst>
    </cfRule>
  </conditionalFormatting>
  <conditionalFormatting sqref="F58:F5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{A0BF04BF-F404-4376-8633-699C310190BA}</x14:id>
        </ext>
      </extLst>
    </cfRule>
  </conditionalFormatting>
  <conditionalFormatting sqref="F61:F6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{26EABE47-4D03-4472-9783-61E25A77E60A}</x14:id>
        </ext>
      </extLst>
    </cfRule>
  </conditionalFormatting>
  <pageMargins left="0.7" right="0.7" top="0.78740157499999996" bottom="0.78740157499999996" header="0.3" footer="0.3"/>
  <pageSetup paperSize="8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EFDEB3-69DB-4869-9734-922C986504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F4:F14</xm:sqref>
        </x14:conditionalFormatting>
        <x14:conditionalFormatting xmlns:xm="http://schemas.microsoft.com/office/excel/2006/main">
          <x14:cfRule type="dataBar" id="{0DDB09B2-9B85-4787-BAAA-5FDD5E822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F16:F26</xm:sqref>
        </x14:conditionalFormatting>
        <x14:conditionalFormatting xmlns:xm="http://schemas.microsoft.com/office/excel/2006/main">
          <x14:cfRule type="dataBar" id="{2DBC350F-DDDE-4872-9C9A-0B5167D42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F28:F38</xm:sqref>
        </x14:conditionalFormatting>
        <x14:conditionalFormatting xmlns:xm="http://schemas.microsoft.com/office/excel/2006/main">
          <x14:cfRule type="dataBar" id="{7808B92E-D28B-4B7D-9CF6-E9511A675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AA105F4A-3CE2-41AA-B835-897C2ADECA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F41:F50</xm:sqref>
        </x14:conditionalFormatting>
        <x14:conditionalFormatting xmlns:xm="http://schemas.microsoft.com/office/excel/2006/main">
          <x14:cfRule type="dataBar" id="{70D76A6A-00A5-4023-9C05-7351D4653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F52:F53</xm:sqref>
        </x14:conditionalFormatting>
        <x14:conditionalFormatting xmlns:xm="http://schemas.microsoft.com/office/excel/2006/main">
          <x14:cfRule type="dataBar" id="{FBEFBA3C-6B65-4533-9405-12DCC20D1A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F55:F56</xm:sqref>
        </x14:conditionalFormatting>
        <x14:conditionalFormatting xmlns:xm="http://schemas.microsoft.com/office/excel/2006/main">
          <x14:cfRule type="dataBar" id="{A0BF04BF-F404-4376-8633-699C31019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F58:F59</xm:sqref>
        </x14:conditionalFormatting>
        <x14:conditionalFormatting xmlns:xm="http://schemas.microsoft.com/office/excel/2006/main">
          <x14:cfRule type="dataBar" id="{26EABE47-4D03-4472-9783-61E25A77E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F61:F69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28DB-B933-48DA-810C-419AB8B0C2F2}">
  <sheetPr>
    <pageSetUpPr fitToPage="1"/>
  </sheetPr>
  <dimension ref="A1:AB187"/>
  <sheetViews>
    <sheetView tabSelected="1" zoomScale="85" zoomScaleNormal="85" workbookViewId="0">
      <pane xSplit="2" ySplit="2" topLeftCell="C66" activePane="bottomRight" state="frozen"/>
      <selection pane="bottomRight" activeCell="H79" sqref="H79"/>
      <selection pane="bottomLeft" activeCell="A3" sqref="A3"/>
      <selection pane="topRight" activeCell="C1" sqref="C1"/>
    </sheetView>
  </sheetViews>
  <sheetFormatPr defaultRowHeight="14.25" outlineLevelRow="2"/>
  <cols>
    <col min="1" max="1" width="18.42578125" customWidth="1"/>
    <col min="2" max="2" width="19.42578125" customWidth="1"/>
    <col min="3" max="3" width="10" style="387" customWidth="1"/>
    <col min="4" max="6" width="14.85546875" style="130" customWidth="1"/>
    <col min="7" max="7" width="8.7109375" style="16" customWidth="1"/>
    <col min="8" max="8" width="8.7109375" style="17" customWidth="1"/>
    <col min="9" max="9" width="3.7109375" style="34" customWidth="1"/>
    <col min="10" max="10" width="13.28515625" style="6" customWidth="1"/>
    <col min="11" max="11" width="10" style="26" customWidth="1"/>
    <col min="12" max="12" width="10" style="27" customWidth="1"/>
    <col min="13" max="13" width="13.28515625" style="6" customWidth="1"/>
    <col min="14" max="14" width="10" style="30" customWidth="1"/>
    <col min="15" max="15" width="10" style="31" customWidth="1"/>
    <col min="16" max="16" width="17.5703125" style="6" customWidth="1"/>
    <col min="17" max="17" width="10" style="30" customWidth="1"/>
    <col min="18" max="18" width="10" style="32" customWidth="1"/>
    <col min="19" max="19" width="14.7109375" style="6" customWidth="1"/>
    <col min="20" max="20" width="10" style="30" customWidth="1"/>
    <col min="21" max="21" width="10" style="32" customWidth="1"/>
    <col min="22" max="22" width="13.28515625" style="6" customWidth="1"/>
    <col min="23" max="23" width="10" style="30" customWidth="1"/>
    <col min="24" max="24" width="10" style="32" customWidth="1"/>
    <col min="25" max="25" width="16.5703125" customWidth="1"/>
    <col min="26" max="26" width="17.140625" customWidth="1"/>
  </cols>
  <sheetData>
    <row r="1" spans="1:25" s="66" customFormat="1" ht="21" customHeight="1">
      <c r="A1" s="144" t="s">
        <v>0</v>
      </c>
      <c r="B1" s="144"/>
      <c r="C1" s="364"/>
      <c r="D1" s="149"/>
      <c r="E1" s="149"/>
      <c r="F1" s="149"/>
      <c r="G1" s="63"/>
      <c r="H1" s="64"/>
      <c r="I1" s="65"/>
      <c r="J1" s="419" t="s">
        <v>1</v>
      </c>
      <c r="K1" s="420"/>
      <c r="L1" s="421"/>
      <c r="M1" s="419" t="s">
        <v>2</v>
      </c>
      <c r="N1" s="420"/>
      <c r="O1" s="421"/>
      <c r="P1" s="419" t="s">
        <v>3</v>
      </c>
      <c r="Q1" s="420"/>
      <c r="R1" s="421"/>
      <c r="S1" s="419" t="s">
        <v>4</v>
      </c>
      <c r="T1" s="420"/>
      <c r="U1" s="421"/>
      <c r="V1" s="419" t="s">
        <v>5</v>
      </c>
      <c r="W1" s="420"/>
      <c r="X1" s="421"/>
    </row>
    <row r="2" spans="1:25" s="23" customFormat="1" ht="23.25">
      <c r="A2" s="145" t="s">
        <v>195</v>
      </c>
      <c r="B2" s="145" t="s">
        <v>196</v>
      </c>
      <c r="C2" s="365" t="s">
        <v>197</v>
      </c>
      <c r="D2" s="146" t="s">
        <v>7</v>
      </c>
      <c r="E2" s="146" t="s">
        <v>8</v>
      </c>
      <c r="F2" s="146" t="s">
        <v>9</v>
      </c>
      <c r="G2" s="147" t="s">
        <v>10</v>
      </c>
      <c r="H2" s="148" t="s">
        <v>11</v>
      </c>
      <c r="I2" s="35"/>
      <c r="J2" s="12" t="s">
        <v>12</v>
      </c>
      <c r="K2" s="14" t="s">
        <v>10</v>
      </c>
      <c r="L2" s="11" t="s">
        <v>11</v>
      </c>
      <c r="M2" s="12" t="s">
        <v>12</v>
      </c>
      <c r="N2" s="14" t="s">
        <v>10</v>
      </c>
      <c r="O2" s="11" t="s">
        <v>11</v>
      </c>
      <c r="P2" s="12" t="s">
        <v>12</v>
      </c>
      <c r="Q2" s="14" t="s">
        <v>10</v>
      </c>
      <c r="R2" s="13" t="s">
        <v>11</v>
      </c>
      <c r="S2" s="12" t="s">
        <v>12</v>
      </c>
      <c r="T2" s="14" t="s">
        <v>10</v>
      </c>
      <c r="U2" s="13" t="s">
        <v>11</v>
      </c>
      <c r="V2" s="12" t="s">
        <v>12</v>
      </c>
      <c r="W2" s="14" t="s">
        <v>10</v>
      </c>
      <c r="X2" s="13" t="s">
        <v>11</v>
      </c>
    </row>
    <row r="3" spans="1:25" s="23" customFormat="1">
      <c r="A3" s="44" t="s">
        <v>13</v>
      </c>
      <c r="B3" s="44"/>
      <c r="C3" s="366"/>
      <c r="D3" s="91">
        <f>SUM(D4:D14)</f>
        <v>880000</v>
      </c>
      <c r="E3" s="91">
        <f>SUM(E4:E14)</f>
        <v>860786.3</v>
      </c>
      <c r="F3" s="91">
        <f>SUM(F4:F14)</f>
        <v>-19213.699999999953</v>
      </c>
      <c r="G3" s="46">
        <f>SUM(G4:G14)</f>
        <v>776</v>
      </c>
      <c r="H3" s="46">
        <f>SUM(H4:H14)</f>
        <v>44.766944444444448</v>
      </c>
      <c r="I3" s="36"/>
      <c r="J3" s="45">
        <f t="shared" ref="J3:X3" si="0">SUM(J4:J14)</f>
        <v>243024.1</v>
      </c>
      <c r="K3" s="46">
        <f t="shared" si="0"/>
        <v>194</v>
      </c>
      <c r="L3" s="46">
        <f t="shared" si="0"/>
        <v>12.843194444444444</v>
      </c>
      <c r="M3" s="45">
        <f t="shared" si="0"/>
        <v>209532.4</v>
      </c>
      <c r="N3" s="46">
        <f t="shared" si="0"/>
        <v>179</v>
      </c>
      <c r="O3" s="46">
        <f t="shared" si="0"/>
        <v>10.746666666666668</v>
      </c>
      <c r="P3" s="45">
        <f t="shared" si="0"/>
        <v>207105.8</v>
      </c>
      <c r="Q3" s="46">
        <f t="shared" si="0"/>
        <v>193</v>
      </c>
      <c r="R3" s="46">
        <f t="shared" si="0"/>
        <v>10.534722222222223</v>
      </c>
      <c r="S3" s="45">
        <f t="shared" si="0"/>
        <v>201124</v>
      </c>
      <c r="T3" s="46">
        <f t="shared" si="0"/>
        <v>210</v>
      </c>
      <c r="U3" s="46">
        <f t="shared" si="0"/>
        <v>10.642361111111111</v>
      </c>
      <c r="V3" s="45">
        <f t="shared" si="0"/>
        <v>0</v>
      </c>
      <c r="W3" s="46">
        <f t="shared" si="0"/>
        <v>0</v>
      </c>
      <c r="X3" s="46">
        <f t="shared" si="0"/>
        <v>0</v>
      </c>
    </row>
    <row r="4" spans="1:25" outlineLevel="2">
      <c r="A4" s="132" t="s">
        <v>198</v>
      </c>
      <c r="B4" s="132" t="s">
        <v>199</v>
      </c>
      <c r="C4" s="389">
        <v>1</v>
      </c>
      <c r="D4" s="92">
        <v>200000</v>
      </c>
      <c r="E4" s="92">
        <f>+J4+M4+P4+S4+V4</f>
        <v>201667.40000000002</v>
      </c>
      <c r="F4" s="93">
        <f t="shared" ref="F4:F14" si="1">+E4-D4</f>
        <v>1667.4000000000233</v>
      </c>
      <c r="G4" s="18">
        <f>+K4+N4+Q4+T4+W4</f>
        <v>194</v>
      </c>
      <c r="H4" s="18">
        <f>+L4+O4+R4+U4+X4</f>
        <v>12.024305555555555</v>
      </c>
      <c r="I4" s="37"/>
      <c r="J4" s="181">
        <v>61483.4</v>
      </c>
      <c r="K4" s="182">
        <v>54</v>
      </c>
      <c r="L4" s="183">
        <v>3.7604166666666665</v>
      </c>
      <c r="M4" s="184"/>
      <c r="N4" s="185"/>
      <c r="O4" s="186"/>
      <c r="P4" s="184">
        <v>70964.3</v>
      </c>
      <c r="Q4" s="185">
        <v>72</v>
      </c>
      <c r="R4" s="186">
        <v>4.1701388888888893</v>
      </c>
      <c r="S4" s="187">
        <v>69219.7</v>
      </c>
      <c r="T4" s="185">
        <v>68</v>
      </c>
      <c r="U4" s="186">
        <v>4.09375</v>
      </c>
      <c r="V4" s="187"/>
      <c r="W4" s="185"/>
      <c r="X4" s="186"/>
      <c r="Y4" s="295">
        <f>J4+P4+S4</f>
        <v>201667.40000000002</v>
      </c>
    </row>
    <row r="5" spans="1:25" outlineLevel="2">
      <c r="A5" s="132" t="s">
        <v>200</v>
      </c>
      <c r="B5" s="133" t="s">
        <v>201</v>
      </c>
      <c r="C5" s="390">
        <v>1</v>
      </c>
      <c r="D5" s="92">
        <v>200000</v>
      </c>
      <c r="E5" s="92">
        <f t="shared" ref="E5:E14" si="2">+J5+M5+P5+S5+V5</f>
        <v>17976.2</v>
      </c>
      <c r="F5" s="93">
        <f t="shared" si="1"/>
        <v>-182023.8</v>
      </c>
      <c r="G5" s="18">
        <f t="shared" ref="G5:H14" si="3">+K5+N5+Q5+T5+W5</f>
        <v>17</v>
      </c>
      <c r="H5" s="18">
        <f t="shared" si="3"/>
        <v>1.0972222222222223</v>
      </c>
      <c r="I5" s="37"/>
      <c r="J5" s="181">
        <v>17976.2</v>
      </c>
      <c r="K5" s="182">
        <v>17</v>
      </c>
      <c r="L5" s="183">
        <v>1.0972222222222223</v>
      </c>
      <c r="M5" s="184"/>
      <c r="N5" s="185"/>
      <c r="O5" s="186"/>
      <c r="P5" s="184"/>
      <c r="Q5" s="185"/>
      <c r="R5" s="186"/>
      <c r="S5" s="187"/>
      <c r="T5" s="185"/>
      <c r="U5" s="186"/>
      <c r="V5" s="187"/>
      <c r="W5" s="185"/>
      <c r="X5" s="186"/>
      <c r="Y5" s="295">
        <f>J5</f>
        <v>17976.2</v>
      </c>
    </row>
    <row r="6" spans="1:25" s="78" customFormat="1" outlineLevel="2">
      <c r="A6" s="132" t="s">
        <v>202</v>
      </c>
      <c r="B6" s="132" t="s">
        <v>203</v>
      </c>
      <c r="C6" s="389">
        <v>1</v>
      </c>
      <c r="D6" s="92">
        <v>200000</v>
      </c>
      <c r="E6" s="92">
        <f t="shared" si="2"/>
        <v>342925</v>
      </c>
      <c r="F6" s="360">
        <f t="shared" si="1"/>
        <v>142925</v>
      </c>
      <c r="G6" s="361">
        <f t="shared" si="3"/>
        <v>295</v>
      </c>
      <c r="H6" s="361">
        <f t="shared" si="3"/>
        <v>20.221805555555555</v>
      </c>
      <c r="I6" s="397"/>
      <c r="J6" s="195">
        <v>88033</v>
      </c>
      <c r="K6" s="182">
        <v>66</v>
      </c>
      <c r="L6" s="183">
        <v>5.18</v>
      </c>
      <c r="M6" s="305">
        <v>124293.4</v>
      </c>
      <c r="N6" s="306">
        <v>111</v>
      </c>
      <c r="O6" s="307">
        <v>7.33</v>
      </c>
      <c r="P6" s="305">
        <v>58722.400000000001</v>
      </c>
      <c r="Q6" s="306">
        <v>50</v>
      </c>
      <c r="R6" s="307">
        <v>3.5173611111111112</v>
      </c>
      <c r="S6" s="309">
        <v>71876.2</v>
      </c>
      <c r="T6" s="306">
        <v>68</v>
      </c>
      <c r="U6" s="307">
        <v>4.1944444444444446</v>
      </c>
      <c r="V6" s="309"/>
      <c r="W6" s="192"/>
      <c r="X6" s="193"/>
      <c r="Y6" s="312">
        <f>J6+M6+P6+S6</f>
        <v>342925</v>
      </c>
    </row>
    <row r="7" spans="1:25" s="226" customFormat="1" outlineLevel="2">
      <c r="A7" s="165" t="s">
        <v>204</v>
      </c>
      <c r="B7" s="415" t="s">
        <v>236</v>
      </c>
      <c r="C7" s="394">
        <v>1</v>
      </c>
      <c r="D7" s="215">
        <v>0</v>
      </c>
      <c r="E7" s="215">
        <f t="shared" si="2"/>
        <v>0</v>
      </c>
      <c r="F7" s="216">
        <f t="shared" si="1"/>
        <v>0</v>
      </c>
      <c r="G7" s="217">
        <f t="shared" si="3"/>
        <v>0</v>
      </c>
      <c r="H7" s="217">
        <f t="shared" si="3"/>
        <v>0</v>
      </c>
      <c r="I7" s="218"/>
      <c r="J7" s="219"/>
      <c r="K7" s="220"/>
      <c r="L7" s="221"/>
      <c r="M7" s="222"/>
      <c r="N7" s="223"/>
      <c r="O7" s="224"/>
      <c r="P7" s="222"/>
      <c r="Q7" s="223"/>
      <c r="R7" s="224"/>
      <c r="S7" s="225"/>
      <c r="T7" s="223"/>
      <c r="U7" s="224"/>
      <c r="V7" s="225"/>
      <c r="W7" s="223"/>
      <c r="X7" s="224"/>
      <c r="Y7" s="310">
        <f>M7+P7+S7+V7</f>
        <v>0</v>
      </c>
    </row>
    <row r="8" spans="1:25" s="78" customFormat="1" outlineLevel="2">
      <c r="A8" s="134" t="s">
        <v>202</v>
      </c>
      <c r="B8" s="134"/>
      <c r="C8" s="391">
        <v>1</v>
      </c>
      <c r="D8" s="94">
        <v>0</v>
      </c>
      <c r="E8" s="94">
        <f t="shared" si="2"/>
        <v>0</v>
      </c>
      <c r="F8" s="95">
        <f t="shared" si="1"/>
        <v>0</v>
      </c>
      <c r="G8" s="69">
        <f t="shared" si="3"/>
        <v>0</v>
      </c>
      <c r="H8" s="69">
        <f t="shared" si="3"/>
        <v>0</v>
      </c>
      <c r="I8" s="70"/>
      <c r="J8" s="188"/>
      <c r="K8" s="189"/>
      <c r="L8" s="190"/>
      <c r="M8" s="191"/>
      <c r="N8" s="192"/>
      <c r="O8" s="193"/>
      <c r="P8" s="191"/>
      <c r="Q8" s="192"/>
      <c r="R8" s="193"/>
      <c r="S8" s="194"/>
      <c r="T8" s="192"/>
      <c r="U8" s="193"/>
      <c r="V8" s="194"/>
      <c r="W8" s="192"/>
      <c r="X8" s="193"/>
      <c r="Y8" s="314"/>
    </row>
    <row r="9" spans="1:25" outlineLevel="2">
      <c r="A9" s="132" t="s">
        <v>126</v>
      </c>
      <c r="B9" s="132" t="s">
        <v>207</v>
      </c>
      <c r="C9" s="389">
        <v>0.2</v>
      </c>
      <c r="D9" s="92">
        <v>15000</v>
      </c>
      <c r="E9" s="92">
        <f t="shared" si="2"/>
        <v>8404</v>
      </c>
      <c r="F9" s="216">
        <f t="shared" si="1"/>
        <v>-6596</v>
      </c>
      <c r="G9" s="18">
        <f t="shared" si="3"/>
        <v>38</v>
      </c>
      <c r="H9" s="18">
        <f t="shared" si="3"/>
        <v>0.2986111111111111</v>
      </c>
      <c r="I9" s="37"/>
      <c r="J9" s="195">
        <v>1841.4</v>
      </c>
      <c r="K9" s="182">
        <v>9</v>
      </c>
      <c r="L9" s="183">
        <v>6.25E-2</v>
      </c>
      <c r="M9" s="184">
        <v>1841.4</v>
      </c>
      <c r="N9" s="185">
        <v>9</v>
      </c>
      <c r="O9" s="186">
        <v>6.25E-2</v>
      </c>
      <c r="P9" s="184">
        <v>2250.6</v>
      </c>
      <c r="Q9" s="185">
        <v>11</v>
      </c>
      <c r="R9" s="186">
        <v>7.6388888888888895E-2</v>
      </c>
      <c r="S9" s="187">
        <v>2470.6</v>
      </c>
      <c r="T9" s="185">
        <v>9</v>
      </c>
      <c r="U9" s="186">
        <v>9.7222222222222224E-2</v>
      </c>
      <c r="V9" s="187"/>
      <c r="W9" s="185"/>
      <c r="X9" s="186"/>
      <c r="Y9" s="295">
        <f>J9+M9+P9+S9</f>
        <v>8404</v>
      </c>
    </row>
    <row r="10" spans="1:25" outlineLevel="2">
      <c r="A10" s="132" t="s">
        <v>208</v>
      </c>
      <c r="B10" s="132" t="s">
        <v>209</v>
      </c>
      <c r="C10" s="389">
        <v>0.5</v>
      </c>
      <c r="D10" s="92">
        <f>450000*0.5</f>
        <v>225000</v>
      </c>
      <c r="E10" s="92">
        <f t="shared" si="2"/>
        <v>228884.7</v>
      </c>
      <c r="F10" s="93">
        <f t="shared" si="1"/>
        <v>3884.7000000000116</v>
      </c>
      <c r="G10" s="18">
        <f t="shared" si="3"/>
        <v>177</v>
      </c>
      <c r="H10" s="18">
        <f t="shared" si="3"/>
        <v>9.0902777777777768</v>
      </c>
      <c r="I10" s="37"/>
      <c r="J10" s="195">
        <v>59373.599999999999</v>
      </c>
      <c r="K10" s="182">
        <v>35</v>
      </c>
      <c r="L10" s="183">
        <v>2.2638888888888888</v>
      </c>
      <c r="M10" s="184">
        <v>67975.600000000006</v>
      </c>
      <c r="N10" s="185">
        <v>46</v>
      </c>
      <c r="O10" s="186">
        <v>2.7708333333333335</v>
      </c>
      <c r="P10" s="184">
        <v>49920.2</v>
      </c>
      <c r="Q10" s="185">
        <v>46</v>
      </c>
      <c r="R10" s="186">
        <v>2.0138888888888888</v>
      </c>
      <c r="S10" s="187">
        <v>51615.3</v>
      </c>
      <c r="T10" s="185">
        <v>50</v>
      </c>
      <c r="U10" s="186">
        <v>2.0416666666666665</v>
      </c>
      <c r="V10" s="187"/>
      <c r="W10" s="185"/>
      <c r="X10" s="186"/>
      <c r="Y10" s="295">
        <f>J10+M10+P10+S10</f>
        <v>228884.7</v>
      </c>
    </row>
    <row r="11" spans="1:25" s="78" customFormat="1" outlineLevel="2">
      <c r="A11" s="134" t="s">
        <v>210</v>
      </c>
      <c r="B11" s="134"/>
      <c r="C11" s="391"/>
      <c r="D11" s="94">
        <v>0</v>
      </c>
      <c r="E11" s="94">
        <f t="shared" si="2"/>
        <v>0</v>
      </c>
      <c r="F11" s="95">
        <f t="shared" si="1"/>
        <v>0</v>
      </c>
      <c r="G11" s="69">
        <f t="shared" si="3"/>
        <v>0</v>
      </c>
      <c r="H11" s="69">
        <f t="shared" si="3"/>
        <v>0</v>
      </c>
      <c r="I11" s="70"/>
      <c r="J11" s="188"/>
      <c r="K11" s="189"/>
      <c r="L11" s="190"/>
      <c r="M11" s="191"/>
      <c r="N11" s="192"/>
      <c r="O11" s="193"/>
      <c r="P11" s="191"/>
      <c r="Q11" s="192"/>
      <c r="R11" s="193"/>
      <c r="S11" s="194"/>
      <c r="T11" s="192"/>
      <c r="U11" s="193"/>
      <c r="V11" s="194"/>
      <c r="W11" s="192"/>
      <c r="X11" s="193"/>
    </row>
    <row r="12" spans="1:25" s="78" customFormat="1" outlineLevel="2">
      <c r="A12" s="301" t="s">
        <v>211</v>
      </c>
      <c r="B12" s="301" t="s">
        <v>212</v>
      </c>
      <c r="C12" s="392">
        <v>0.5</v>
      </c>
      <c r="D12" s="302">
        <v>40000</v>
      </c>
      <c r="E12" s="92">
        <v>60929</v>
      </c>
      <c r="F12" s="216">
        <f t="shared" si="1"/>
        <v>20929</v>
      </c>
      <c r="G12" s="217">
        <f t="shared" si="3"/>
        <v>55</v>
      </c>
      <c r="H12" s="217">
        <f t="shared" si="3"/>
        <v>2.0347222222222223</v>
      </c>
      <c r="I12" s="70"/>
      <c r="J12" s="195">
        <v>14316.5</v>
      </c>
      <c r="K12" s="182">
        <v>13</v>
      </c>
      <c r="L12" s="183">
        <v>0.47916666666666669</v>
      </c>
      <c r="M12" s="184">
        <v>15422</v>
      </c>
      <c r="N12" s="306">
        <v>13</v>
      </c>
      <c r="O12" s="307">
        <v>0.58333333333333337</v>
      </c>
      <c r="P12" s="305">
        <v>25248.3</v>
      </c>
      <c r="Q12" s="306">
        <v>14</v>
      </c>
      <c r="R12" s="307">
        <v>0.75694444444444442</v>
      </c>
      <c r="S12" s="309">
        <v>5942.2</v>
      </c>
      <c r="T12" s="306">
        <v>15</v>
      </c>
      <c r="U12" s="307">
        <v>0.21527777777777779</v>
      </c>
      <c r="V12" s="309"/>
      <c r="W12" s="192"/>
      <c r="X12" s="193"/>
      <c r="Y12" s="312">
        <f>J12+M12+P12+S12</f>
        <v>60929</v>
      </c>
    </row>
    <row r="13" spans="1:25" s="78" customFormat="1" outlineLevel="2">
      <c r="A13" s="308" t="s">
        <v>133</v>
      </c>
      <c r="B13" s="308"/>
      <c r="C13" s="393"/>
      <c r="D13" s="94">
        <v>0</v>
      </c>
      <c r="E13" s="94">
        <v>0</v>
      </c>
      <c r="F13" s="95">
        <f t="shared" si="1"/>
        <v>0</v>
      </c>
      <c r="G13" s="69">
        <f t="shared" si="3"/>
        <v>0</v>
      </c>
      <c r="H13" s="69">
        <f t="shared" si="3"/>
        <v>0</v>
      </c>
      <c r="I13" s="70"/>
      <c r="J13" s="188"/>
      <c r="K13" s="189"/>
      <c r="L13" s="190"/>
      <c r="M13" s="305"/>
      <c r="N13" s="192"/>
      <c r="O13" s="193"/>
      <c r="P13" s="191"/>
      <c r="Q13" s="192"/>
      <c r="R13" s="193"/>
      <c r="S13" s="194"/>
      <c r="T13" s="192"/>
      <c r="U13" s="193"/>
      <c r="V13" s="194"/>
      <c r="W13" s="192"/>
      <c r="X13" s="193"/>
    </row>
    <row r="14" spans="1:25" s="78" customFormat="1" outlineLevel="2">
      <c r="A14" s="308" t="s">
        <v>213</v>
      </c>
      <c r="B14" s="308"/>
      <c r="C14" s="393"/>
      <c r="D14" s="94">
        <v>0</v>
      </c>
      <c r="E14" s="94">
        <f t="shared" si="2"/>
        <v>0</v>
      </c>
      <c r="F14" s="95">
        <f t="shared" si="1"/>
        <v>0</v>
      </c>
      <c r="G14" s="69">
        <f t="shared" si="3"/>
        <v>0</v>
      </c>
      <c r="H14" s="69">
        <f t="shared" si="3"/>
        <v>0</v>
      </c>
      <c r="I14" s="70"/>
      <c r="J14" s="188"/>
      <c r="K14" s="189"/>
      <c r="L14" s="190"/>
      <c r="M14" s="191"/>
      <c r="N14" s="192"/>
      <c r="O14" s="193"/>
      <c r="P14" s="191"/>
      <c r="Q14" s="192"/>
      <c r="R14" s="193"/>
      <c r="S14" s="194"/>
      <c r="T14" s="192"/>
      <c r="U14" s="193"/>
      <c r="V14" s="194"/>
      <c r="W14" s="192"/>
      <c r="X14" s="193"/>
    </row>
    <row r="15" spans="1:25">
      <c r="A15" s="58" t="s">
        <v>22</v>
      </c>
      <c r="B15" s="58"/>
      <c r="C15" s="368"/>
      <c r="D15" s="96">
        <f>SUM(D16:D26)</f>
        <v>1085000</v>
      </c>
      <c r="E15" s="96">
        <f t="shared" ref="E15:F15" si="4">SUM(E16:E26)</f>
        <v>1082699.73</v>
      </c>
      <c r="F15" s="96">
        <f t="shared" si="4"/>
        <v>-2300.2699999999968</v>
      </c>
      <c r="G15" s="54">
        <f>SUM(G16:G26)</f>
        <v>907</v>
      </c>
      <c r="H15" s="54">
        <f>SUM(H16:H26)</f>
        <v>56.58680555555555</v>
      </c>
      <c r="I15" s="37"/>
      <c r="J15" s="53">
        <f t="shared" ref="J15" si="5">SUM(J16:J26)</f>
        <v>252931.28999999998</v>
      </c>
      <c r="K15" s="54">
        <f>SUM(K16:K26)</f>
        <v>195</v>
      </c>
      <c r="L15" s="54">
        <f>SUM(L16:L26)</f>
        <v>13.048611111111111</v>
      </c>
      <c r="M15" s="53">
        <f t="shared" ref="M15" si="6">SUM(M16:M26)</f>
        <v>269025.88</v>
      </c>
      <c r="N15" s="54">
        <f>SUM(N16:N26)</f>
        <v>231</v>
      </c>
      <c r="O15" s="54">
        <f>SUM(O16:O26)</f>
        <v>14.215277777777779</v>
      </c>
      <c r="P15" s="53">
        <f t="shared" ref="P15" si="7">SUM(P16:P26)</f>
        <v>286759.49000000005</v>
      </c>
      <c r="Q15" s="54">
        <f>SUM(Q16:Q26)</f>
        <v>243</v>
      </c>
      <c r="R15" s="54">
        <f>SUM(R16:R26)</f>
        <v>14.833333333333334</v>
      </c>
      <c r="S15" s="53">
        <f t="shared" ref="S15" si="8">SUM(S16:S26)</f>
        <v>273983.06999999995</v>
      </c>
      <c r="T15" s="54">
        <f>SUM(T16:T26)</f>
        <v>238</v>
      </c>
      <c r="U15" s="54">
        <f>SUM(U16:U26)</f>
        <v>14.489583333333332</v>
      </c>
      <c r="V15" s="53">
        <f t="shared" ref="V15" si="9">SUM(V16:V26)</f>
        <v>0</v>
      </c>
      <c r="W15" s="54">
        <f>SUM(W16:W26)</f>
        <v>0</v>
      </c>
      <c r="X15" s="54">
        <f>SUM(X16:X26)</f>
        <v>0</v>
      </c>
    </row>
    <row r="16" spans="1:25" outlineLevel="2">
      <c r="A16" s="132" t="s">
        <v>198</v>
      </c>
      <c r="B16" s="133" t="s">
        <v>181</v>
      </c>
      <c r="C16" s="390">
        <v>1</v>
      </c>
      <c r="D16" s="97">
        <v>200000</v>
      </c>
      <c r="E16" s="215">
        <f t="shared" ref="E16:E62" si="10">+J16+M16+P16+S16+V16</f>
        <v>222350.09999999998</v>
      </c>
      <c r="F16" s="93">
        <f t="shared" ref="F16:F26" si="11">+E16-D16</f>
        <v>22350.099999999977</v>
      </c>
      <c r="G16" s="18">
        <f t="shared" ref="G16:H26" si="12">+K16+N16+Q16+T16+W16</f>
        <v>213</v>
      </c>
      <c r="H16" s="18">
        <f t="shared" si="12"/>
        <v>12.795138888888889</v>
      </c>
      <c r="I16" s="37"/>
      <c r="J16" s="181">
        <v>75392.47</v>
      </c>
      <c r="K16" s="182">
        <v>66</v>
      </c>
      <c r="L16" s="183">
        <v>4.3819444444444446</v>
      </c>
      <c r="M16" s="184">
        <v>84499.14</v>
      </c>
      <c r="N16" s="185">
        <v>86</v>
      </c>
      <c r="O16" s="186">
        <v>4.7638888888888893</v>
      </c>
      <c r="P16" s="184">
        <v>5387.84</v>
      </c>
      <c r="Q16" s="185">
        <v>5</v>
      </c>
      <c r="R16" s="186">
        <v>0.33333333333333331</v>
      </c>
      <c r="S16" s="187">
        <v>57070.65</v>
      </c>
      <c r="T16" s="185">
        <v>56</v>
      </c>
      <c r="U16" s="186">
        <v>3.3159722222222223</v>
      </c>
      <c r="V16" s="187"/>
      <c r="W16" s="185"/>
      <c r="X16" s="186"/>
      <c r="Y16" s="295">
        <f>J16+M16+P16+S16</f>
        <v>222350.09999999998</v>
      </c>
    </row>
    <row r="17" spans="1:28" s="226" customFormat="1" outlineLevel="2">
      <c r="A17" s="132" t="s">
        <v>200</v>
      </c>
      <c r="B17" s="165" t="s">
        <v>214</v>
      </c>
      <c r="C17" s="394">
        <v>1</v>
      </c>
      <c r="D17" s="97">
        <v>200000</v>
      </c>
      <c r="E17" s="215">
        <f t="shared" si="10"/>
        <v>296578.67000000004</v>
      </c>
      <c r="F17" s="216">
        <f t="shared" si="11"/>
        <v>96578.670000000042</v>
      </c>
      <c r="G17" s="217">
        <f t="shared" si="12"/>
        <v>249</v>
      </c>
      <c r="H17" s="217">
        <f t="shared" si="12"/>
        <v>17.319444444444443</v>
      </c>
      <c r="I17" s="218"/>
      <c r="J17" s="219">
        <v>80390.460000000006</v>
      </c>
      <c r="K17" s="220">
        <v>66</v>
      </c>
      <c r="L17" s="221">
        <v>4.7361111111111107</v>
      </c>
      <c r="M17" s="222">
        <v>66306.14</v>
      </c>
      <c r="N17" s="223">
        <v>61</v>
      </c>
      <c r="O17" s="224">
        <v>3.8194444444444446</v>
      </c>
      <c r="P17" s="222">
        <v>80754.320000000007</v>
      </c>
      <c r="Q17" s="223">
        <v>68</v>
      </c>
      <c r="R17" s="224">
        <v>4.7361111111111107</v>
      </c>
      <c r="S17" s="225">
        <v>69127.75</v>
      </c>
      <c r="T17" s="223">
        <v>54</v>
      </c>
      <c r="U17" s="224">
        <v>4.0277777777777777</v>
      </c>
      <c r="V17" s="225"/>
      <c r="W17" s="223"/>
      <c r="X17" s="224"/>
      <c r="Y17" s="294">
        <f>J17+M17+P17+S17</f>
        <v>296578.67000000004</v>
      </c>
    </row>
    <row r="18" spans="1:28" s="226" customFormat="1" outlineLevel="2">
      <c r="A18" s="132" t="s">
        <v>215</v>
      </c>
      <c r="B18" s="165" t="s">
        <v>216</v>
      </c>
      <c r="C18" s="394">
        <v>1</v>
      </c>
      <c r="D18" s="97">
        <v>200000</v>
      </c>
      <c r="E18" s="215">
        <f t="shared" si="10"/>
        <v>131663.07999999999</v>
      </c>
      <c r="F18" s="216">
        <f t="shared" si="11"/>
        <v>-68336.920000000013</v>
      </c>
      <c r="G18" s="217">
        <f t="shared" si="12"/>
        <v>101</v>
      </c>
      <c r="H18" s="217">
        <f t="shared" si="12"/>
        <v>7.9305555555555554</v>
      </c>
      <c r="I18" s="218"/>
      <c r="J18" s="219"/>
      <c r="K18" s="220"/>
      <c r="L18" s="221"/>
      <c r="M18" s="222">
        <v>42210.02</v>
      </c>
      <c r="N18" s="223">
        <v>25</v>
      </c>
      <c r="O18" s="224">
        <v>2.5208333333333335</v>
      </c>
      <c r="P18" s="222">
        <v>56452.54</v>
      </c>
      <c r="Q18" s="223">
        <v>48</v>
      </c>
      <c r="R18" s="224">
        <v>3.3680555555555554</v>
      </c>
      <c r="S18" s="225">
        <v>33000.519999999997</v>
      </c>
      <c r="T18" s="223">
        <v>28</v>
      </c>
      <c r="U18" s="224">
        <v>2.0416666666666665</v>
      </c>
      <c r="V18" s="225"/>
      <c r="W18" s="223"/>
      <c r="X18" s="224"/>
      <c r="Y18" s="294">
        <f>M18+P18+S18</f>
        <v>131663.07999999999</v>
      </c>
    </row>
    <row r="19" spans="1:28" s="226" customFormat="1" outlineLevel="2">
      <c r="A19" s="165" t="s">
        <v>204</v>
      </c>
      <c r="B19" s="415" t="s">
        <v>237</v>
      </c>
      <c r="C19" s="394">
        <v>1</v>
      </c>
      <c r="D19" s="97">
        <v>200000</v>
      </c>
      <c r="E19" s="215">
        <f t="shared" si="10"/>
        <v>85338</v>
      </c>
      <c r="F19" s="216">
        <f t="shared" si="11"/>
        <v>-114662</v>
      </c>
      <c r="G19" s="217">
        <f t="shared" si="12"/>
        <v>92</v>
      </c>
      <c r="H19" s="217">
        <f t="shared" si="12"/>
        <v>4.6875</v>
      </c>
      <c r="I19" s="218"/>
      <c r="J19" s="219"/>
      <c r="K19" s="220"/>
      <c r="L19" s="221"/>
      <c r="M19" s="222"/>
      <c r="N19" s="223"/>
      <c r="O19" s="224"/>
      <c r="P19" s="222">
        <v>43071.6</v>
      </c>
      <c r="Q19" s="223">
        <v>49</v>
      </c>
      <c r="R19" s="224">
        <v>2.375</v>
      </c>
      <c r="S19" s="225">
        <v>42266.400000000001</v>
      </c>
      <c r="T19" s="223">
        <v>43</v>
      </c>
      <c r="U19" s="224">
        <v>2.3125</v>
      </c>
      <c r="V19" s="225"/>
      <c r="W19" s="223"/>
      <c r="X19" s="224"/>
      <c r="Y19" s="294">
        <f>P19+S19</f>
        <v>85338</v>
      </c>
    </row>
    <row r="20" spans="1:28" s="226" customFormat="1" outlineLevel="2">
      <c r="A20" s="134" t="s">
        <v>218</v>
      </c>
      <c r="B20" s="165"/>
      <c r="C20" s="394"/>
      <c r="D20" s="94">
        <v>0</v>
      </c>
      <c r="E20" s="94">
        <f t="shared" si="10"/>
        <v>0</v>
      </c>
      <c r="F20" s="95">
        <f t="shared" si="11"/>
        <v>0</v>
      </c>
      <c r="G20" s="69">
        <f t="shared" si="12"/>
        <v>0</v>
      </c>
      <c r="H20" s="69">
        <f t="shared" si="12"/>
        <v>0</v>
      </c>
      <c r="I20" s="218"/>
      <c r="J20" s="219"/>
      <c r="K20" s="220"/>
      <c r="L20" s="221"/>
      <c r="M20" s="222"/>
      <c r="N20" s="223"/>
      <c r="O20" s="224"/>
      <c r="P20" s="222"/>
      <c r="Q20" s="223"/>
      <c r="R20" s="224"/>
      <c r="S20" s="225"/>
      <c r="T20" s="223"/>
      <c r="U20" s="224"/>
      <c r="V20" s="225"/>
      <c r="W20" s="223"/>
      <c r="X20" s="224"/>
    </row>
    <row r="21" spans="1:28" s="226" customFormat="1" outlineLevel="2">
      <c r="A21" s="132" t="s">
        <v>126</v>
      </c>
      <c r="B21" s="165" t="s">
        <v>219</v>
      </c>
      <c r="C21" s="394">
        <v>0.5</v>
      </c>
      <c r="D21" s="215">
        <f>450000/2</f>
        <v>225000</v>
      </c>
      <c r="E21" s="215">
        <f t="shared" si="10"/>
        <v>286355.56</v>
      </c>
      <c r="F21" s="216">
        <f t="shared" si="11"/>
        <v>61355.56</v>
      </c>
      <c r="G21" s="217">
        <f t="shared" si="12"/>
        <v>206</v>
      </c>
      <c r="H21" s="217">
        <f t="shared" si="12"/>
        <v>11.347222222222221</v>
      </c>
      <c r="I21" s="218"/>
      <c r="J21" s="219">
        <v>76569.929999999993</v>
      </c>
      <c r="K21" s="220">
        <v>47</v>
      </c>
      <c r="L21" s="221">
        <v>3.0625</v>
      </c>
      <c r="M21" s="222">
        <v>76010.58</v>
      </c>
      <c r="N21" s="223">
        <v>59</v>
      </c>
      <c r="O21" s="224">
        <v>3.1111111111111112</v>
      </c>
      <c r="P21" s="222">
        <v>80737.37</v>
      </c>
      <c r="Q21" s="223">
        <v>58</v>
      </c>
      <c r="R21" s="224">
        <v>3.1805555555555554</v>
      </c>
      <c r="S21" s="225">
        <v>53037.68</v>
      </c>
      <c r="T21" s="223">
        <v>42</v>
      </c>
      <c r="U21" s="224">
        <v>1.9930555555555556</v>
      </c>
      <c r="V21" s="225"/>
      <c r="W21" s="223"/>
      <c r="X21" s="224"/>
      <c r="Y21" s="294">
        <f>J21+M21+P21+S21</f>
        <v>286355.56</v>
      </c>
      <c r="AB21" s="226" t="s">
        <v>220</v>
      </c>
    </row>
    <row r="22" spans="1:28" s="78" customFormat="1" outlineLevel="2">
      <c r="A22" s="134" t="s">
        <v>208</v>
      </c>
      <c r="B22" s="134"/>
      <c r="C22" s="391"/>
      <c r="D22" s="94">
        <v>0</v>
      </c>
      <c r="E22" s="94">
        <f t="shared" si="10"/>
        <v>0</v>
      </c>
      <c r="F22" s="95">
        <f t="shared" si="11"/>
        <v>0</v>
      </c>
      <c r="G22" s="69">
        <f t="shared" si="12"/>
        <v>0</v>
      </c>
      <c r="H22" s="69">
        <f t="shared" si="12"/>
        <v>0</v>
      </c>
      <c r="I22" s="70"/>
      <c r="J22" s="188"/>
      <c r="K22" s="189"/>
      <c r="L22" s="190"/>
      <c r="M22" s="191"/>
      <c r="N22" s="192"/>
      <c r="O22" s="193"/>
      <c r="P22" s="191"/>
      <c r="Q22" s="192"/>
      <c r="R22" s="193"/>
      <c r="S22" s="194"/>
      <c r="T22" s="192"/>
      <c r="U22" s="193"/>
      <c r="V22" s="194"/>
      <c r="W22" s="192"/>
      <c r="X22" s="193"/>
      <c r="Z22" s="314"/>
    </row>
    <row r="23" spans="1:28" s="78" customFormat="1" outlineLevel="2">
      <c r="A23" s="134" t="s">
        <v>210</v>
      </c>
      <c r="B23" s="134"/>
      <c r="C23" s="391"/>
      <c r="D23" s="94">
        <v>0</v>
      </c>
      <c r="E23" s="94">
        <f t="shared" si="10"/>
        <v>0</v>
      </c>
      <c r="F23" s="95">
        <f t="shared" si="11"/>
        <v>0</v>
      </c>
      <c r="G23" s="69">
        <f t="shared" si="12"/>
        <v>0</v>
      </c>
      <c r="H23" s="69">
        <f t="shared" si="12"/>
        <v>0</v>
      </c>
      <c r="I23" s="70"/>
      <c r="J23" s="188"/>
      <c r="K23" s="189"/>
      <c r="L23" s="190"/>
      <c r="M23" s="191"/>
      <c r="N23" s="192"/>
      <c r="O23" s="193"/>
      <c r="P23" s="191"/>
      <c r="Q23" s="192"/>
      <c r="R23" s="193"/>
      <c r="S23" s="194"/>
      <c r="T23" s="192"/>
      <c r="U23" s="193"/>
      <c r="V23" s="194"/>
      <c r="W23" s="192"/>
      <c r="X23" s="193"/>
      <c r="Z23" s="314"/>
    </row>
    <row r="24" spans="1:28" s="226" customFormat="1" outlineLevel="2">
      <c r="A24" s="301" t="s">
        <v>211</v>
      </c>
      <c r="B24" s="165" t="s">
        <v>183</v>
      </c>
      <c r="C24" s="394">
        <v>0.4</v>
      </c>
      <c r="D24" s="215">
        <v>40000</v>
      </c>
      <c r="E24" s="215">
        <f t="shared" si="10"/>
        <v>60414.32</v>
      </c>
      <c r="F24" s="216">
        <f t="shared" si="11"/>
        <v>20414.32</v>
      </c>
      <c r="G24" s="217">
        <f t="shared" si="12"/>
        <v>46</v>
      </c>
      <c r="H24" s="217">
        <f t="shared" si="12"/>
        <v>2.5069444444444446</v>
      </c>
      <c r="I24" s="218"/>
      <c r="J24" s="219">
        <v>20578.43</v>
      </c>
      <c r="K24" s="220">
        <v>16</v>
      </c>
      <c r="L24" s="221">
        <v>0.86805555555555558</v>
      </c>
      <c r="M24" s="222"/>
      <c r="N24" s="223"/>
      <c r="O24" s="224"/>
      <c r="P24" s="222">
        <v>20355.82</v>
      </c>
      <c r="Q24" s="223">
        <v>15</v>
      </c>
      <c r="R24" s="224">
        <v>0.84027777777777779</v>
      </c>
      <c r="S24" s="225">
        <v>19480.07</v>
      </c>
      <c r="T24" s="223">
        <v>15</v>
      </c>
      <c r="U24" s="224">
        <v>0.79861111111111116</v>
      </c>
      <c r="V24" s="225"/>
      <c r="W24" s="223"/>
      <c r="X24" s="224"/>
      <c r="Y24" s="294">
        <f>J24+P24+S24</f>
        <v>60414.32</v>
      </c>
    </row>
    <row r="25" spans="1:28" s="226" customFormat="1" outlineLevel="2">
      <c r="A25" s="395" t="s">
        <v>133</v>
      </c>
      <c r="B25" s="165" t="s">
        <v>221</v>
      </c>
      <c r="C25" s="394">
        <v>0.2</v>
      </c>
      <c r="D25" s="215">
        <v>20000</v>
      </c>
      <c r="E25" s="215">
        <f t="shared" si="10"/>
        <v>0</v>
      </c>
      <c r="F25" s="216">
        <f t="shared" si="11"/>
        <v>-20000</v>
      </c>
      <c r="G25" s="217">
        <f t="shared" si="12"/>
        <v>0</v>
      </c>
      <c r="H25" s="217">
        <f t="shared" si="12"/>
        <v>0</v>
      </c>
      <c r="I25" s="218"/>
      <c r="J25" s="219"/>
      <c r="K25" s="220"/>
      <c r="L25" s="221"/>
      <c r="M25" s="222"/>
      <c r="N25" s="223"/>
      <c r="O25" s="224"/>
      <c r="P25" s="222"/>
      <c r="Q25" s="223"/>
      <c r="R25" s="224"/>
      <c r="S25" s="225"/>
      <c r="T25" s="223"/>
      <c r="U25" s="224"/>
      <c r="V25" s="225"/>
      <c r="W25" s="223"/>
      <c r="X25" s="224"/>
    </row>
    <row r="26" spans="1:28" s="78" customFormat="1" outlineLevel="2">
      <c r="A26" s="308" t="s">
        <v>213</v>
      </c>
      <c r="B26" s="134"/>
      <c r="C26" s="391"/>
      <c r="D26" s="94">
        <v>0</v>
      </c>
      <c r="E26" s="94">
        <f t="shared" si="10"/>
        <v>0</v>
      </c>
      <c r="F26" s="95">
        <f t="shared" si="11"/>
        <v>0</v>
      </c>
      <c r="G26" s="69">
        <f t="shared" si="12"/>
        <v>0</v>
      </c>
      <c r="H26" s="69">
        <f t="shared" si="12"/>
        <v>0</v>
      </c>
      <c r="I26" s="70"/>
      <c r="J26" s="188"/>
      <c r="K26" s="189"/>
      <c r="L26" s="190"/>
      <c r="M26" s="191"/>
      <c r="N26" s="192"/>
      <c r="O26" s="193"/>
      <c r="P26" s="191"/>
      <c r="Q26" s="192"/>
      <c r="R26" s="193"/>
      <c r="S26" s="194"/>
      <c r="T26" s="192"/>
      <c r="U26" s="193"/>
      <c r="V26" s="194"/>
      <c r="W26" s="192"/>
      <c r="X26" s="193"/>
    </row>
    <row r="27" spans="1:28">
      <c r="A27" s="57" t="s">
        <v>29</v>
      </c>
      <c r="B27" s="57"/>
      <c r="C27" s="369"/>
      <c r="D27" s="98">
        <f>SUM(D28:D38)</f>
        <v>1085000</v>
      </c>
      <c r="E27" s="98">
        <f>SUM(E28:E38)</f>
        <v>1220523.17</v>
      </c>
      <c r="F27" s="98">
        <f>SUM(F28:F38)</f>
        <v>135523.16999999998</v>
      </c>
      <c r="G27" s="56">
        <f>SUM(G28:G38)</f>
        <v>1033</v>
      </c>
      <c r="H27" s="56">
        <f>SUM(H28:H38)</f>
        <v>62.722222222222221</v>
      </c>
      <c r="I27" s="37"/>
      <c r="J27" s="55">
        <f t="shared" ref="J27:X27" si="13">SUM(J28:J38)</f>
        <v>310296.87</v>
      </c>
      <c r="K27" s="56">
        <f t="shared" si="13"/>
        <v>251</v>
      </c>
      <c r="L27" s="56">
        <f t="shared" si="13"/>
        <v>15.9375</v>
      </c>
      <c r="M27" s="55">
        <f t="shared" si="13"/>
        <v>329239.06</v>
      </c>
      <c r="N27" s="56">
        <f t="shared" si="13"/>
        <v>281</v>
      </c>
      <c r="O27" s="56">
        <f t="shared" si="13"/>
        <v>16.947916666666668</v>
      </c>
      <c r="P27" s="55">
        <f t="shared" si="13"/>
        <v>352597.29</v>
      </c>
      <c r="Q27" s="56">
        <f t="shared" si="13"/>
        <v>309</v>
      </c>
      <c r="R27" s="56">
        <f t="shared" si="13"/>
        <v>18.166666666666668</v>
      </c>
      <c r="S27" s="55">
        <f t="shared" si="13"/>
        <v>228389.94999999998</v>
      </c>
      <c r="T27" s="56">
        <f t="shared" si="13"/>
        <v>192</v>
      </c>
      <c r="U27" s="56">
        <f t="shared" si="13"/>
        <v>11.670138888888888</v>
      </c>
      <c r="V27" s="55">
        <f t="shared" si="13"/>
        <v>0</v>
      </c>
      <c r="W27" s="56">
        <f t="shared" si="13"/>
        <v>0</v>
      </c>
      <c r="X27" s="56">
        <f t="shared" si="13"/>
        <v>0</v>
      </c>
    </row>
    <row r="28" spans="1:28" s="226" customFormat="1" outlineLevel="2">
      <c r="A28" s="132" t="s">
        <v>198</v>
      </c>
      <c r="B28" s="165" t="s">
        <v>222</v>
      </c>
      <c r="C28" s="394">
        <v>1</v>
      </c>
      <c r="D28" s="215">
        <f>200000</f>
        <v>200000</v>
      </c>
      <c r="E28" s="215">
        <f t="shared" si="10"/>
        <v>260424.32000000001</v>
      </c>
      <c r="F28" s="216">
        <f t="shared" ref="F28:F64" si="14">+E28-D28</f>
        <v>60424.320000000007</v>
      </c>
      <c r="G28" s="217">
        <f t="shared" ref="G28:H38" si="15">+K28+N28+Q28+T28+W28</f>
        <v>232</v>
      </c>
      <c r="H28" s="217">
        <f t="shared" si="15"/>
        <v>14.652777777777779</v>
      </c>
      <c r="I28" s="218"/>
      <c r="J28" s="219">
        <v>61197.41</v>
      </c>
      <c r="K28" s="220">
        <v>52</v>
      </c>
      <c r="L28" s="221">
        <v>3.4583333333333335</v>
      </c>
      <c r="M28" s="222">
        <v>56954.26</v>
      </c>
      <c r="N28" s="223">
        <v>52</v>
      </c>
      <c r="O28" s="224">
        <v>3.1388888888888888</v>
      </c>
      <c r="P28" s="222">
        <v>60557.83</v>
      </c>
      <c r="Q28" s="223">
        <v>54</v>
      </c>
      <c r="R28" s="224">
        <v>3.3958333333333335</v>
      </c>
      <c r="S28" s="225">
        <v>81714.820000000007</v>
      </c>
      <c r="T28" s="223">
        <v>74</v>
      </c>
      <c r="U28" s="224">
        <v>4.6597222222222223</v>
      </c>
      <c r="V28" s="225"/>
      <c r="W28" s="223"/>
      <c r="X28" s="224"/>
      <c r="Y28" s="294">
        <f>J28+M28+P28+S28</f>
        <v>260424.32000000001</v>
      </c>
    </row>
    <row r="29" spans="1:28" s="226" customFormat="1" outlineLevel="2">
      <c r="A29" s="132" t="s">
        <v>200</v>
      </c>
      <c r="B29" s="165" t="s">
        <v>185</v>
      </c>
      <c r="C29" s="394">
        <v>1</v>
      </c>
      <c r="D29" s="215">
        <f t="shared" ref="D29:D31" si="16">200000</f>
        <v>200000</v>
      </c>
      <c r="E29" s="215">
        <f t="shared" si="10"/>
        <v>230748.26</v>
      </c>
      <c r="F29" s="216">
        <f t="shared" si="14"/>
        <v>30748.260000000009</v>
      </c>
      <c r="G29" s="217">
        <f t="shared" si="15"/>
        <v>224</v>
      </c>
      <c r="H29" s="217">
        <f t="shared" si="15"/>
        <v>13.15625</v>
      </c>
      <c r="I29" s="218"/>
      <c r="J29" s="219">
        <v>50280.480000000003</v>
      </c>
      <c r="K29" s="220">
        <v>45</v>
      </c>
      <c r="L29" s="221">
        <v>2.8958333333333335</v>
      </c>
      <c r="M29" s="222">
        <v>61762.41</v>
      </c>
      <c r="N29" s="223">
        <v>61</v>
      </c>
      <c r="O29" s="224">
        <v>3.4930555555555554</v>
      </c>
      <c r="P29" s="222">
        <v>54581.26</v>
      </c>
      <c r="Q29" s="223">
        <v>59</v>
      </c>
      <c r="R29" s="224">
        <v>3.1736111111111112</v>
      </c>
      <c r="S29" s="225">
        <v>64124.11</v>
      </c>
      <c r="T29" s="223">
        <v>59</v>
      </c>
      <c r="U29" s="224">
        <v>3.59375</v>
      </c>
      <c r="V29" s="225"/>
      <c r="W29" s="223"/>
      <c r="X29" s="224"/>
      <c r="Y29" s="294">
        <f>J29+M29+P29+S29</f>
        <v>230748.26</v>
      </c>
    </row>
    <row r="30" spans="1:28" s="226" customFormat="1" outlineLevel="2">
      <c r="A30" s="132" t="s">
        <v>223</v>
      </c>
      <c r="B30" s="165" t="s">
        <v>186</v>
      </c>
      <c r="C30" s="394">
        <v>1</v>
      </c>
      <c r="D30" s="215">
        <f t="shared" si="16"/>
        <v>200000</v>
      </c>
      <c r="E30" s="215">
        <f t="shared" si="10"/>
        <v>193522.66999999998</v>
      </c>
      <c r="F30" s="216">
        <f t="shared" si="14"/>
        <v>-6477.3300000000163</v>
      </c>
      <c r="G30" s="217">
        <f t="shared" si="15"/>
        <v>167</v>
      </c>
      <c r="H30" s="217">
        <f t="shared" si="15"/>
        <v>10.965277777777779</v>
      </c>
      <c r="I30" s="218"/>
      <c r="J30" s="219">
        <v>54401.59</v>
      </c>
      <c r="K30" s="220">
        <v>42</v>
      </c>
      <c r="L30" s="221">
        <v>3.0486111111111112</v>
      </c>
      <c r="M30" s="222">
        <v>56868.38</v>
      </c>
      <c r="N30" s="223">
        <v>52</v>
      </c>
      <c r="O30" s="224">
        <v>3.2013888888888888</v>
      </c>
      <c r="P30" s="222">
        <v>82252.7</v>
      </c>
      <c r="Q30" s="223">
        <v>73</v>
      </c>
      <c r="R30" s="224">
        <v>4.7152777777777777</v>
      </c>
      <c r="S30" s="225"/>
      <c r="T30" s="223"/>
      <c r="U30" s="224"/>
      <c r="V30" s="225"/>
      <c r="W30" s="223"/>
      <c r="X30" s="224"/>
      <c r="Y30" s="294">
        <f>J30+M30+P30</f>
        <v>193522.66999999998</v>
      </c>
    </row>
    <row r="31" spans="1:28" s="226" customFormat="1" outlineLevel="2">
      <c r="A31" s="165" t="s">
        <v>224</v>
      </c>
      <c r="B31" s="165" t="s">
        <v>187</v>
      </c>
      <c r="C31" s="394">
        <v>1</v>
      </c>
      <c r="D31" s="215">
        <f t="shared" si="16"/>
        <v>200000</v>
      </c>
      <c r="E31" s="215">
        <f t="shared" si="10"/>
        <v>162261.22</v>
      </c>
      <c r="F31" s="216">
        <f t="shared" si="14"/>
        <v>-37738.78</v>
      </c>
      <c r="G31" s="217">
        <f t="shared" si="15"/>
        <v>160</v>
      </c>
      <c r="H31" s="217">
        <f t="shared" si="15"/>
        <v>9.15625</v>
      </c>
      <c r="I31" s="218"/>
      <c r="J31" s="219">
        <v>50509.87</v>
      </c>
      <c r="K31" s="220">
        <v>46</v>
      </c>
      <c r="L31" s="221">
        <v>2.8194444444444446</v>
      </c>
      <c r="M31" s="222">
        <v>62369.22</v>
      </c>
      <c r="N31" s="223">
        <v>56</v>
      </c>
      <c r="O31" s="224">
        <v>3.4965277777777777</v>
      </c>
      <c r="P31" s="222">
        <v>49382.13</v>
      </c>
      <c r="Q31" s="223">
        <v>58</v>
      </c>
      <c r="R31" s="224">
        <v>2.8402777777777777</v>
      </c>
      <c r="S31" s="225"/>
      <c r="T31" s="223"/>
      <c r="U31" s="224"/>
      <c r="V31" s="225"/>
      <c r="W31" s="223"/>
      <c r="X31" s="224"/>
      <c r="Y31" s="294">
        <f>J31+M31+P31</f>
        <v>162261.22</v>
      </c>
    </row>
    <row r="32" spans="1:28" s="78" customFormat="1" outlineLevel="2">
      <c r="A32" s="134" t="s">
        <v>218</v>
      </c>
      <c r="B32" s="134"/>
      <c r="C32" s="391"/>
      <c r="D32" s="94">
        <v>0</v>
      </c>
      <c r="E32" s="94">
        <f t="shared" si="10"/>
        <v>0</v>
      </c>
      <c r="F32" s="95">
        <f t="shared" si="14"/>
        <v>0</v>
      </c>
      <c r="G32" s="69">
        <f t="shared" si="15"/>
        <v>0</v>
      </c>
      <c r="H32" s="69">
        <f t="shared" si="15"/>
        <v>0</v>
      </c>
      <c r="I32" s="70"/>
      <c r="J32" s="188"/>
      <c r="K32" s="189"/>
      <c r="L32" s="190"/>
      <c r="M32" s="191"/>
      <c r="N32" s="192"/>
      <c r="O32" s="193"/>
      <c r="P32" s="191"/>
      <c r="Q32" s="192"/>
      <c r="R32" s="193"/>
      <c r="S32" s="194"/>
      <c r="T32" s="192"/>
      <c r="U32" s="193"/>
      <c r="V32" s="194"/>
      <c r="W32" s="192"/>
      <c r="X32" s="193"/>
    </row>
    <row r="33" spans="1:25" s="226" customFormat="1" outlineLevel="2">
      <c r="A33" s="132" t="s">
        <v>126</v>
      </c>
      <c r="B33" s="165" t="s">
        <v>219</v>
      </c>
      <c r="C33" s="394">
        <v>0.5</v>
      </c>
      <c r="D33" s="92">
        <f>450000*0.5</f>
        <v>225000</v>
      </c>
      <c r="E33" s="215">
        <f t="shared" si="10"/>
        <v>296748.17</v>
      </c>
      <c r="F33" s="216">
        <f t="shared" si="14"/>
        <v>71748.169999999984</v>
      </c>
      <c r="G33" s="217">
        <f t="shared" si="15"/>
        <v>219</v>
      </c>
      <c r="H33" s="217">
        <f t="shared" si="15"/>
        <v>11.916666666666666</v>
      </c>
      <c r="I33" s="218"/>
      <c r="J33" s="219">
        <v>80277.460000000006</v>
      </c>
      <c r="K33" s="220">
        <v>63</v>
      </c>
      <c r="L33" s="221">
        <v>3.2361111111111112</v>
      </c>
      <c r="M33" s="222">
        <v>69746.990000000005</v>
      </c>
      <c r="N33" s="223">
        <v>54</v>
      </c>
      <c r="O33" s="224">
        <v>2.875</v>
      </c>
      <c r="P33" s="222">
        <v>91696.11</v>
      </c>
      <c r="Q33" s="223">
        <v>62</v>
      </c>
      <c r="R33" s="224">
        <v>3.5555555555555554</v>
      </c>
      <c r="S33" s="225">
        <v>55027.61</v>
      </c>
      <c r="T33" s="223">
        <v>40</v>
      </c>
      <c r="U33" s="224">
        <v>2.25</v>
      </c>
      <c r="V33" s="225"/>
      <c r="W33" s="223"/>
      <c r="X33" s="224"/>
      <c r="Y33" s="294">
        <f>J33+M33+P33+S33</f>
        <v>296748.17</v>
      </c>
    </row>
    <row r="34" spans="1:25" s="78" customFormat="1" outlineLevel="2">
      <c r="A34" s="134" t="s">
        <v>208</v>
      </c>
      <c r="B34" s="134"/>
      <c r="C34" s="391"/>
      <c r="D34" s="94">
        <v>0</v>
      </c>
      <c r="E34" s="94">
        <f t="shared" si="10"/>
        <v>0</v>
      </c>
      <c r="F34" s="95">
        <f t="shared" si="14"/>
        <v>0</v>
      </c>
      <c r="G34" s="69">
        <f t="shared" si="15"/>
        <v>0</v>
      </c>
      <c r="H34" s="69">
        <f t="shared" si="15"/>
        <v>0</v>
      </c>
      <c r="I34" s="70"/>
      <c r="J34" s="188"/>
      <c r="K34" s="189"/>
      <c r="L34" s="190"/>
      <c r="M34" s="191"/>
      <c r="N34" s="192"/>
      <c r="O34" s="193"/>
      <c r="P34" s="191"/>
      <c r="Q34" s="192"/>
      <c r="R34" s="193"/>
      <c r="S34" s="194"/>
      <c r="T34" s="192"/>
      <c r="U34" s="193"/>
      <c r="V34" s="194"/>
      <c r="W34" s="192"/>
      <c r="X34" s="193"/>
    </row>
    <row r="35" spans="1:25" s="78" customFormat="1" outlineLevel="2">
      <c r="A35" s="134" t="s">
        <v>210</v>
      </c>
      <c r="B35" s="134"/>
      <c r="C35" s="391"/>
      <c r="D35" s="94">
        <v>0</v>
      </c>
      <c r="E35" s="94">
        <f t="shared" si="10"/>
        <v>0</v>
      </c>
      <c r="F35" s="95">
        <f t="shared" si="14"/>
        <v>0</v>
      </c>
      <c r="G35" s="69">
        <f t="shared" si="15"/>
        <v>0</v>
      </c>
      <c r="H35" s="69">
        <f t="shared" si="15"/>
        <v>0</v>
      </c>
      <c r="I35" s="70"/>
      <c r="J35" s="188"/>
      <c r="K35" s="189"/>
      <c r="L35" s="190"/>
      <c r="M35" s="191"/>
      <c r="N35" s="192"/>
      <c r="O35" s="193"/>
      <c r="P35" s="191"/>
      <c r="Q35" s="192"/>
      <c r="R35" s="193"/>
      <c r="S35" s="194"/>
      <c r="T35" s="192"/>
      <c r="U35" s="193"/>
      <c r="V35" s="194"/>
      <c r="W35" s="192"/>
      <c r="X35" s="193"/>
    </row>
    <row r="36" spans="1:25" s="226" customFormat="1" outlineLevel="2">
      <c r="A36" s="301" t="s">
        <v>211</v>
      </c>
      <c r="B36" s="165" t="s">
        <v>225</v>
      </c>
      <c r="C36" s="394">
        <v>0.2</v>
      </c>
      <c r="D36" s="215">
        <v>20000</v>
      </c>
      <c r="E36" s="215">
        <f t="shared" si="10"/>
        <v>76818.53</v>
      </c>
      <c r="F36" s="216">
        <f t="shared" si="14"/>
        <v>56818.53</v>
      </c>
      <c r="G36" s="217">
        <f t="shared" si="15"/>
        <v>31</v>
      </c>
      <c r="H36" s="217">
        <f t="shared" si="15"/>
        <v>2.875</v>
      </c>
      <c r="I36" s="218"/>
      <c r="J36" s="219">
        <v>13630.06</v>
      </c>
      <c r="K36" s="220">
        <v>3</v>
      </c>
      <c r="L36" s="221">
        <v>0.47916666666666669</v>
      </c>
      <c r="M36" s="222">
        <v>21537.8</v>
      </c>
      <c r="N36" s="223">
        <v>6</v>
      </c>
      <c r="O36" s="224">
        <v>0.74305555555555558</v>
      </c>
      <c r="P36" s="222">
        <v>14127.26</v>
      </c>
      <c r="Q36" s="223">
        <v>3</v>
      </c>
      <c r="R36" s="224">
        <v>0.4861111111111111</v>
      </c>
      <c r="S36" s="225">
        <v>27523.41</v>
      </c>
      <c r="T36" s="223">
        <v>19</v>
      </c>
      <c r="U36" s="224">
        <v>1.1666666666666667</v>
      </c>
      <c r="V36" s="225"/>
      <c r="W36" s="223"/>
      <c r="X36" s="224"/>
      <c r="Y36" s="294">
        <f>J36+M36+P36+S36</f>
        <v>76818.53</v>
      </c>
    </row>
    <row r="37" spans="1:25" s="226" customFormat="1" outlineLevel="2">
      <c r="A37" s="301" t="s">
        <v>133</v>
      </c>
      <c r="B37" s="165" t="s">
        <v>226</v>
      </c>
      <c r="C37" s="394">
        <v>0.5</v>
      </c>
      <c r="D37" s="215">
        <v>40000</v>
      </c>
      <c r="E37" s="215">
        <f t="shared" si="10"/>
        <v>0</v>
      </c>
      <c r="F37" s="216">
        <f t="shared" si="14"/>
        <v>-40000</v>
      </c>
      <c r="G37" s="217">
        <f t="shared" si="15"/>
        <v>0</v>
      </c>
      <c r="H37" s="217">
        <f t="shared" si="15"/>
        <v>0</v>
      </c>
      <c r="I37" s="218"/>
      <c r="J37" s="219"/>
      <c r="K37" s="220"/>
      <c r="L37" s="221"/>
      <c r="M37" s="222"/>
      <c r="N37" s="223"/>
      <c r="O37" s="224"/>
      <c r="P37" s="222"/>
      <c r="Q37" s="223"/>
      <c r="R37" s="224"/>
      <c r="S37" s="225"/>
      <c r="T37" s="223"/>
      <c r="U37" s="224"/>
      <c r="V37" s="225"/>
      <c r="W37" s="223"/>
      <c r="X37" s="224"/>
    </row>
    <row r="38" spans="1:25" s="78" customFormat="1" outlineLevel="2">
      <c r="A38" s="308" t="s">
        <v>213</v>
      </c>
      <c r="B38" s="134"/>
      <c r="C38" s="391"/>
      <c r="D38" s="94">
        <v>0</v>
      </c>
      <c r="E38" s="94">
        <f t="shared" si="10"/>
        <v>0</v>
      </c>
      <c r="F38" s="95">
        <f t="shared" si="14"/>
        <v>0</v>
      </c>
      <c r="G38" s="69">
        <f t="shared" si="15"/>
        <v>0</v>
      </c>
      <c r="H38" s="69">
        <f t="shared" si="15"/>
        <v>0</v>
      </c>
      <c r="I38" s="70"/>
      <c r="J38" s="188"/>
      <c r="K38" s="189"/>
      <c r="L38" s="190"/>
      <c r="M38" s="191"/>
      <c r="N38" s="192"/>
      <c r="O38" s="193"/>
      <c r="P38" s="191"/>
      <c r="Q38" s="192"/>
      <c r="R38" s="193"/>
      <c r="S38" s="194"/>
      <c r="T38" s="192"/>
      <c r="U38" s="193"/>
      <c r="V38" s="194"/>
      <c r="W38" s="192"/>
      <c r="X38" s="193"/>
    </row>
    <row r="39" spans="1:25">
      <c r="A39" s="50" t="s">
        <v>34</v>
      </c>
      <c r="B39" s="50"/>
      <c r="C39" s="370"/>
      <c r="D39" s="99">
        <f>SUM(D40:D50)</f>
        <v>595000</v>
      </c>
      <c r="E39" s="99">
        <f t="shared" ref="E39:F39" si="17">SUM(E40:E50)</f>
        <v>364636.8</v>
      </c>
      <c r="F39" s="99">
        <f t="shared" si="17"/>
        <v>-230363.2</v>
      </c>
      <c r="G39" s="52">
        <f>SUM(G40:G50)</f>
        <v>308</v>
      </c>
      <c r="H39" s="52">
        <f>SUM(H40:H50)</f>
        <v>17.763888888888889</v>
      </c>
      <c r="I39" s="37"/>
      <c r="J39" s="51">
        <f t="shared" ref="J39" si="18">SUM(J40:J50)</f>
        <v>80401.200000000012</v>
      </c>
      <c r="K39" s="52">
        <f>SUM(K40:K50)</f>
        <v>75</v>
      </c>
      <c r="L39" s="52">
        <f>SUM(L40:L50)</f>
        <v>4.0277777777777777</v>
      </c>
      <c r="M39" s="51">
        <f t="shared" ref="M39" si="19">SUM(M40:M50)</f>
        <v>95104.9</v>
      </c>
      <c r="N39" s="52">
        <f>SUM(N40:N50)</f>
        <v>72</v>
      </c>
      <c r="O39" s="52">
        <f>SUM(O40:O50)</f>
        <v>4.7222222222222223</v>
      </c>
      <c r="P39" s="51">
        <f t="shared" ref="P39" si="20">SUM(P40:P50)</f>
        <v>115617.7</v>
      </c>
      <c r="Q39" s="52">
        <f>SUM(Q40:Q50)</f>
        <v>101</v>
      </c>
      <c r="R39" s="52">
        <f>SUM(R40:R50)</f>
        <v>5.5972222222222232</v>
      </c>
      <c r="S39" s="51">
        <f t="shared" ref="S39" si="21">SUM(S40:S50)</f>
        <v>73513</v>
      </c>
      <c r="T39" s="52">
        <f>SUM(T40:T50)</f>
        <v>60</v>
      </c>
      <c r="U39" s="52">
        <f>SUM(U40:U50)</f>
        <v>3.416666666666667</v>
      </c>
      <c r="V39" s="51">
        <f t="shared" ref="V39" si="22">SUM(V40:V50)</f>
        <v>0</v>
      </c>
      <c r="W39" s="52">
        <f>SUM(W40:W50)</f>
        <v>0</v>
      </c>
      <c r="X39" s="52">
        <f>SUM(X40:X50)</f>
        <v>0</v>
      </c>
    </row>
    <row r="40" spans="1:25" s="78" customFormat="1" outlineLevel="2">
      <c r="A40" s="165" t="s">
        <v>227</v>
      </c>
      <c r="B40" s="165" t="s">
        <v>228</v>
      </c>
      <c r="C40" s="394">
        <v>0.6</v>
      </c>
      <c r="D40" s="215">
        <v>120000</v>
      </c>
      <c r="E40" s="215">
        <f t="shared" ref="E40:E50" si="23">+J40+M40+P40+S40+V40</f>
        <v>141695.4</v>
      </c>
      <c r="F40" s="216">
        <f t="shared" si="14"/>
        <v>21695.399999999994</v>
      </c>
      <c r="G40" s="217">
        <f t="shared" ref="G40:H50" si="24">+K40+N40+Q40+T40+W40</f>
        <v>126</v>
      </c>
      <c r="H40" s="217">
        <f t="shared" si="24"/>
        <v>8.2430555555555554</v>
      </c>
      <c r="I40" s="70"/>
      <c r="J40" s="195">
        <v>47018.400000000001</v>
      </c>
      <c r="K40" s="182">
        <v>46</v>
      </c>
      <c r="L40" s="183">
        <v>2.7013888888888888</v>
      </c>
      <c r="M40" s="305">
        <v>45084.6</v>
      </c>
      <c r="N40" s="306">
        <v>39</v>
      </c>
      <c r="O40" s="307">
        <v>2.6388888888888888</v>
      </c>
      <c r="P40" s="305">
        <v>42680</v>
      </c>
      <c r="Q40" s="306">
        <v>37</v>
      </c>
      <c r="R40" s="307">
        <v>2.4861111111111112</v>
      </c>
      <c r="S40" s="309">
        <v>6912.4</v>
      </c>
      <c r="T40" s="306">
        <v>4</v>
      </c>
      <c r="U40" s="307">
        <v>0.41666666666666669</v>
      </c>
      <c r="V40" s="309"/>
      <c r="W40" s="306"/>
      <c r="X40" s="307"/>
      <c r="Y40" s="312">
        <f>J40+M40+P40+S40</f>
        <v>141695.4</v>
      </c>
    </row>
    <row r="41" spans="1:25" s="226" customFormat="1" outlineLevel="2">
      <c r="A41" s="165" t="s">
        <v>200</v>
      </c>
      <c r="B41" s="165" t="s">
        <v>190</v>
      </c>
      <c r="C41" s="394">
        <v>1</v>
      </c>
      <c r="D41" s="215">
        <v>200000</v>
      </c>
      <c r="E41" s="215">
        <f t="shared" si="23"/>
        <v>13767.6</v>
      </c>
      <c r="F41" s="216">
        <f t="shared" si="14"/>
        <v>-186232.4</v>
      </c>
      <c r="G41" s="217">
        <f t="shared" si="24"/>
        <v>21</v>
      </c>
      <c r="H41" s="217">
        <f t="shared" si="24"/>
        <v>0.875</v>
      </c>
      <c r="I41" s="218"/>
      <c r="J41" s="219"/>
      <c r="K41" s="220"/>
      <c r="L41" s="221"/>
      <c r="M41" s="222"/>
      <c r="N41" s="223"/>
      <c r="O41" s="224"/>
      <c r="P41" s="222">
        <v>7211.6</v>
      </c>
      <c r="Q41" s="223">
        <v>11</v>
      </c>
      <c r="R41" s="224">
        <v>0.45833333333333331</v>
      </c>
      <c r="S41" s="225">
        <v>6556</v>
      </c>
      <c r="T41" s="223">
        <v>10</v>
      </c>
      <c r="U41" s="224">
        <v>0.41666666666666669</v>
      </c>
      <c r="V41" s="225"/>
      <c r="W41" s="223"/>
      <c r="X41" s="224"/>
      <c r="Y41" s="310">
        <f>P41+S41</f>
        <v>13767.6</v>
      </c>
    </row>
    <row r="42" spans="1:25" s="226" customFormat="1" outlineLevel="2">
      <c r="A42" s="165" t="s">
        <v>223</v>
      </c>
      <c r="B42" s="415" t="s">
        <v>238</v>
      </c>
      <c r="C42" s="394">
        <v>1</v>
      </c>
      <c r="D42" s="215">
        <v>0</v>
      </c>
      <c r="E42" s="215">
        <f t="shared" si="23"/>
        <v>0</v>
      </c>
      <c r="F42" s="216">
        <f t="shared" si="14"/>
        <v>0</v>
      </c>
      <c r="G42" s="217">
        <f t="shared" si="24"/>
        <v>0</v>
      </c>
      <c r="H42" s="217">
        <f t="shared" si="24"/>
        <v>0</v>
      </c>
      <c r="I42" s="218"/>
      <c r="J42" s="219"/>
      <c r="K42" s="220"/>
      <c r="L42" s="221"/>
      <c r="M42" s="222"/>
      <c r="N42" s="223"/>
      <c r="O42" s="224"/>
      <c r="P42" s="222"/>
      <c r="Q42" s="223"/>
      <c r="R42" s="224"/>
      <c r="S42" s="225"/>
      <c r="T42" s="223"/>
      <c r="U42" s="224"/>
      <c r="V42" s="225"/>
      <c r="W42" s="223"/>
      <c r="X42" s="224"/>
    </row>
    <row r="43" spans="1:25" s="226" customFormat="1" outlineLevel="2">
      <c r="A43" s="165" t="s">
        <v>224</v>
      </c>
      <c r="B43" s="415" t="s">
        <v>239</v>
      </c>
      <c r="C43" s="394">
        <v>1</v>
      </c>
      <c r="D43" s="215">
        <v>0</v>
      </c>
      <c r="E43" s="215">
        <f t="shared" si="23"/>
        <v>0</v>
      </c>
      <c r="F43" s="216">
        <f t="shared" si="14"/>
        <v>0</v>
      </c>
      <c r="G43" s="217">
        <f t="shared" si="24"/>
        <v>0</v>
      </c>
      <c r="H43" s="217">
        <f t="shared" si="24"/>
        <v>0</v>
      </c>
      <c r="I43" s="218"/>
      <c r="J43" s="219"/>
      <c r="K43" s="220"/>
      <c r="L43" s="221"/>
      <c r="M43" s="222"/>
      <c r="N43" s="223"/>
      <c r="O43" s="224"/>
      <c r="P43" s="222"/>
      <c r="Q43" s="223"/>
      <c r="R43" s="224"/>
      <c r="S43" s="225"/>
      <c r="T43" s="223"/>
      <c r="U43" s="224"/>
      <c r="V43" s="225"/>
      <c r="W43" s="223"/>
      <c r="X43" s="224"/>
    </row>
    <row r="44" spans="1:25" s="78" customFormat="1" outlineLevel="2">
      <c r="A44" s="134" t="s">
        <v>218</v>
      </c>
      <c r="B44" s="134"/>
      <c r="C44" s="391"/>
      <c r="D44" s="94">
        <v>0</v>
      </c>
      <c r="E44" s="94">
        <f t="shared" si="23"/>
        <v>0</v>
      </c>
      <c r="F44" s="95">
        <f t="shared" si="14"/>
        <v>0</v>
      </c>
      <c r="G44" s="69">
        <f t="shared" si="24"/>
        <v>0</v>
      </c>
      <c r="H44" s="69">
        <f t="shared" si="24"/>
        <v>0</v>
      </c>
      <c r="I44" s="70"/>
      <c r="J44" s="188"/>
      <c r="K44" s="189"/>
      <c r="L44" s="190"/>
      <c r="M44" s="191"/>
      <c r="N44" s="192"/>
      <c r="O44" s="193"/>
      <c r="P44" s="305"/>
      <c r="Q44" s="306"/>
      <c r="R44" s="307"/>
      <c r="S44" s="194"/>
      <c r="T44" s="192"/>
      <c r="U44" s="193"/>
      <c r="V44" s="309"/>
      <c r="W44" s="306"/>
      <c r="X44" s="307"/>
      <c r="Y44" s="313"/>
    </row>
    <row r="45" spans="1:25" s="78" customFormat="1" outlineLevel="2">
      <c r="A45" s="165" t="s">
        <v>126</v>
      </c>
      <c r="B45" s="165" t="s">
        <v>229</v>
      </c>
      <c r="C45" s="394">
        <v>0.5</v>
      </c>
      <c r="D45" s="215">
        <v>225000</v>
      </c>
      <c r="E45" s="215">
        <f t="shared" si="23"/>
        <v>161307.29999999999</v>
      </c>
      <c r="F45" s="216">
        <f t="shared" si="14"/>
        <v>-63692.700000000012</v>
      </c>
      <c r="G45" s="217">
        <f t="shared" si="24"/>
        <v>138</v>
      </c>
      <c r="H45" s="217">
        <f t="shared" si="24"/>
        <v>6.7638888888888893</v>
      </c>
      <c r="I45" s="70"/>
      <c r="J45" s="195">
        <v>33382.800000000003</v>
      </c>
      <c r="K45" s="182">
        <v>29</v>
      </c>
      <c r="L45" s="183">
        <v>1.3263888888888888</v>
      </c>
      <c r="M45" s="305">
        <v>33228.800000000003</v>
      </c>
      <c r="N45" s="306">
        <v>27</v>
      </c>
      <c r="O45" s="307">
        <v>1.4236111111111112</v>
      </c>
      <c r="P45" s="305">
        <v>49520.9</v>
      </c>
      <c r="Q45" s="306">
        <v>42</v>
      </c>
      <c r="R45" s="307">
        <v>2.0138888888888888</v>
      </c>
      <c r="S45" s="309">
        <v>45174.8</v>
      </c>
      <c r="T45" s="306">
        <v>40</v>
      </c>
      <c r="U45" s="307">
        <v>2</v>
      </c>
      <c r="V45" s="309"/>
      <c r="W45" s="306"/>
      <c r="X45" s="307"/>
      <c r="Y45" s="312">
        <f>J45+M45+P45+S45</f>
        <v>161307.29999999999</v>
      </c>
    </row>
    <row r="46" spans="1:25" s="78" customFormat="1" outlineLevel="2">
      <c r="A46" s="134" t="s">
        <v>208</v>
      </c>
      <c r="B46" s="134"/>
      <c r="C46" s="391"/>
      <c r="D46" s="94">
        <v>0</v>
      </c>
      <c r="E46" s="94">
        <f t="shared" si="23"/>
        <v>0</v>
      </c>
      <c r="F46" s="95">
        <f t="shared" si="14"/>
        <v>0</v>
      </c>
      <c r="G46" s="69">
        <f t="shared" si="24"/>
        <v>0</v>
      </c>
      <c r="H46" s="69">
        <f t="shared" si="24"/>
        <v>0</v>
      </c>
      <c r="I46" s="70"/>
      <c r="J46" s="188"/>
      <c r="K46" s="189"/>
      <c r="L46" s="190"/>
      <c r="M46" s="191"/>
      <c r="N46" s="192"/>
      <c r="O46" s="193"/>
      <c r="P46" s="191"/>
      <c r="Q46" s="192"/>
      <c r="R46" s="193"/>
      <c r="S46" s="194"/>
      <c r="T46" s="192"/>
      <c r="U46" s="193"/>
      <c r="V46" s="194"/>
      <c r="W46" s="192"/>
      <c r="X46" s="193"/>
    </row>
    <row r="47" spans="1:25" s="78" customFormat="1" outlineLevel="2">
      <c r="A47" s="134" t="s">
        <v>210</v>
      </c>
      <c r="B47" s="134"/>
      <c r="C47" s="391"/>
      <c r="D47" s="94">
        <v>0</v>
      </c>
      <c r="E47" s="94">
        <f t="shared" si="23"/>
        <v>0</v>
      </c>
      <c r="F47" s="95">
        <f t="shared" si="14"/>
        <v>0</v>
      </c>
      <c r="G47" s="69">
        <f t="shared" si="24"/>
        <v>0</v>
      </c>
      <c r="H47" s="69">
        <f t="shared" si="24"/>
        <v>0</v>
      </c>
      <c r="I47" s="70"/>
      <c r="J47" s="188"/>
      <c r="K47" s="189"/>
      <c r="L47" s="190"/>
      <c r="M47" s="191"/>
      <c r="N47" s="192"/>
      <c r="O47" s="193"/>
      <c r="P47" s="305"/>
      <c r="Q47" s="306"/>
      <c r="R47" s="307"/>
      <c r="S47" s="194"/>
      <c r="T47" s="192"/>
      <c r="U47" s="193"/>
      <c r="V47" s="309"/>
      <c r="W47" s="306"/>
      <c r="X47" s="307"/>
      <c r="Y47" s="313"/>
    </row>
    <row r="48" spans="1:25" s="78" customFormat="1" outlineLevel="2">
      <c r="A48" s="165" t="s">
        <v>211</v>
      </c>
      <c r="B48" s="165" t="s">
        <v>180</v>
      </c>
      <c r="C48" s="394">
        <v>0.5</v>
      </c>
      <c r="D48" s="215">
        <v>50000</v>
      </c>
      <c r="E48" s="215">
        <f t="shared" si="23"/>
        <v>47866.5</v>
      </c>
      <c r="F48" s="216">
        <f t="shared" si="14"/>
        <v>-2133.5</v>
      </c>
      <c r="G48" s="217">
        <f t="shared" si="24"/>
        <v>23</v>
      </c>
      <c r="H48" s="217">
        <f t="shared" si="24"/>
        <v>1.8819444444444446</v>
      </c>
      <c r="I48" s="70"/>
      <c r="J48" s="188"/>
      <c r="K48" s="189"/>
      <c r="L48" s="190"/>
      <c r="M48" s="191">
        <v>16791.5</v>
      </c>
      <c r="N48" s="192">
        <v>6</v>
      </c>
      <c r="O48" s="193">
        <v>0.65972222222222221</v>
      </c>
      <c r="P48" s="305">
        <v>16205.2</v>
      </c>
      <c r="Q48" s="306">
        <v>11</v>
      </c>
      <c r="R48" s="307">
        <v>0.63888888888888884</v>
      </c>
      <c r="S48" s="309">
        <v>14869.8</v>
      </c>
      <c r="T48" s="306">
        <v>6</v>
      </c>
      <c r="U48" s="307">
        <v>0.58333333333333337</v>
      </c>
      <c r="V48" s="309"/>
      <c r="W48" s="306"/>
      <c r="X48" s="307"/>
      <c r="Y48" s="410">
        <f>M48+P48+S48</f>
        <v>47866.5</v>
      </c>
    </row>
    <row r="49" spans="1:25" s="78" customFormat="1" outlineLevel="2">
      <c r="A49" s="134" t="s">
        <v>133</v>
      </c>
      <c r="B49" s="134"/>
      <c r="C49" s="391"/>
      <c r="D49" s="94">
        <v>0</v>
      </c>
      <c r="E49" s="94">
        <f t="shared" si="23"/>
        <v>0</v>
      </c>
      <c r="F49" s="95">
        <f t="shared" si="14"/>
        <v>0</v>
      </c>
      <c r="G49" s="69">
        <f t="shared" si="24"/>
        <v>0</v>
      </c>
      <c r="H49" s="69">
        <f t="shared" si="24"/>
        <v>0</v>
      </c>
      <c r="I49" s="70"/>
      <c r="J49" s="188"/>
      <c r="K49" s="189"/>
      <c r="L49" s="190"/>
      <c r="M49" s="191"/>
      <c r="N49" s="192"/>
      <c r="O49" s="193"/>
      <c r="P49" s="305"/>
      <c r="Q49" s="306"/>
      <c r="R49" s="307"/>
      <c r="S49" s="194"/>
      <c r="T49" s="192"/>
      <c r="U49" s="193"/>
      <c r="V49" s="194"/>
      <c r="W49" s="192"/>
      <c r="X49" s="193"/>
    </row>
    <row r="50" spans="1:25" s="78" customFormat="1" outlineLevel="2">
      <c r="A50" s="134" t="s">
        <v>213</v>
      </c>
      <c r="B50" s="134"/>
      <c r="C50" s="391"/>
      <c r="D50" s="94">
        <v>0</v>
      </c>
      <c r="E50" s="94">
        <f t="shared" si="23"/>
        <v>0</v>
      </c>
      <c r="F50" s="95">
        <f t="shared" si="14"/>
        <v>0</v>
      </c>
      <c r="G50" s="69">
        <f t="shared" si="24"/>
        <v>0</v>
      </c>
      <c r="H50" s="69">
        <f t="shared" si="24"/>
        <v>0</v>
      </c>
      <c r="I50" s="70"/>
      <c r="J50" s="188"/>
      <c r="K50" s="189"/>
      <c r="L50" s="190"/>
      <c r="M50" s="191"/>
      <c r="N50" s="192"/>
      <c r="O50" s="193"/>
      <c r="P50" s="191"/>
      <c r="Q50" s="192"/>
      <c r="R50" s="193"/>
      <c r="S50" s="194"/>
      <c r="T50" s="192"/>
      <c r="U50" s="193"/>
      <c r="V50" s="194"/>
      <c r="W50" s="192"/>
      <c r="X50" s="193"/>
    </row>
    <row r="51" spans="1:25">
      <c r="A51" s="67" t="s">
        <v>38</v>
      </c>
      <c r="B51" s="67"/>
      <c r="C51" s="371"/>
      <c r="D51" s="100">
        <f>SUM(D52:D53)</f>
        <v>0</v>
      </c>
      <c r="E51" s="100">
        <f>SUM(E52:E53)</f>
        <v>0</v>
      </c>
      <c r="F51" s="100">
        <f>SUM(F52:F53)</f>
        <v>0</v>
      </c>
      <c r="G51" s="60">
        <f>SUM(G52:G53)</f>
        <v>0</v>
      </c>
      <c r="H51" s="60">
        <f>SUM(H52:H53)</f>
        <v>0</v>
      </c>
      <c r="I51" s="37"/>
      <c r="J51" s="59">
        <f t="shared" ref="J51:X51" si="25">SUM(J52:J53)</f>
        <v>0</v>
      </c>
      <c r="K51" s="60">
        <f t="shared" si="25"/>
        <v>0</v>
      </c>
      <c r="L51" s="60">
        <f t="shared" si="25"/>
        <v>0</v>
      </c>
      <c r="M51" s="59">
        <f t="shared" si="25"/>
        <v>0</v>
      </c>
      <c r="N51" s="60">
        <f t="shared" si="25"/>
        <v>0</v>
      </c>
      <c r="O51" s="60">
        <f t="shared" si="25"/>
        <v>0</v>
      </c>
      <c r="P51" s="59">
        <f t="shared" si="25"/>
        <v>0</v>
      </c>
      <c r="Q51" s="60">
        <f t="shared" si="25"/>
        <v>0</v>
      </c>
      <c r="R51" s="60">
        <f t="shared" si="25"/>
        <v>0</v>
      </c>
      <c r="S51" s="59">
        <f t="shared" si="25"/>
        <v>0</v>
      </c>
      <c r="T51" s="60">
        <f t="shared" si="25"/>
        <v>0</v>
      </c>
      <c r="U51" s="60">
        <f t="shared" si="25"/>
        <v>0</v>
      </c>
      <c r="V51" s="59">
        <f t="shared" si="25"/>
        <v>0</v>
      </c>
      <c r="W51" s="60">
        <f t="shared" si="25"/>
        <v>0</v>
      </c>
      <c r="X51" s="60">
        <f t="shared" si="25"/>
        <v>0</v>
      </c>
    </row>
    <row r="52" spans="1:25" outlineLevel="2">
      <c r="A52" s="134" t="s">
        <v>198</v>
      </c>
      <c r="B52" s="134"/>
      <c r="C52" s="367"/>
      <c r="D52" s="94">
        <v>0</v>
      </c>
      <c r="E52" s="94">
        <f t="shared" si="10"/>
        <v>0</v>
      </c>
      <c r="F52" s="95">
        <f t="shared" si="14"/>
        <v>0</v>
      </c>
      <c r="G52" s="69">
        <f t="shared" ref="G52:H53" si="26">+K52+N52+Q52+T52+W52</f>
        <v>0</v>
      </c>
      <c r="H52" s="69">
        <f t="shared" si="26"/>
        <v>0</v>
      </c>
      <c r="I52" s="37"/>
      <c r="J52" s="181"/>
      <c r="K52" s="182"/>
      <c r="L52" s="183"/>
      <c r="M52" s="184"/>
      <c r="N52" s="185"/>
      <c r="O52" s="186"/>
      <c r="P52" s="184"/>
      <c r="Q52" s="185"/>
      <c r="R52" s="186"/>
      <c r="S52" s="187"/>
      <c r="T52" s="185"/>
      <c r="U52" s="186"/>
      <c r="V52" s="187"/>
      <c r="W52" s="185"/>
      <c r="X52" s="186"/>
    </row>
    <row r="53" spans="1:25" s="78" customFormat="1" outlineLevel="2">
      <c r="A53" s="134" t="s">
        <v>200</v>
      </c>
      <c r="B53" s="134"/>
      <c r="C53" s="367"/>
      <c r="D53" s="94">
        <v>0</v>
      </c>
      <c r="E53" s="94">
        <f t="shared" si="10"/>
        <v>0</v>
      </c>
      <c r="F53" s="95">
        <f t="shared" si="14"/>
        <v>0</v>
      </c>
      <c r="G53" s="69">
        <f t="shared" si="26"/>
        <v>0</v>
      </c>
      <c r="H53" s="69">
        <f t="shared" si="26"/>
        <v>0</v>
      </c>
      <c r="I53" s="70"/>
      <c r="J53" s="188"/>
      <c r="K53" s="189"/>
      <c r="L53" s="190"/>
      <c r="M53" s="191"/>
      <c r="N53" s="192"/>
      <c r="O53" s="193"/>
      <c r="P53" s="191"/>
      <c r="Q53" s="192"/>
      <c r="R53" s="193"/>
      <c r="S53" s="194"/>
      <c r="T53" s="192"/>
      <c r="U53" s="193"/>
      <c r="V53" s="194"/>
      <c r="W53" s="192"/>
      <c r="X53" s="193"/>
    </row>
    <row r="54" spans="1:25">
      <c r="A54" s="47" t="s">
        <v>40</v>
      </c>
      <c r="B54" s="47"/>
      <c r="C54" s="372"/>
      <c r="D54" s="101">
        <f>SUM(D55:D56)</f>
        <v>0</v>
      </c>
      <c r="E54" s="101">
        <f>SUM(E55:E56)</f>
        <v>0</v>
      </c>
      <c r="F54" s="101">
        <f>SUM(F55:F56)</f>
        <v>0</v>
      </c>
      <c r="G54" s="49">
        <f>SUM(G55:G56)</f>
        <v>0</v>
      </c>
      <c r="H54" s="49">
        <f>SUM(H55:H56)</f>
        <v>0</v>
      </c>
      <c r="I54" s="37"/>
      <c r="J54" s="48">
        <f t="shared" ref="J54:X54" si="27">SUM(J55:J56)</f>
        <v>0</v>
      </c>
      <c r="K54" s="49">
        <f t="shared" si="27"/>
        <v>0</v>
      </c>
      <c r="L54" s="49">
        <f t="shared" si="27"/>
        <v>0</v>
      </c>
      <c r="M54" s="48">
        <f t="shared" si="27"/>
        <v>0</v>
      </c>
      <c r="N54" s="49">
        <f t="shared" si="27"/>
        <v>0</v>
      </c>
      <c r="O54" s="49">
        <f t="shared" si="27"/>
        <v>0</v>
      </c>
      <c r="P54" s="48">
        <f t="shared" si="27"/>
        <v>0</v>
      </c>
      <c r="Q54" s="49">
        <f t="shared" si="27"/>
        <v>0</v>
      </c>
      <c r="R54" s="49">
        <f t="shared" si="27"/>
        <v>0</v>
      </c>
      <c r="S54" s="48">
        <f t="shared" si="27"/>
        <v>0</v>
      </c>
      <c r="T54" s="49">
        <f t="shared" si="27"/>
        <v>0</v>
      </c>
      <c r="U54" s="49">
        <f t="shared" si="27"/>
        <v>0</v>
      </c>
      <c r="V54" s="48">
        <f t="shared" si="27"/>
        <v>0</v>
      </c>
      <c r="W54" s="49">
        <f t="shared" si="27"/>
        <v>0</v>
      </c>
      <c r="X54" s="49">
        <f t="shared" si="27"/>
        <v>0</v>
      </c>
    </row>
    <row r="55" spans="1:25" s="78" customFormat="1" outlineLevel="2">
      <c r="A55" s="134" t="s">
        <v>198</v>
      </c>
      <c r="B55" s="68"/>
      <c r="C55" s="413"/>
      <c r="D55" s="94">
        <v>0</v>
      </c>
      <c r="E55" s="94">
        <f t="shared" si="10"/>
        <v>0</v>
      </c>
      <c r="F55" s="95">
        <v>0</v>
      </c>
      <c r="G55" s="69">
        <f t="shared" ref="G55:H56" si="28">+K55+N55+Q55+T55+W55</f>
        <v>0</v>
      </c>
      <c r="H55" s="69">
        <f t="shared" si="28"/>
        <v>0</v>
      </c>
      <c r="I55" s="70"/>
      <c r="J55" s="188"/>
      <c r="K55" s="189"/>
      <c r="L55" s="190"/>
      <c r="M55" s="191"/>
      <c r="N55" s="192"/>
      <c r="O55" s="193"/>
      <c r="P55" s="191"/>
      <c r="Q55" s="192"/>
      <c r="R55" s="193"/>
      <c r="S55" s="194"/>
      <c r="T55" s="192"/>
      <c r="U55" s="193"/>
      <c r="V55" s="194"/>
      <c r="W55" s="192"/>
      <c r="X55" s="193"/>
    </row>
    <row r="56" spans="1:25" s="78" customFormat="1" outlineLevel="2">
      <c r="A56" s="134" t="s">
        <v>200</v>
      </c>
      <c r="B56" s="68"/>
      <c r="C56" s="373"/>
      <c r="D56" s="94">
        <v>0</v>
      </c>
      <c r="E56" s="94">
        <f t="shared" si="10"/>
        <v>0</v>
      </c>
      <c r="F56" s="95">
        <f t="shared" ref="F56" si="29">+E56-D56</f>
        <v>0</v>
      </c>
      <c r="G56" s="69">
        <f t="shared" si="28"/>
        <v>0</v>
      </c>
      <c r="H56" s="69">
        <f t="shared" si="28"/>
        <v>0</v>
      </c>
      <c r="I56" s="70"/>
      <c r="J56" s="188"/>
      <c r="K56" s="189"/>
      <c r="L56" s="190"/>
      <c r="M56" s="191"/>
      <c r="N56" s="192"/>
      <c r="O56" s="193"/>
      <c r="P56" s="191"/>
      <c r="Q56" s="192"/>
      <c r="R56" s="193"/>
      <c r="S56" s="194"/>
      <c r="T56" s="192"/>
      <c r="U56" s="193"/>
      <c r="V56" s="194"/>
      <c r="W56" s="192"/>
      <c r="X56" s="193"/>
    </row>
    <row r="57" spans="1:25">
      <c r="A57" s="198" t="s">
        <v>42</v>
      </c>
      <c r="B57" s="198"/>
      <c r="C57" s="374"/>
      <c r="D57" s="199">
        <f>SUM(D58:D59)</f>
        <v>0</v>
      </c>
      <c r="E57" s="199">
        <f>SUM(E58:E59)</f>
        <v>0</v>
      </c>
      <c r="F57" s="199">
        <f>SUM(F58:F59)</f>
        <v>0</v>
      </c>
      <c r="G57" s="200">
        <f>SUM(G58:G59)</f>
        <v>0</v>
      </c>
      <c r="H57" s="200">
        <f>SUM(H58:H59)</f>
        <v>0</v>
      </c>
      <c r="I57" s="37"/>
      <c r="J57" s="211">
        <f t="shared" ref="J57:X57" si="30">SUM(J58:J59)</f>
        <v>0</v>
      </c>
      <c r="K57" s="200">
        <f t="shared" si="30"/>
        <v>0</v>
      </c>
      <c r="L57" s="200">
        <f t="shared" si="30"/>
        <v>0</v>
      </c>
      <c r="M57" s="211">
        <f t="shared" si="30"/>
        <v>0</v>
      </c>
      <c r="N57" s="200">
        <f t="shared" si="30"/>
        <v>0</v>
      </c>
      <c r="O57" s="200">
        <f t="shared" si="30"/>
        <v>0</v>
      </c>
      <c r="P57" s="211">
        <f t="shared" si="30"/>
        <v>0</v>
      </c>
      <c r="Q57" s="200">
        <f t="shared" si="30"/>
        <v>0</v>
      </c>
      <c r="R57" s="200">
        <f t="shared" si="30"/>
        <v>0</v>
      </c>
      <c r="S57" s="211">
        <f t="shared" si="30"/>
        <v>0</v>
      </c>
      <c r="T57" s="200">
        <f t="shared" si="30"/>
        <v>0</v>
      </c>
      <c r="U57" s="200">
        <f t="shared" si="30"/>
        <v>0</v>
      </c>
      <c r="V57" s="211">
        <f t="shared" si="30"/>
        <v>0</v>
      </c>
      <c r="W57" s="200">
        <f t="shared" si="30"/>
        <v>0</v>
      </c>
      <c r="X57" s="200">
        <f t="shared" si="30"/>
        <v>0</v>
      </c>
    </row>
    <row r="58" spans="1:25" s="78" customFormat="1" outlineLevel="2">
      <c r="A58" s="134" t="s">
        <v>198</v>
      </c>
      <c r="B58" s="68"/>
      <c r="C58" s="373"/>
      <c r="D58" s="94">
        <v>0</v>
      </c>
      <c r="E58" s="94">
        <f t="shared" si="10"/>
        <v>0</v>
      </c>
      <c r="F58" s="95">
        <f t="shared" ref="F58:F59" si="31">+E58-D58</f>
        <v>0</v>
      </c>
      <c r="G58" s="69">
        <f t="shared" ref="G58:H59" si="32">+K58+N58+Q58+T58+W58</f>
        <v>0</v>
      </c>
      <c r="H58" s="69">
        <f t="shared" si="32"/>
        <v>0</v>
      </c>
      <c r="I58" s="70"/>
      <c r="J58" s="188"/>
      <c r="K58" s="189"/>
      <c r="L58" s="190"/>
      <c r="M58" s="191"/>
      <c r="N58" s="192"/>
      <c r="O58" s="193"/>
      <c r="P58" s="191"/>
      <c r="Q58" s="192"/>
      <c r="R58" s="193"/>
      <c r="S58" s="194"/>
      <c r="T58" s="192"/>
      <c r="U58" s="193"/>
      <c r="V58" s="194"/>
      <c r="W58" s="192"/>
      <c r="X58" s="193"/>
    </row>
    <row r="59" spans="1:25" s="78" customFormat="1" outlineLevel="2">
      <c r="A59" s="134" t="s">
        <v>200</v>
      </c>
      <c r="B59" s="68"/>
      <c r="C59" s="373"/>
      <c r="D59" s="94">
        <v>0</v>
      </c>
      <c r="E59" s="94">
        <f t="shared" si="10"/>
        <v>0</v>
      </c>
      <c r="F59" s="95">
        <f t="shared" si="31"/>
        <v>0</v>
      </c>
      <c r="G59" s="69">
        <f t="shared" si="32"/>
        <v>0</v>
      </c>
      <c r="H59" s="69">
        <f t="shared" si="32"/>
        <v>0</v>
      </c>
      <c r="I59" s="70"/>
      <c r="J59" s="188"/>
      <c r="K59" s="189"/>
      <c r="L59" s="190"/>
      <c r="M59" s="191"/>
      <c r="N59" s="192"/>
      <c r="O59" s="193"/>
      <c r="P59" s="191"/>
      <c r="Q59" s="192"/>
      <c r="R59" s="193"/>
      <c r="S59" s="194"/>
      <c r="T59" s="192"/>
      <c r="U59" s="193"/>
      <c r="V59" s="194"/>
      <c r="W59" s="192"/>
      <c r="X59" s="193"/>
    </row>
    <row r="60" spans="1:25">
      <c r="A60" s="198" t="s">
        <v>44</v>
      </c>
      <c r="B60" s="198"/>
      <c r="C60" s="374"/>
      <c r="D60" s="199">
        <f>SUM(D61:D68)</f>
        <v>527000</v>
      </c>
      <c r="E60" s="199">
        <f>SUM(E61:E68)</f>
        <v>359786.5</v>
      </c>
      <c r="F60" s="199">
        <f>SUM(F61:F68)</f>
        <v>-167213.5</v>
      </c>
      <c r="G60" s="200">
        <f>SUM(G61:G62)</f>
        <v>286</v>
      </c>
      <c r="H60" s="200">
        <f>SUM(H61:H62)</f>
        <v>16.791666666666664</v>
      </c>
      <c r="I60" s="37"/>
      <c r="J60" s="211">
        <f t="shared" ref="J60:X60" si="33">SUM(J61:J62)</f>
        <v>106035.6</v>
      </c>
      <c r="K60" s="200">
        <f t="shared" si="33"/>
        <v>89</v>
      </c>
      <c r="L60" s="200">
        <f t="shared" si="33"/>
        <v>5.0243055555555554</v>
      </c>
      <c r="M60" s="211">
        <f t="shared" si="33"/>
        <v>86336.4</v>
      </c>
      <c r="N60" s="200">
        <f t="shared" si="33"/>
        <v>60</v>
      </c>
      <c r="O60" s="200">
        <f t="shared" si="33"/>
        <v>4.083333333333333</v>
      </c>
      <c r="P60" s="211">
        <f t="shared" si="33"/>
        <v>70582.600000000006</v>
      </c>
      <c r="Q60" s="200">
        <f t="shared" si="33"/>
        <v>55</v>
      </c>
      <c r="R60" s="200">
        <f t="shared" si="33"/>
        <v>3.364583333333333</v>
      </c>
      <c r="S60" s="211">
        <f t="shared" si="33"/>
        <v>87660.1</v>
      </c>
      <c r="T60" s="200">
        <f t="shared" si="33"/>
        <v>82</v>
      </c>
      <c r="U60" s="200">
        <f t="shared" si="33"/>
        <v>4.3194444444444446</v>
      </c>
      <c r="V60" s="211">
        <f t="shared" si="33"/>
        <v>0</v>
      </c>
      <c r="W60" s="200">
        <f t="shared" si="33"/>
        <v>0</v>
      </c>
      <c r="X60" s="200">
        <f t="shared" si="33"/>
        <v>0</v>
      </c>
    </row>
    <row r="61" spans="1:25" s="226" customFormat="1" outlineLevel="2">
      <c r="A61" s="165" t="s">
        <v>227</v>
      </c>
      <c r="B61" s="315" t="s">
        <v>206</v>
      </c>
      <c r="C61" s="396">
        <v>1</v>
      </c>
      <c r="D61" s="215">
        <v>200000</v>
      </c>
      <c r="E61" s="215">
        <f t="shared" si="10"/>
        <v>167944.7</v>
      </c>
      <c r="F61" s="216">
        <f t="shared" si="14"/>
        <v>-32055.299999999988</v>
      </c>
      <c r="G61" s="217">
        <f t="shared" ref="G61:H64" si="34">+K61+N61+Q61+T61+W61</f>
        <v>177</v>
      </c>
      <c r="H61" s="217">
        <f t="shared" si="34"/>
        <v>9.7118055555555554</v>
      </c>
      <c r="I61" s="218"/>
      <c r="J61" s="219">
        <v>47007.4</v>
      </c>
      <c r="K61" s="220">
        <v>56</v>
      </c>
      <c r="L61" s="221">
        <v>2.75</v>
      </c>
      <c r="M61" s="222">
        <v>40156.6</v>
      </c>
      <c r="N61" s="223">
        <v>37</v>
      </c>
      <c r="O61" s="224">
        <v>2.2916666666666665</v>
      </c>
      <c r="P61" s="222">
        <v>30010.2</v>
      </c>
      <c r="Q61" s="223">
        <v>30</v>
      </c>
      <c r="R61" s="224">
        <v>1.8055555555555556</v>
      </c>
      <c r="S61" s="225">
        <v>50770.5</v>
      </c>
      <c r="T61" s="223">
        <v>54</v>
      </c>
      <c r="U61" s="224">
        <v>2.8645833333333335</v>
      </c>
      <c r="V61" s="225"/>
      <c r="W61" s="223"/>
      <c r="X61" s="224"/>
      <c r="Y61" s="294">
        <f>J61+M61+P61+S61</f>
        <v>167944.7</v>
      </c>
    </row>
    <row r="62" spans="1:25" s="226" customFormat="1" outlineLevel="2">
      <c r="A62" s="165" t="s">
        <v>126</v>
      </c>
      <c r="B62" s="315" t="s">
        <v>231</v>
      </c>
      <c r="C62" s="412">
        <v>0.5</v>
      </c>
      <c r="D62" s="215">
        <v>75000</v>
      </c>
      <c r="E62" s="215">
        <f t="shared" si="10"/>
        <v>182670</v>
      </c>
      <c r="F62" s="216">
        <f t="shared" si="14"/>
        <v>107670</v>
      </c>
      <c r="G62" s="217">
        <f t="shared" si="34"/>
        <v>109</v>
      </c>
      <c r="H62" s="217">
        <f t="shared" si="34"/>
        <v>7.0798611111111107</v>
      </c>
      <c r="I62" s="218"/>
      <c r="J62" s="219">
        <v>59028.2</v>
      </c>
      <c r="K62" s="220">
        <v>33</v>
      </c>
      <c r="L62" s="221">
        <v>2.2743055555555554</v>
      </c>
      <c r="M62" s="222">
        <v>46179.8</v>
      </c>
      <c r="N62" s="223">
        <v>23</v>
      </c>
      <c r="O62" s="224">
        <v>1.7916666666666667</v>
      </c>
      <c r="P62" s="222">
        <v>40572.400000000001</v>
      </c>
      <c r="Q62" s="223">
        <v>25</v>
      </c>
      <c r="R62" s="224">
        <v>1.5590277777777777</v>
      </c>
      <c r="S62" s="225">
        <v>36889.599999999999</v>
      </c>
      <c r="T62" s="223">
        <v>28</v>
      </c>
      <c r="U62" s="224">
        <v>1.4548611111111112</v>
      </c>
      <c r="V62" s="225"/>
      <c r="W62" s="223"/>
      <c r="X62" s="224"/>
      <c r="Y62" s="294">
        <f>J62+M62+P62+S62</f>
        <v>182670</v>
      </c>
    </row>
    <row r="63" spans="1:25" s="226" customFormat="1" outlineLevel="2">
      <c r="A63" s="165" t="s">
        <v>232</v>
      </c>
      <c r="B63" s="315" t="s">
        <v>233</v>
      </c>
      <c r="C63" s="396">
        <v>1</v>
      </c>
      <c r="D63" s="215">
        <v>200000</v>
      </c>
      <c r="E63" s="215">
        <f>+J63+M63+P63+S63+V63</f>
        <v>9171.7999999999993</v>
      </c>
      <c r="F63" s="216">
        <f t="shared" si="14"/>
        <v>-190828.2</v>
      </c>
      <c r="G63" s="217">
        <f t="shared" si="34"/>
        <v>11</v>
      </c>
      <c r="H63" s="217">
        <f t="shared" si="34"/>
        <v>0.45833333333333331</v>
      </c>
      <c r="I63" s="218"/>
      <c r="J63" s="219">
        <v>9171.7999999999993</v>
      </c>
      <c r="K63" s="220">
        <v>11</v>
      </c>
      <c r="L63" s="221">
        <v>0.45833333333333331</v>
      </c>
      <c r="M63" s="222"/>
      <c r="N63" s="223"/>
      <c r="O63" s="224"/>
      <c r="P63" s="222"/>
      <c r="Q63" s="223"/>
      <c r="R63" s="224"/>
      <c r="S63" s="225"/>
      <c r="T63" s="223"/>
      <c r="U63" s="224"/>
      <c r="V63" s="225"/>
      <c r="W63" s="223"/>
      <c r="X63" s="224"/>
      <c r="Y63" s="294">
        <f>J63</f>
        <v>9171.7999999999993</v>
      </c>
    </row>
    <row r="64" spans="1:25" s="226" customFormat="1" outlineLevel="2">
      <c r="A64" s="165" t="s">
        <v>211</v>
      </c>
      <c r="B64" s="315" t="s">
        <v>234</v>
      </c>
      <c r="C64" s="412">
        <v>0.2</v>
      </c>
      <c r="D64" s="215">
        <v>12000</v>
      </c>
      <c r="E64" s="215">
        <f t="shared" ref="E64:E66" si="35">+J64+M64+P64+S64+V64</f>
        <v>0</v>
      </c>
      <c r="F64" s="216">
        <f t="shared" si="14"/>
        <v>-12000</v>
      </c>
      <c r="G64" s="217">
        <f t="shared" si="34"/>
        <v>0</v>
      </c>
      <c r="H64" s="217">
        <f t="shared" si="34"/>
        <v>0</v>
      </c>
      <c r="I64" s="218"/>
      <c r="J64" s="219"/>
      <c r="K64" s="220"/>
      <c r="L64" s="221"/>
      <c r="M64" s="222"/>
      <c r="N64" s="223"/>
      <c r="O64" s="224"/>
      <c r="P64" s="222"/>
      <c r="Q64" s="223"/>
      <c r="R64" s="224"/>
      <c r="S64" s="225"/>
      <c r="T64" s="223"/>
      <c r="U64" s="224"/>
      <c r="V64" s="225"/>
      <c r="W64" s="223"/>
      <c r="X64" s="224"/>
      <c r="Y64" s="310"/>
    </row>
    <row r="65" spans="1:25" s="226" customFormat="1" outlineLevel="2">
      <c r="A65" s="165" t="s">
        <v>133</v>
      </c>
      <c r="B65" s="301" t="s">
        <v>212</v>
      </c>
      <c r="C65" s="416">
        <v>0.3</v>
      </c>
      <c r="D65" s="215">
        <v>0</v>
      </c>
      <c r="E65" s="215">
        <f t="shared" si="35"/>
        <v>0</v>
      </c>
      <c r="F65" s="216">
        <f t="shared" ref="F65:F66" si="36">+E65-D65</f>
        <v>0</v>
      </c>
      <c r="G65" s="217">
        <f t="shared" ref="G65:G66" si="37">+K65+N65+Q65+T65+W65</f>
        <v>0</v>
      </c>
      <c r="H65" s="217">
        <f t="shared" ref="H65:H66" si="38">+L65+O65+R65+U65+X65</f>
        <v>0</v>
      </c>
      <c r="I65" s="218"/>
      <c r="J65" s="219"/>
      <c r="K65" s="220"/>
      <c r="L65" s="221"/>
      <c r="M65" s="222"/>
      <c r="N65" s="223"/>
      <c r="O65" s="224"/>
      <c r="P65" s="222"/>
      <c r="Q65" s="223"/>
      <c r="R65" s="224"/>
      <c r="S65" s="225"/>
      <c r="T65" s="223"/>
      <c r="U65" s="224"/>
      <c r="V65" s="225"/>
      <c r="W65" s="223"/>
      <c r="X65" s="224"/>
      <c r="Y65" s="310"/>
    </row>
    <row r="66" spans="1:25" s="226" customFormat="1" outlineLevel="2">
      <c r="A66" s="165" t="s">
        <v>208</v>
      </c>
      <c r="B66" s="301" t="s">
        <v>230</v>
      </c>
      <c r="C66" s="416">
        <v>0.5</v>
      </c>
      <c r="D66" s="215">
        <v>40000</v>
      </c>
      <c r="E66" s="215">
        <f t="shared" si="35"/>
        <v>0</v>
      </c>
      <c r="F66" s="216">
        <f t="shared" si="36"/>
        <v>-40000</v>
      </c>
      <c r="G66" s="217">
        <f t="shared" si="37"/>
        <v>0</v>
      </c>
      <c r="H66" s="217">
        <f t="shared" si="38"/>
        <v>0</v>
      </c>
      <c r="I66" s="218"/>
      <c r="J66" s="219"/>
      <c r="K66" s="220"/>
      <c r="L66" s="221"/>
      <c r="M66" s="222"/>
      <c r="N66" s="223"/>
      <c r="O66" s="224"/>
      <c r="P66" s="222"/>
      <c r="Q66" s="223"/>
      <c r="R66" s="224"/>
      <c r="S66" s="225"/>
      <c r="T66" s="223"/>
      <c r="U66" s="224"/>
      <c r="V66" s="225"/>
      <c r="W66" s="223"/>
      <c r="X66" s="224"/>
      <c r="Y66" s="310"/>
    </row>
    <row r="67" spans="1:25" s="226" customFormat="1" outlineLevel="2">
      <c r="A67" s="134" t="s">
        <v>235</v>
      </c>
      <c r="B67" s="68"/>
      <c r="C67" s="373"/>
      <c r="D67" s="94"/>
      <c r="E67" s="94"/>
      <c r="F67" s="95"/>
      <c r="G67" s="69"/>
      <c r="H67" s="69"/>
      <c r="I67" s="218"/>
      <c r="J67" s="219"/>
      <c r="K67" s="220"/>
      <c r="L67" s="221"/>
      <c r="M67" s="222"/>
      <c r="N67" s="223"/>
      <c r="O67" s="224"/>
      <c r="P67" s="222"/>
      <c r="Q67" s="223"/>
      <c r="R67" s="224"/>
      <c r="S67" s="225"/>
      <c r="T67" s="223"/>
      <c r="U67" s="224"/>
      <c r="V67" s="225"/>
      <c r="W67" s="223"/>
      <c r="X67" s="224"/>
      <c r="Y67" s="310"/>
    </row>
    <row r="68" spans="1:25" s="226" customFormat="1" outlineLevel="2">
      <c r="A68" s="134" t="s">
        <v>235</v>
      </c>
      <c r="B68" s="68"/>
      <c r="C68" s="413"/>
      <c r="D68" s="94"/>
      <c r="E68" s="94"/>
      <c r="F68" s="95"/>
      <c r="G68" s="69"/>
      <c r="H68" s="69"/>
      <c r="I68" s="218"/>
      <c r="J68" s="219"/>
      <c r="K68" s="220"/>
      <c r="L68" s="221"/>
      <c r="M68" s="222"/>
      <c r="N68" s="223"/>
      <c r="O68" s="224"/>
      <c r="P68" s="222"/>
      <c r="Q68" s="223"/>
      <c r="R68" s="224"/>
      <c r="S68" s="225"/>
      <c r="T68" s="223"/>
      <c r="U68" s="224"/>
      <c r="V68" s="225"/>
      <c r="W68" s="223"/>
      <c r="X68" s="224"/>
      <c r="Y68" s="310"/>
    </row>
    <row r="69" spans="1:25" s="78" customFormat="1" outlineLevel="2">
      <c r="A69" s="398"/>
      <c r="B69" s="399"/>
      <c r="C69" s="400"/>
      <c r="D69" s="401"/>
      <c r="E69" s="401"/>
      <c r="F69" s="402"/>
      <c r="G69" s="79"/>
      <c r="H69" s="79"/>
      <c r="I69" s="80"/>
      <c r="J69" s="403"/>
      <c r="K69" s="404"/>
      <c r="L69" s="405"/>
      <c r="M69" s="406"/>
      <c r="N69" s="407"/>
      <c r="O69" s="408"/>
      <c r="P69" s="406"/>
      <c r="Q69" s="407"/>
      <c r="R69" s="408"/>
      <c r="S69" s="409"/>
      <c r="T69" s="407"/>
      <c r="U69" s="408"/>
      <c r="V69" s="409"/>
      <c r="W69" s="407"/>
      <c r="X69" s="408"/>
    </row>
    <row r="70" spans="1:25" ht="18">
      <c r="A70" s="138" t="s">
        <v>45</v>
      </c>
      <c r="B70" s="363"/>
      <c r="C70" s="375"/>
      <c r="D70" s="102">
        <f>+D60+D51+D39+D27+D15+D3+D57+D54</f>
        <v>4172000</v>
      </c>
      <c r="E70" s="102">
        <f>+E60+E51+E39+E27+E15+E3+E57+E54</f>
        <v>3888432.5</v>
      </c>
      <c r="F70" s="102">
        <f>+F60+F51+F39+F27+F15+F3+F57+F54</f>
        <v>-283567.5</v>
      </c>
      <c r="G70" s="90">
        <f>+G60+G51+G39+G27+G15+G3+G57+G54</f>
        <v>3310</v>
      </c>
      <c r="H70" s="90">
        <f>+H60+H51+H39+H27+H15+H3+H57+H54</f>
        <v>198.63152777777776</v>
      </c>
      <c r="I70" s="38"/>
      <c r="J70" s="196">
        <f t="shared" ref="J70:X70" si="39">+J60+J51+J39+J27+J15+J3+J57+J54</f>
        <v>992689.05999999994</v>
      </c>
      <c r="K70" s="197">
        <f t="shared" si="39"/>
        <v>804</v>
      </c>
      <c r="L70" s="197">
        <f t="shared" si="39"/>
        <v>50.881388888888885</v>
      </c>
      <c r="M70" s="196">
        <f t="shared" si="39"/>
        <v>989238.64</v>
      </c>
      <c r="N70" s="197">
        <f t="shared" si="39"/>
        <v>823</v>
      </c>
      <c r="O70" s="197">
        <f t="shared" si="39"/>
        <v>50.71541666666667</v>
      </c>
      <c r="P70" s="196">
        <f t="shared" si="39"/>
        <v>1032662.8800000001</v>
      </c>
      <c r="Q70" s="197">
        <f t="shared" si="39"/>
        <v>901</v>
      </c>
      <c r="R70" s="197">
        <f t="shared" si="39"/>
        <v>52.496527777777779</v>
      </c>
      <c r="S70" s="196">
        <f t="shared" si="39"/>
        <v>864670.11999999988</v>
      </c>
      <c r="T70" s="197">
        <f t="shared" si="39"/>
        <v>782</v>
      </c>
      <c r="U70" s="197">
        <f t="shared" si="39"/>
        <v>44.538194444444443</v>
      </c>
      <c r="V70" s="196">
        <f t="shared" si="39"/>
        <v>0</v>
      </c>
      <c r="W70" s="197">
        <f t="shared" si="39"/>
        <v>0</v>
      </c>
      <c r="X70" s="197">
        <f t="shared" si="39"/>
        <v>0</v>
      </c>
    </row>
    <row r="72" spans="1:25" ht="18">
      <c r="A72" s="137" t="s">
        <v>46</v>
      </c>
      <c r="B72" s="137"/>
      <c r="C72" s="376"/>
      <c r="D72" s="103" t="s">
        <v>7</v>
      </c>
      <c r="E72" s="103" t="s">
        <v>8</v>
      </c>
      <c r="F72" s="104" t="s">
        <v>9</v>
      </c>
      <c r="G72" s="33"/>
      <c r="H72" s="33"/>
      <c r="I72" s="39"/>
      <c r="L72" s="176"/>
      <c r="Y72" s="295">
        <f>Y4+Y5+Y6+Y9+Y10+Y12+Y16+Y17+Y18+Y19+Y21+Y24+Y28+Y29+Y30+Y31+Y33+Y36+Y40+Y41+Y45+Y48+Y61+Y62+Y63</f>
        <v>3888432.5</v>
      </c>
    </row>
    <row r="73" spans="1:25">
      <c r="A73" s="87" t="s">
        <v>47</v>
      </c>
      <c r="B73" s="87"/>
      <c r="C73" s="377"/>
      <c r="D73" s="105">
        <f>+D74+D86+D98+D110+D122+D131+D125+D128</f>
        <v>2152710</v>
      </c>
      <c r="E73" s="105">
        <f>+E74+E86+E98+E110+E122+E131+E125+E128</f>
        <v>0</v>
      </c>
      <c r="F73" s="106">
        <f>+E73-D73</f>
        <v>-2152710</v>
      </c>
    </row>
    <row r="74" spans="1:25" outlineLevel="1">
      <c r="A74" s="44" t="s">
        <v>48</v>
      </c>
      <c r="B74" s="44" t="str">
        <f>+B2</f>
        <v>jméno pracovníka</v>
      </c>
      <c r="C74" s="366" t="str">
        <f>+C2</f>
        <v>úvazek</v>
      </c>
      <c r="D74" s="107">
        <f>SUM(D75:D85)*1.34</f>
        <v>489100.00000000006</v>
      </c>
      <c r="E74" s="107">
        <f>SUM(E75:E85)*1.34</f>
        <v>0</v>
      </c>
      <c r="F74" s="108">
        <f>+E74-D74</f>
        <v>-489100.00000000006</v>
      </c>
    </row>
    <row r="75" spans="1:25" outlineLevel="2">
      <c r="A75" s="132" t="str">
        <f>+A4</f>
        <v>psych. sestra 1</v>
      </c>
      <c r="B75" s="132" t="str">
        <f t="shared" ref="B75:C75" si="40">+B4</f>
        <v>Náglová</v>
      </c>
      <c r="C75" s="389">
        <f t="shared" si="40"/>
        <v>1</v>
      </c>
      <c r="D75" s="93">
        <v>65000</v>
      </c>
      <c r="E75" s="93"/>
      <c r="F75" s="109">
        <f t="shared" ref="F75:F97" si="41">+E75-D75</f>
        <v>-65000</v>
      </c>
      <c r="H75" s="16"/>
      <c r="I75" s="40"/>
    </row>
    <row r="76" spans="1:25" outlineLevel="2">
      <c r="A76" s="132" t="str">
        <f t="shared" ref="A76:C85" si="42">+A5</f>
        <v>psych. sestra 2</v>
      </c>
      <c r="B76" s="132" t="str">
        <f t="shared" si="42"/>
        <v>Hajasová</v>
      </c>
      <c r="C76" s="389">
        <f t="shared" si="42"/>
        <v>1</v>
      </c>
      <c r="D76" s="93">
        <v>47000</v>
      </c>
      <c r="E76" s="93"/>
      <c r="F76" s="109">
        <f t="shared" si="41"/>
        <v>-47000</v>
      </c>
      <c r="H76" s="16"/>
      <c r="I76" s="40"/>
    </row>
    <row r="77" spans="1:25" s="175" customFormat="1" outlineLevel="2">
      <c r="A77" s="165" t="str">
        <f t="shared" si="42"/>
        <v>všeob. sestra 5</v>
      </c>
      <c r="B77" s="165" t="str">
        <f t="shared" si="42"/>
        <v>Kostková</v>
      </c>
      <c r="C77" s="394">
        <f t="shared" si="42"/>
        <v>1</v>
      </c>
      <c r="D77" s="166">
        <v>57000</v>
      </c>
      <c r="E77" s="166"/>
      <c r="F77" s="167">
        <f t="shared" si="41"/>
        <v>-57000</v>
      </c>
      <c r="G77" s="168"/>
      <c r="H77" s="168"/>
      <c r="I77" s="169"/>
      <c r="J77" s="170"/>
      <c r="K77" s="171"/>
      <c r="L77" s="228"/>
      <c r="M77" s="170"/>
      <c r="N77" s="172"/>
      <c r="O77" s="173"/>
      <c r="P77" s="170"/>
      <c r="Q77" s="172"/>
      <c r="R77" s="174"/>
      <c r="S77" s="170"/>
      <c r="T77" s="172"/>
      <c r="U77" s="174"/>
      <c r="V77" s="170"/>
      <c r="W77" s="172"/>
      <c r="X77" s="174"/>
    </row>
    <row r="78" spans="1:25" s="78" customFormat="1" outlineLevel="2">
      <c r="A78" s="132" t="str">
        <f t="shared" si="42"/>
        <v>všeob. sestra 4</v>
      </c>
      <c r="B78" s="299" t="str">
        <f t="shared" si="42"/>
        <v>Grežová</v>
      </c>
      <c r="C78" s="389">
        <f t="shared" si="42"/>
        <v>1</v>
      </c>
      <c r="D78" s="298">
        <v>55000</v>
      </c>
      <c r="E78" s="93"/>
      <c r="F78" s="167">
        <f t="shared" si="41"/>
        <v>-55000</v>
      </c>
      <c r="G78" s="79"/>
      <c r="H78" s="79"/>
      <c r="I78" s="80"/>
      <c r="J78" s="81"/>
      <c r="K78" s="82"/>
      <c r="L78" s="82"/>
      <c r="M78" s="81"/>
      <c r="N78" s="84"/>
      <c r="O78" s="85"/>
      <c r="P78" s="81"/>
      <c r="Q78" s="84"/>
      <c r="R78" s="86"/>
      <c r="S78" s="81"/>
      <c r="T78" s="84"/>
      <c r="U78" s="86"/>
      <c r="V78" s="81"/>
      <c r="W78" s="84"/>
      <c r="X78" s="86"/>
    </row>
    <row r="79" spans="1:25" s="164" customFormat="1" outlineLevel="2">
      <c r="A79" s="134" t="str">
        <f t="shared" si="42"/>
        <v>všeob. sestra 5</v>
      </c>
      <c r="B79" s="134">
        <f t="shared" si="42"/>
        <v>0</v>
      </c>
      <c r="C79" s="391">
        <f t="shared" si="42"/>
        <v>1</v>
      </c>
      <c r="D79" s="155">
        <v>0</v>
      </c>
      <c r="E79" s="155"/>
      <c r="F79" s="156">
        <f t="shared" si="41"/>
        <v>0</v>
      </c>
      <c r="G79" s="157"/>
      <c r="H79" s="157"/>
      <c r="I79" s="158"/>
      <c r="J79" s="159"/>
      <c r="K79" s="160"/>
      <c r="L79" s="160"/>
      <c r="M79" s="159"/>
      <c r="N79" s="161"/>
      <c r="O79" s="162"/>
      <c r="P79" s="159"/>
      <c r="Q79" s="161"/>
      <c r="R79" s="163"/>
      <c r="S79" s="159"/>
      <c r="T79" s="161"/>
      <c r="U79" s="163"/>
      <c r="V79" s="159"/>
      <c r="W79" s="161"/>
      <c r="X79" s="163"/>
    </row>
    <row r="80" spans="1:25" outlineLevel="2">
      <c r="A80" s="132" t="str">
        <f t="shared" si="42"/>
        <v>psychiatr 1</v>
      </c>
      <c r="B80" s="132" t="str">
        <f t="shared" si="42"/>
        <v>Gábel</v>
      </c>
      <c r="C80" s="389">
        <f t="shared" si="42"/>
        <v>0.2</v>
      </c>
      <c r="D80" s="93">
        <v>16000</v>
      </c>
      <c r="E80" s="93"/>
      <c r="F80" s="109">
        <f t="shared" si="41"/>
        <v>-16000</v>
      </c>
      <c r="H80" s="16"/>
      <c r="I80" s="40"/>
      <c r="L80" s="82"/>
    </row>
    <row r="81" spans="1:24" outlineLevel="2">
      <c r="A81" s="132" t="str">
        <f t="shared" si="42"/>
        <v xml:space="preserve">psychiatr 2 </v>
      </c>
      <c r="B81" s="132" t="str">
        <f t="shared" si="42"/>
        <v>Pfeiffer</v>
      </c>
      <c r="C81" s="389">
        <f t="shared" si="42"/>
        <v>0.5</v>
      </c>
      <c r="D81" s="93">
        <v>85000</v>
      </c>
      <c r="E81" s="93"/>
      <c r="F81" s="109">
        <f t="shared" si="41"/>
        <v>-85000</v>
      </c>
      <c r="H81" s="16"/>
      <c r="I81" s="40"/>
      <c r="L81" s="82"/>
    </row>
    <row r="82" spans="1:24" s="164" customFormat="1" outlineLevel="2">
      <c r="A82" s="134" t="str">
        <f t="shared" si="42"/>
        <v>psychiatr 3</v>
      </c>
      <c r="B82" s="134">
        <f t="shared" si="42"/>
        <v>0</v>
      </c>
      <c r="C82" s="391">
        <f t="shared" si="42"/>
        <v>0</v>
      </c>
      <c r="D82" s="155">
        <v>0</v>
      </c>
      <c r="E82" s="155"/>
      <c r="F82" s="156">
        <f t="shared" si="41"/>
        <v>0</v>
      </c>
      <c r="G82" s="157"/>
      <c r="H82" s="157"/>
      <c r="I82" s="158"/>
      <c r="J82" s="159"/>
      <c r="K82" s="160"/>
      <c r="L82" s="160"/>
      <c r="M82" s="159"/>
      <c r="N82" s="161"/>
      <c r="O82" s="162"/>
      <c r="P82" s="159"/>
      <c r="Q82" s="161"/>
      <c r="R82" s="163"/>
      <c r="S82" s="159"/>
      <c r="T82" s="161"/>
      <c r="U82" s="163"/>
      <c r="V82" s="159"/>
      <c r="W82" s="161"/>
      <c r="X82" s="163"/>
    </row>
    <row r="83" spans="1:24" s="175" customFormat="1" outlineLevel="2">
      <c r="A83" s="132" t="str">
        <f t="shared" si="42"/>
        <v>psycholog 1</v>
      </c>
      <c r="B83" s="132" t="str">
        <f t="shared" si="42"/>
        <v>Balko</v>
      </c>
      <c r="C83" s="389">
        <f t="shared" si="42"/>
        <v>0.5</v>
      </c>
      <c r="D83" s="166">
        <v>40000</v>
      </c>
      <c r="E83" s="93"/>
      <c r="F83" s="167">
        <f t="shared" si="41"/>
        <v>-40000</v>
      </c>
      <c r="G83" s="168"/>
      <c r="H83" s="168"/>
      <c r="I83" s="169"/>
      <c r="J83" s="170"/>
      <c r="K83" s="171"/>
      <c r="L83" s="171"/>
      <c r="M83" s="170"/>
      <c r="N83" s="172"/>
      <c r="O83" s="173"/>
      <c r="P83" s="170"/>
      <c r="Q83" s="172"/>
      <c r="R83" s="174"/>
      <c r="S83" s="170"/>
      <c r="T83" s="172"/>
      <c r="U83" s="174"/>
      <c r="V83" s="170"/>
      <c r="W83" s="172"/>
      <c r="X83" s="174"/>
    </row>
    <row r="84" spans="1:24" s="164" customFormat="1" outlineLevel="2">
      <c r="A84" s="134" t="str">
        <f t="shared" si="42"/>
        <v xml:space="preserve">psycholog 2 </v>
      </c>
      <c r="B84" s="134">
        <f t="shared" si="42"/>
        <v>0</v>
      </c>
      <c r="C84" s="391">
        <f t="shared" si="42"/>
        <v>0</v>
      </c>
      <c r="D84" s="155">
        <v>0</v>
      </c>
      <c r="E84" s="155"/>
      <c r="F84" s="156">
        <f t="shared" si="41"/>
        <v>0</v>
      </c>
      <c r="G84" s="157"/>
      <c r="H84" s="157"/>
      <c r="I84" s="158"/>
      <c r="J84" s="159"/>
      <c r="K84" s="160"/>
      <c r="L84" s="160"/>
      <c r="M84" s="159"/>
      <c r="N84" s="161"/>
      <c r="O84" s="162"/>
      <c r="P84" s="159"/>
      <c r="Q84" s="161"/>
      <c r="R84" s="163"/>
      <c r="S84" s="159"/>
      <c r="T84" s="161"/>
      <c r="U84" s="163"/>
      <c r="V84" s="159"/>
      <c r="W84" s="161"/>
      <c r="X84" s="163"/>
    </row>
    <row r="85" spans="1:24" s="164" customFormat="1" outlineLevel="2">
      <c r="A85" s="134" t="str">
        <f t="shared" si="42"/>
        <v xml:space="preserve">psycholog 3 </v>
      </c>
      <c r="B85" s="134">
        <f t="shared" si="42"/>
        <v>0</v>
      </c>
      <c r="C85" s="391">
        <f t="shared" si="42"/>
        <v>0</v>
      </c>
      <c r="D85" s="155">
        <v>0</v>
      </c>
      <c r="E85" s="155"/>
      <c r="F85" s="156">
        <f t="shared" si="41"/>
        <v>0</v>
      </c>
      <c r="G85" s="157"/>
      <c r="H85" s="157"/>
      <c r="I85" s="158"/>
      <c r="J85" s="159"/>
      <c r="K85" s="160"/>
      <c r="L85" s="160"/>
      <c r="M85" s="159"/>
      <c r="N85" s="161"/>
      <c r="O85" s="162"/>
      <c r="P85" s="159"/>
      <c r="Q85" s="161"/>
      <c r="R85" s="163"/>
      <c r="S85" s="159"/>
      <c r="T85" s="161"/>
      <c r="U85" s="163"/>
      <c r="V85" s="159"/>
      <c r="W85" s="161"/>
      <c r="X85" s="163"/>
    </row>
    <row r="86" spans="1:24" outlineLevel="1">
      <c r="A86" s="58" t="s">
        <v>52</v>
      </c>
      <c r="B86" s="58" t="str">
        <f>+B2</f>
        <v>jméno pracovníka</v>
      </c>
      <c r="C86" s="368" t="str">
        <f>+C2</f>
        <v>úvazek</v>
      </c>
      <c r="D86" s="111">
        <f>SUM(D87:D97)*1.34</f>
        <v>482400</v>
      </c>
      <c r="E86" s="111">
        <f>SUM(E87:E97)*1.34</f>
        <v>0</v>
      </c>
      <c r="F86" s="112">
        <f>+E86-D86</f>
        <v>-482400</v>
      </c>
      <c r="H86" s="16"/>
      <c r="I86" s="40"/>
      <c r="L86" s="82"/>
    </row>
    <row r="87" spans="1:24" outlineLevel="2">
      <c r="A87" s="132" t="str">
        <f>+A16</f>
        <v>psych. sestra 1</v>
      </c>
      <c r="B87" s="132" t="str">
        <f t="shared" ref="B87:C87" si="43">+B16</f>
        <v>Blažková</v>
      </c>
      <c r="C87" s="389">
        <f t="shared" si="43"/>
        <v>1</v>
      </c>
      <c r="D87" s="93">
        <v>55000</v>
      </c>
      <c r="E87" s="93"/>
      <c r="F87" s="109">
        <f t="shared" si="41"/>
        <v>-55000</v>
      </c>
      <c r="H87" s="16"/>
      <c r="I87" s="40"/>
      <c r="L87" s="82"/>
    </row>
    <row r="88" spans="1:24" s="175" customFormat="1" outlineLevel="2">
      <c r="A88" s="132" t="str">
        <f t="shared" ref="A88:C97" si="44">+A17</f>
        <v>psych. sestra 2</v>
      </c>
      <c r="B88" s="132" t="str">
        <f t="shared" si="44"/>
        <v xml:space="preserve">Pátková </v>
      </c>
      <c r="C88" s="389">
        <f t="shared" si="44"/>
        <v>1</v>
      </c>
      <c r="D88" s="166">
        <v>65000</v>
      </c>
      <c r="E88" s="93"/>
      <c r="F88" s="167">
        <f t="shared" si="41"/>
        <v>-65000</v>
      </c>
      <c r="G88" s="168"/>
      <c r="H88" s="168"/>
      <c r="I88" s="169"/>
      <c r="J88" s="170"/>
      <c r="K88" s="171"/>
      <c r="L88" s="171"/>
      <c r="M88" s="170"/>
      <c r="N88" s="172"/>
      <c r="O88" s="173"/>
      <c r="P88" s="170"/>
      <c r="Q88" s="172"/>
      <c r="R88" s="174"/>
      <c r="S88" s="170"/>
      <c r="T88" s="172"/>
      <c r="U88" s="174"/>
      <c r="V88" s="170"/>
      <c r="W88" s="172"/>
      <c r="X88" s="174"/>
    </row>
    <row r="89" spans="1:24" s="175" customFormat="1" outlineLevel="2">
      <c r="A89" s="132" t="str">
        <f t="shared" si="44"/>
        <v>všeob. sestra 3</v>
      </c>
      <c r="B89" s="132" t="str">
        <f t="shared" si="44"/>
        <v xml:space="preserve">Vaculínová </v>
      </c>
      <c r="C89" s="389">
        <f t="shared" si="44"/>
        <v>1</v>
      </c>
      <c r="D89" s="166">
        <v>50000</v>
      </c>
      <c r="E89" s="93"/>
      <c r="F89" s="167">
        <f t="shared" si="41"/>
        <v>-50000</v>
      </c>
      <c r="G89" s="168"/>
      <c r="H89" s="168"/>
      <c r="I89" s="169"/>
      <c r="J89" s="170"/>
      <c r="K89" s="171"/>
      <c r="L89" s="171"/>
      <c r="M89" s="170"/>
      <c r="N89" s="172"/>
      <c r="O89" s="173"/>
      <c r="P89" s="170"/>
      <c r="Q89" s="172"/>
      <c r="R89" s="174"/>
      <c r="S89" s="170"/>
      <c r="T89" s="172"/>
      <c r="U89" s="174"/>
      <c r="V89" s="170"/>
      <c r="W89" s="172"/>
      <c r="X89" s="174"/>
    </row>
    <row r="90" spans="1:24" s="175" customFormat="1" outlineLevel="2">
      <c r="A90" s="132" t="str">
        <f t="shared" si="44"/>
        <v>všeob. sestra 4</v>
      </c>
      <c r="B90" s="299" t="str">
        <f t="shared" si="44"/>
        <v>Nebušková</v>
      </c>
      <c r="C90" s="389">
        <f t="shared" si="44"/>
        <v>1</v>
      </c>
      <c r="D90" s="298">
        <v>55000</v>
      </c>
      <c r="E90" s="93"/>
      <c r="F90" s="167">
        <f t="shared" si="41"/>
        <v>-55000</v>
      </c>
      <c r="G90" s="168"/>
      <c r="H90" s="168"/>
      <c r="I90" s="169"/>
      <c r="J90" s="170"/>
      <c r="K90" s="171"/>
      <c r="L90" s="171"/>
      <c r="M90" s="170"/>
      <c r="N90" s="227"/>
      <c r="O90" s="173"/>
      <c r="P90" s="170"/>
      <c r="Q90" s="172"/>
      <c r="R90" s="174"/>
      <c r="S90" s="170"/>
      <c r="T90" s="172"/>
      <c r="U90" s="174"/>
      <c r="V90" s="170"/>
      <c r="W90" s="172"/>
      <c r="X90" s="174"/>
    </row>
    <row r="91" spans="1:24" s="164" customFormat="1" outlineLevel="2">
      <c r="A91" s="134" t="str">
        <f t="shared" si="44"/>
        <v>psych. sestra 5</v>
      </c>
      <c r="B91" s="134">
        <f t="shared" si="44"/>
        <v>0</v>
      </c>
      <c r="C91" s="391">
        <f t="shared" si="44"/>
        <v>0</v>
      </c>
      <c r="D91" s="155">
        <v>0</v>
      </c>
      <c r="E91" s="155"/>
      <c r="F91" s="156">
        <f t="shared" si="41"/>
        <v>0</v>
      </c>
      <c r="G91" s="157"/>
      <c r="H91" s="157"/>
      <c r="I91" s="158"/>
      <c r="J91" s="159"/>
      <c r="K91" s="160"/>
      <c r="L91" s="160"/>
      <c r="M91" s="159"/>
      <c r="N91" s="161"/>
      <c r="O91" s="162"/>
      <c r="P91" s="159"/>
      <c r="Q91" s="161"/>
      <c r="R91" s="163"/>
      <c r="S91" s="159"/>
      <c r="T91" s="161"/>
      <c r="U91" s="163"/>
      <c r="V91" s="159"/>
      <c r="W91" s="161"/>
      <c r="X91" s="163"/>
    </row>
    <row r="92" spans="1:24" s="175" customFormat="1" outlineLevel="2">
      <c r="A92" s="165" t="str">
        <f t="shared" si="44"/>
        <v>psychiatr 1</v>
      </c>
      <c r="B92" s="165" t="str">
        <f t="shared" si="44"/>
        <v>Suchánková</v>
      </c>
      <c r="C92" s="394">
        <f t="shared" si="44"/>
        <v>0.5</v>
      </c>
      <c r="D92" s="166">
        <v>80000</v>
      </c>
      <c r="E92" s="166"/>
      <c r="F92" s="167">
        <f t="shared" si="41"/>
        <v>-80000</v>
      </c>
      <c r="G92" s="168"/>
      <c r="H92" s="168"/>
      <c r="I92" s="169"/>
      <c r="J92" s="170"/>
      <c r="K92" s="171"/>
      <c r="L92" s="171"/>
      <c r="M92" s="170"/>
      <c r="N92" s="172"/>
      <c r="O92" s="173"/>
      <c r="P92" s="170"/>
      <c r="Q92" s="172"/>
      <c r="R92" s="174"/>
      <c r="S92" s="170"/>
      <c r="T92" s="172"/>
      <c r="U92" s="174"/>
      <c r="V92" s="170"/>
      <c r="W92" s="172"/>
      <c r="X92" s="174"/>
    </row>
    <row r="93" spans="1:24" s="164" customFormat="1" outlineLevel="2">
      <c r="A93" s="134" t="str">
        <f t="shared" si="44"/>
        <v xml:space="preserve">psychiatr 2 </v>
      </c>
      <c r="B93" s="134">
        <f t="shared" si="44"/>
        <v>0</v>
      </c>
      <c r="C93" s="391">
        <f t="shared" si="44"/>
        <v>0</v>
      </c>
      <c r="D93" s="155">
        <v>0</v>
      </c>
      <c r="E93" s="155"/>
      <c r="F93" s="156">
        <f t="shared" si="41"/>
        <v>0</v>
      </c>
      <c r="G93" s="157"/>
      <c r="H93" s="157"/>
      <c r="I93" s="158"/>
      <c r="J93" s="159"/>
      <c r="K93" s="160"/>
      <c r="L93" s="160"/>
      <c r="M93" s="159"/>
      <c r="N93" s="161"/>
      <c r="O93" s="162"/>
      <c r="P93" s="159"/>
      <c r="Q93" s="161"/>
      <c r="R93" s="163"/>
      <c r="S93" s="159"/>
      <c r="T93" s="161"/>
      <c r="U93" s="163"/>
      <c r="V93" s="159"/>
      <c r="W93" s="161"/>
      <c r="X93" s="163"/>
    </row>
    <row r="94" spans="1:24" s="164" customFormat="1" outlineLevel="2">
      <c r="A94" s="134" t="str">
        <f t="shared" si="44"/>
        <v>psychiatr 3</v>
      </c>
      <c r="B94" s="134">
        <f t="shared" si="44"/>
        <v>0</v>
      </c>
      <c r="C94" s="391">
        <f t="shared" si="44"/>
        <v>0</v>
      </c>
      <c r="D94" s="155">
        <v>0</v>
      </c>
      <c r="E94" s="155"/>
      <c r="F94" s="156">
        <f t="shared" si="41"/>
        <v>0</v>
      </c>
      <c r="G94" s="157"/>
      <c r="H94" s="157"/>
      <c r="I94" s="158"/>
      <c r="J94" s="159"/>
      <c r="K94" s="160"/>
      <c r="L94" s="160"/>
      <c r="M94" s="159"/>
      <c r="N94" s="161"/>
      <c r="O94" s="162"/>
      <c r="P94" s="159"/>
      <c r="Q94" s="161"/>
      <c r="R94" s="163"/>
      <c r="S94" s="159"/>
      <c r="T94" s="161"/>
      <c r="U94" s="163"/>
      <c r="V94" s="159"/>
      <c r="W94" s="161"/>
      <c r="X94" s="163"/>
    </row>
    <row r="95" spans="1:24" s="175" customFormat="1" outlineLevel="2">
      <c r="A95" s="165" t="str">
        <f t="shared" si="44"/>
        <v>psycholog 1</v>
      </c>
      <c r="B95" s="165" t="str">
        <f t="shared" si="44"/>
        <v>Suchopová</v>
      </c>
      <c r="C95" s="394">
        <f t="shared" si="44"/>
        <v>0.4</v>
      </c>
      <c r="D95" s="166">
        <v>40000</v>
      </c>
      <c r="E95" s="166"/>
      <c r="F95" s="167">
        <f t="shared" si="41"/>
        <v>-40000</v>
      </c>
      <c r="G95" s="168"/>
      <c r="H95" s="168"/>
      <c r="I95" s="169"/>
      <c r="J95" s="170"/>
      <c r="K95" s="171"/>
      <c r="L95" s="171"/>
      <c r="M95" s="170"/>
      <c r="N95" s="172"/>
      <c r="O95" s="173"/>
      <c r="P95" s="170"/>
      <c r="Q95" s="172"/>
      <c r="R95" s="174"/>
      <c r="S95" s="170"/>
      <c r="T95" s="172"/>
      <c r="U95" s="174"/>
      <c r="V95" s="170"/>
      <c r="W95" s="172"/>
      <c r="X95" s="174"/>
    </row>
    <row r="96" spans="1:24" s="175" customFormat="1" outlineLevel="2">
      <c r="A96" s="165" t="str">
        <f t="shared" si="44"/>
        <v xml:space="preserve">psycholog 2 </v>
      </c>
      <c r="B96" s="165" t="str">
        <f t="shared" si="44"/>
        <v>Červenková</v>
      </c>
      <c r="C96" s="394">
        <f t="shared" si="44"/>
        <v>0.2</v>
      </c>
      <c r="D96" s="166">
        <v>15000</v>
      </c>
      <c r="E96" s="166"/>
      <c r="F96" s="167">
        <f t="shared" si="41"/>
        <v>-15000</v>
      </c>
      <c r="G96" s="168"/>
      <c r="H96" s="168"/>
      <c r="I96" s="169"/>
      <c r="J96" s="170"/>
      <c r="K96" s="171"/>
      <c r="L96" s="171"/>
      <c r="M96" s="170"/>
      <c r="N96" s="172"/>
      <c r="O96" s="173"/>
      <c r="P96" s="170"/>
      <c r="Q96" s="172"/>
      <c r="R96" s="174"/>
      <c r="S96" s="170"/>
      <c r="T96" s="172"/>
      <c r="U96" s="174"/>
      <c r="V96" s="170"/>
      <c r="W96" s="172"/>
      <c r="X96" s="174"/>
    </row>
    <row r="97" spans="1:24" s="164" customFormat="1" outlineLevel="2">
      <c r="A97" s="134" t="str">
        <f t="shared" si="44"/>
        <v xml:space="preserve">psycholog 3 </v>
      </c>
      <c r="B97" s="134">
        <f t="shared" si="44"/>
        <v>0</v>
      </c>
      <c r="C97" s="391">
        <f t="shared" si="44"/>
        <v>0</v>
      </c>
      <c r="D97" s="155">
        <v>0</v>
      </c>
      <c r="E97" s="155"/>
      <c r="F97" s="156">
        <f t="shared" si="41"/>
        <v>0</v>
      </c>
      <c r="G97" s="157"/>
      <c r="H97" s="157"/>
      <c r="I97" s="158"/>
      <c r="J97" s="159"/>
      <c r="K97" s="160"/>
      <c r="L97" s="160"/>
      <c r="M97" s="159"/>
      <c r="N97" s="161"/>
      <c r="O97" s="162"/>
      <c r="P97" s="159"/>
      <c r="Q97" s="161"/>
      <c r="R97" s="163"/>
      <c r="S97" s="159"/>
      <c r="T97" s="161"/>
      <c r="U97" s="163"/>
      <c r="V97" s="159"/>
      <c r="W97" s="161"/>
      <c r="X97" s="163"/>
    </row>
    <row r="98" spans="1:24" outlineLevel="1">
      <c r="A98" s="57" t="s">
        <v>58</v>
      </c>
      <c r="B98" s="57" t="str">
        <f>+B2</f>
        <v>jméno pracovníka</v>
      </c>
      <c r="C98" s="369" t="str">
        <f>+C2</f>
        <v>úvazek</v>
      </c>
      <c r="D98" s="113">
        <f>SUM(D99:D109)*1.34</f>
        <v>513220.00000000006</v>
      </c>
      <c r="E98" s="113">
        <f>SUM(E99:E109)*1.34</f>
        <v>0</v>
      </c>
      <c r="F98" s="114">
        <f>+E98-D98</f>
        <v>-513220.00000000006</v>
      </c>
      <c r="H98" s="16"/>
      <c r="I98" s="40"/>
      <c r="L98" s="82"/>
    </row>
    <row r="99" spans="1:24" outlineLevel="2">
      <c r="A99" s="132" t="str">
        <f>+A28</f>
        <v>psych. sestra 1</v>
      </c>
      <c r="B99" s="132" t="str">
        <f t="shared" ref="B99:C99" si="45">+B28</f>
        <v>Zelenková</v>
      </c>
      <c r="C99" s="389">
        <f t="shared" si="45"/>
        <v>1</v>
      </c>
      <c r="D99" s="93">
        <v>75000</v>
      </c>
      <c r="E99" s="93"/>
      <c r="F99" s="109">
        <f t="shared" ref="F99:F109" si="46">+E99-D99</f>
        <v>-75000</v>
      </c>
      <c r="H99" s="16"/>
      <c r="I99" s="40"/>
      <c r="L99" s="83"/>
    </row>
    <row r="100" spans="1:24" s="175" customFormat="1" outlineLevel="2">
      <c r="A100" s="132" t="str">
        <f t="shared" ref="A100:C109" si="47">+A29</f>
        <v>psych. sestra 2</v>
      </c>
      <c r="B100" s="132" t="str">
        <f t="shared" si="47"/>
        <v>Vondráčková</v>
      </c>
      <c r="C100" s="389">
        <f t="shared" si="47"/>
        <v>1</v>
      </c>
      <c r="D100" s="166">
        <v>58000</v>
      </c>
      <c r="E100" s="93"/>
      <c r="F100" s="167">
        <f t="shared" si="46"/>
        <v>-58000</v>
      </c>
      <c r="G100" s="168"/>
      <c r="H100" s="168"/>
      <c r="I100" s="169"/>
      <c r="J100" s="170"/>
      <c r="K100" s="171"/>
      <c r="L100" s="228"/>
      <c r="M100" s="170"/>
      <c r="N100" s="172"/>
      <c r="O100" s="173"/>
      <c r="P100" s="170"/>
      <c r="Q100" s="172"/>
      <c r="R100" s="174"/>
      <c r="S100" s="170"/>
      <c r="T100" s="172"/>
      <c r="U100" s="174"/>
      <c r="V100" s="170"/>
      <c r="W100" s="172"/>
      <c r="X100" s="174"/>
    </row>
    <row r="101" spans="1:24" s="175" customFormat="1" outlineLevel="2">
      <c r="A101" s="132" t="str">
        <f t="shared" si="47"/>
        <v>psych. sestra 3</v>
      </c>
      <c r="B101" s="132" t="str">
        <f t="shared" si="47"/>
        <v>Nováková</v>
      </c>
      <c r="C101" s="389">
        <f t="shared" si="47"/>
        <v>1</v>
      </c>
      <c r="D101" s="166">
        <v>55000</v>
      </c>
      <c r="E101" s="93"/>
      <c r="F101" s="167">
        <f t="shared" si="46"/>
        <v>-55000</v>
      </c>
      <c r="G101" s="168"/>
      <c r="H101" s="168"/>
      <c r="I101" s="169"/>
      <c r="J101" s="170"/>
      <c r="K101" s="171"/>
      <c r="L101" s="228"/>
      <c r="M101" s="170"/>
      <c r="N101" s="172"/>
      <c r="O101" s="173"/>
      <c r="P101" s="170"/>
      <c r="Q101" s="172"/>
      <c r="R101" s="174"/>
      <c r="S101" s="170"/>
      <c r="T101" s="172"/>
      <c r="U101" s="174"/>
      <c r="V101" s="170"/>
      <c r="W101" s="172"/>
      <c r="X101" s="174"/>
    </row>
    <row r="102" spans="1:24" s="175" customFormat="1" outlineLevel="2">
      <c r="A102" s="132" t="str">
        <f t="shared" si="47"/>
        <v>psych. sestra 4</v>
      </c>
      <c r="B102" s="132" t="str">
        <f t="shared" si="47"/>
        <v>Dušková</v>
      </c>
      <c r="C102" s="389">
        <f t="shared" si="47"/>
        <v>1</v>
      </c>
      <c r="D102" s="166">
        <v>55000</v>
      </c>
      <c r="E102" s="93"/>
      <c r="F102" s="167">
        <f t="shared" si="46"/>
        <v>-55000</v>
      </c>
      <c r="G102" s="168"/>
      <c r="H102" s="168"/>
      <c r="I102" s="169"/>
      <c r="J102" s="170"/>
      <c r="K102" s="171"/>
      <c r="L102" s="228"/>
      <c r="M102" s="170"/>
      <c r="N102" s="172"/>
      <c r="O102" s="173"/>
      <c r="P102" s="170"/>
      <c r="Q102" s="172"/>
      <c r="R102" s="174"/>
      <c r="S102" s="170"/>
      <c r="T102" s="172"/>
      <c r="U102" s="174"/>
      <c r="V102" s="170"/>
      <c r="W102" s="172"/>
      <c r="X102" s="174"/>
    </row>
    <row r="103" spans="1:24" s="164" customFormat="1" outlineLevel="2">
      <c r="A103" s="134" t="str">
        <f t="shared" si="47"/>
        <v>psych. sestra 5</v>
      </c>
      <c r="B103" s="134">
        <f t="shared" si="47"/>
        <v>0</v>
      </c>
      <c r="C103" s="391">
        <f t="shared" si="47"/>
        <v>0</v>
      </c>
      <c r="D103" s="155">
        <v>0</v>
      </c>
      <c r="E103" s="155"/>
      <c r="F103" s="156">
        <f t="shared" si="46"/>
        <v>0</v>
      </c>
      <c r="G103" s="157"/>
      <c r="H103" s="157"/>
      <c r="I103" s="158"/>
      <c r="J103" s="159"/>
      <c r="K103" s="160"/>
      <c r="L103" s="296"/>
      <c r="M103" s="159"/>
      <c r="N103" s="161"/>
      <c r="O103" s="162"/>
      <c r="P103" s="159"/>
      <c r="Q103" s="161"/>
      <c r="R103" s="163"/>
      <c r="S103" s="159"/>
      <c r="T103" s="161"/>
      <c r="U103" s="163"/>
      <c r="V103" s="159"/>
      <c r="W103" s="161"/>
      <c r="X103" s="163"/>
    </row>
    <row r="104" spans="1:24" s="175" customFormat="1" outlineLevel="2">
      <c r="A104" s="132" t="str">
        <f t="shared" si="47"/>
        <v>psychiatr 1</v>
      </c>
      <c r="B104" s="132" t="str">
        <f t="shared" si="47"/>
        <v>Suchánková</v>
      </c>
      <c r="C104" s="389">
        <f t="shared" si="47"/>
        <v>0.5</v>
      </c>
      <c r="D104" s="166">
        <f>160000*0.5</f>
        <v>80000</v>
      </c>
      <c r="E104" s="93"/>
      <c r="F104" s="167">
        <f t="shared" si="46"/>
        <v>-80000</v>
      </c>
      <c r="G104" s="168"/>
      <c r="H104" s="168"/>
      <c r="I104" s="169"/>
      <c r="J104" s="170"/>
      <c r="K104" s="171"/>
      <c r="L104" s="228"/>
      <c r="M104" s="170"/>
      <c r="N104" s="172"/>
      <c r="O104" s="173"/>
      <c r="P104" s="170"/>
      <c r="Q104" s="172"/>
      <c r="R104" s="174"/>
      <c r="S104" s="170"/>
      <c r="T104" s="172"/>
      <c r="U104" s="174"/>
      <c r="V104" s="170"/>
      <c r="W104" s="172"/>
      <c r="X104" s="174"/>
    </row>
    <row r="105" spans="1:24" s="164" customFormat="1" outlineLevel="2">
      <c r="A105" s="134" t="str">
        <f t="shared" si="47"/>
        <v xml:space="preserve">psychiatr 2 </v>
      </c>
      <c r="B105" s="134">
        <f t="shared" si="47"/>
        <v>0</v>
      </c>
      <c r="C105" s="391">
        <f t="shared" si="47"/>
        <v>0</v>
      </c>
      <c r="D105" s="155">
        <v>0</v>
      </c>
      <c r="E105" s="155"/>
      <c r="F105" s="156">
        <f t="shared" si="46"/>
        <v>0</v>
      </c>
      <c r="G105" s="157"/>
      <c r="H105" s="157"/>
      <c r="I105" s="158"/>
      <c r="J105" s="159"/>
      <c r="K105" s="160"/>
      <c r="L105" s="296"/>
      <c r="M105" s="159"/>
      <c r="N105" s="161"/>
      <c r="O105" s="162"/>
      <c r="P105" s="159"/>
      <c r="Q105" s="161"/>
      <c r="R105" s="163"/>
      <c r="S105" s="159"/>
      <c r="T105" s="161"/>
      <c r="U105" s="163"/>
      <c r="V105" s="159"/>
      <c r="W105" s="161"/>
      <c r="X105" s="163"/>
    </row>
    <row r="106" spans="1:24" s="164" customFormat="1" outlineLevel="2">
      <c r="A106" s="134" t="str">
        <f t="shared" si="47"/>
        <v>psychiatr 3</v>
      </c>
      <c r="B106" s="134">
        <f t="shared" si="47"/>
        <v>0</v>
      </c>
      <c r="C106" s="391">
        <f t="shared" si="47"/>
        <v>0</v>
      </c>
      <c r="D106" s="155">
        <v>0</v>
      </c>
      <c r="E106" s="155"/>
      <c r="F106" s="156">
        <f t="shared" si="46"/>
        <v>0</v>
      </c>
      <c r="G106" s="157"/>
      <c r="H106" s="157"/>
      <c r="I106" s="158"/>
      <c r="J106" s="159"/>
      <c r="K106" s="160"/>
      <c r="L106" s="296"/>
      <c r="M106" s="159"/>
      <c r="N106" s="161"/>
      <c r="O106" s="162"/>
      <c r="P106" s="159"/>
      <c r="Q106" s="161"/>
      <c r="R106" s="163"/>
      <c r="S106" s="159"/>
      <c r="T106" s="161"/>
      <c r="U106" s="163"/>
      <c r="V106" s="159"/>
      <c r="W106" s="161"/>
      <c r="X106" s="163"/>
    </row>
    <row r="107" spans="1:24" s="78" customFormat="1" outlineLevel="2">
      <c r="A107" s="165" t="str">
        <f t="shared" si="47"/>
        <v>psycholog 1</v>
      </c>
      <c r="B107" s="165" t="str">
        <f t="shared" si="47"/>
        <v>Kliská</v>
      </c>
      <c r="C107" s="394">
        <f t="shared" si="47"/>
        <v>0.2</v>
      </c>
      <c r="D107" s="166">
        <v>20000</v>
      </c>
      <c r="E107" s="93"/>
      <c r="F107" s="167">
        <f t="shared" si="46"/>
        <v>-20000</v>
      </c>
      <c r="G107" s="79"/>
      <c r="H107" s="79"/>
      <c r="I107" s="80"/>
      <c r="J107" s="81"/>
      <c r="K107" s="82"/>
      <c r="L107" s="83"/>
      <c r="M107" s="81"/>
      <c r="N107" s="84"/>
      <c r="O107" s="85"/>
      <c r="P107" s="81"/>
      <c r="Q107" s="84"/>
      <c r="R107" s="86"/>
      <c r="S107" s="81"/>
      <c r="T107" s="84"/>
      <c r="U107" s="86"/>
      <c r="V107" s="81"/>
      <c r="W107" s="84"/>
      <c r="X107" s="86"/>
    </row>
    <row r="108" spans="1:24" s="175" customFormat="1" outlineLevel="2">
      <c r="A108" s="165" t="str">
        <f t="shared" si="47"/>
        <v xml:space="preserve">psycholog 2 </v>
      </c>
      <c r="B108" s="165" t="str">
        <f t="shared" si="47"/>
        <v>Brožek Ľuba</v>
      </c>
      <c r="C108" s="394">
        <f t="shared" si="47"/>
        <v>0.5</v>
      </c>
      <c r="D108" s="166">
        <v>40000</v>
      </c>
      <c r="E108" s="166"/>
      <c r="F108" s="167">
        <f t="shared" si="46"/>
        <v>-40000</v>
      </c>
      <c r="G108" s="168"/>
      <c r="H108" s="168"/>
      <c r="I108" s="169"/>
      <c r="J108" s="170"/>
      <c r="K108" s="171"/>
      <c r="L108" s="228"/>
      <c r="M108" s="170"/>
      <c r="N108" s="172"/>
      <c r="O108" s="173"/>
      <c r="P108" s="170"/>
      <c r="Q108" s="172"/>
      <c r="R108" s="174"/>
      <c r="S108" s="170"/>
      <c r="T108" s="172"/>
      <c r="U108" s="174"/>
      <c r="V108" s="170"/>
      <c r="W108" s="172"/>
      <c r="X108" s="174"/>
    </row>
    <row r="109" spans="1:24" s="164" customFormat="1" outlineLevel="2">
      <c r="A109" s="134" t="str">
        <f t="shared" si="47"/>
        <v xml:space="preserve">psycholog 3 </v>
      </c>
      <c r="B109" s="134">
        <f t="shared" si="47"/>
        <v>0</v>
      </c>
      <c r="C109" s="391">
        <f t="shared" si="47"/>
        <v>0</v>
      </c>
      <c r="D109" s="155">
        <v>0</v>
      </c>
      <c r="E109" s="155"/>
      <c r="F109" s="156">
        <f t="shared" si="46"/>
        <v>0</v>
      </c>
      <c r="G109" s="157"/>
      <c r="H109" s="157"/>
      <c r="I109" s="158"/>
      <c r="J109" s="159"/>
      <c r="K109" s="160"/>
      <c r="L109" s="296"/>
      <c r="M109" s="159"/>
      <c r="N109" s="161"/>
      <c r="O109" s="162"/>
      <c r="P109" s="159"/>
      <c r="Q109" s="161"/>
      <c r="R109" s="163"/>
      <c r="S109" s="159"/>
      <c r="T109" s="161"/>
      <c r="U109" s="163"/>
      <c r="V109" s="159"/>
      <c r="W109" s="161"/>
      <c r="X109" s="163"/>
    </row>
    <row r="110" spans="1:24" outlineLevel="1">
      <c r="A110" s="50" t="s">
        <v>60</v>
      </c>
      <c r="B110" s="50" t="str">
        <f>+B2</f>
        <v>jméno pracovníka</v>
      </c>
      <c r="C110" s="50" t="str">
        <f>+C2</f>
        <v>úvazek</v>
      </c>
      <c r="D110" s="115">
        <f>SUM(D111:D121)*1.34</f>
        <v>359120</v>
      </c>
      <c r="E110" s="115">
        <f>SUM(E111:E121)*1.34</f>
        <v>0</v>
      </c>
      <c r="F110" s="116">
        <f>+E110-D110</f>
        <v>-359120</v>
      </c>
      <c r="H110" s="16"/>
      <c r="I110" s="40"/>
    </row>
    <row r="111" spans="1:24" s="164" customFormat="1" outlineLevel="2">
      <c r="A111" s="165" t="str">
        <f>+A40</f>
        <v>všeob. sestra 1</v>
      </c>
      <c r="B111" s="165" t="str">
        <f t="shared" ref="B111:C111" si="48">+B40</f>
        <v>Kopecká</v>
      </c>
      <c r="C111" s="394">
        <f t="shared" si="48"/>
        <v>0.6</v>
      </c>
      <c r="D111" s="417">
        <v>28000</v>
      </c>
      <c r="E111" s="166"/>
      <c r="F111" s="167">
        <f t="shared" ref="F111:F139" si="49">+E111-D111</f>
        <v>-28000</v>
      </c>
      <c r="G111" s="157"/>
      <c r="H111" s="157"/>
      <c r="I111" s="157"/>
      <c r="J111" s="159"/>
      <c r="K111" s="160"/>
      <c r="L111" s="296"/>
      <c r="M111" s="159"/>
      <c r="N111" s="161"/>
      <c r="O111" s="162"/>
      <c r="P111" s="159"/>
      <c r="Q111" s="161"/>
      <c r="R111" s="163"/>
      <c r="S111" s="159"/>
      <c r="T111" s="161"/>
      <c r="U111" s="163"/>
      <c r="V111" s="159"/>
      <c r="W111" s="161"/>
      <c r="X111" s="163"/>
    </row>
    <row r="112" spans="1:24" s="175" customFormat="1" outlineLevel="2">
      <c r="A112" s="165" t="str">
        <f t="shared" ref="A112:C121" si="50">+A41</f>
        <v>psych. sestra 2</v>
      </c>
      <c r="B112" s="165" t="str">
        <f t="shared" si="50"/>
        <v>Prajzová</v>
      </c>
      <c r="C112" s="394">
        <f t="shared" si="50"/>
        <v>1</v>
      </c>
      <c r="D112" s="166">
        <v>55000</v>
      </c>
      <c r="E112" s="166"/>
      <c r="F112" s="167">
        <f t="shared" si="49"/>
        <v>-55000</v>
      </c>
      <c r="G112" s="168"/>
      <c r="H112" s="168"/>
      <c r="I112" s="169"/>
      <c r="J112" s="170"/>
      <c r="K112" s="171"/>
      <c r="L112" s="228"/>
      <c r="M112" s="170"/>
      <c r="N112" s="172"/>
      <c r="O112" s="173"/>
      <c r="P112" s="170"/>
      <c r="Q112" s="172"/>
      <c r="R112" s="174"/>
      <c r="S112" s="170"/>
      <c r="T112" s="172"/>
      <c r="U112" s="174"/>
      <c r="V112" s="170"/>
      <c r="W112" s="172"/>
      <c r="X112" s="174"/>
    </row>
    <row r="113" spans="1:24" s="175" customFormat="1" outlineLevel="2">
      <c r="A113" s="165" t="str">
        <f t="shared" si="50"/>
        <v>psych. sestra 3</v>
      </c>
      <c r="B113" s="324" t="str">
        <f t="shared" si="50"/>
        <v>Mašková</v>
      </c>
      <c r="C113" s="394">
        <f t="shared" si="50"/>
        <v>1</v>
      </c>
      <c r="D113" s="298">
        <v>55000</v>
      </c>
      <c r="E113" s="166"/>
      <c r="F113" s="167">
        <f t="shared" si="49"/>
        <v>-55000</v>
      </c>
      <c r="G113" s="168"/>
      <c r="H113" s="168"/>
      <c r="I113" s="169"/>
      <c r="J113" s="170"/>
      <c r="K113" s="171"/>
      <c r="L113" s="228"/>
      <c r="M113" s="170"/>
      <c r="N113" s="172"/>
      <c r="O113" s="173"/>
      <c r="P113" s="170"/>
      <c r="Q113" s="172"/>
      <c r="R113" s="174"/>
      <c r="S113" s="170"/>
      <c r="T113" s="172"/>
      <c r="U113" s="174"/>
      <c r="V113" s="170"/>
      <c r="W113" s="172"/>
      <c r="X113" s="174"/>
    </row>
    <row r="114" spans="1:24" s="175" customFormat="1" outlineLevel="2">
      <c r="A114" s="165" t="str">
        <f t="shared" si="50"/>
        <v>psych. sestra 4</v>
      </c>
      <c r="B114" s="324" t="str">
        <f t="shared" si="50"/>
        <v>Čechurová</v>
      </c>
      <c r="C114" s="394">
        <f t="shared" si="50"/>
        <v>1</v>
      </c>
      <c r="D114" s="298">
        <v>55000</v>
      </c>
      <c r="E114" s="166"/>
      <c r="F114" s="167">
        <f t="shared" si="49"/>
        <v>-55000</v>
      </c>
      <c r="G114" s="168"/>
      <c r="H114" s="168"/>
      <c r="I114" s="169"/>
      <c r="J114" s="170"/>
      <c r="K114" s="171"/>
      <c r="L114" s="228"/>
      <c r="M114" s="170"/>
      <c r="N114" s="172"/>
      <c r="O114" s="173"/>
      <c r="P114" s="170"/>
      <c r="Q114" s="172"/>
      <c r="R114" s="174"/>
      <c r="S114" s="170"/>
      <c r="T114" s="172"/>
      <c r="U114" s="174"/>
      <c r="V114" s="170"/>
      <c r="W114" s="172"/>
      <c r="X114" s="174"/>
    </row>
    <row r="115" spans="1:24" s="164" customFormat="1" outlineLevel="2">
      <c r="A115" s="134" t="str">
        <f t="shared" si="50"/>
        <v>psych. sestra 5</v>
      </c>
      <c r="B115" s="134">
        <f t="shared" si="50"/>
        <v>0</v>
      </c>
      <c r="C115" s="391">
        <f t="shared" si="50"/>
        <v>0</v>
      </c>
      <c r="D115" s="155">
        <v>0</v>
      </c>
      <c r="E115" s="155"/>
      <c r="F115" s="156">
        <f t="shared" si="49"/>
        <v>0</v>
      </c>
      <c r="G115" s="157"/>
      <c r="H115" s="157"/>
      <c r="I115" s="158"/>
      <c r="J115" s="159"/>
      <c r="K115" s="160"/>
      <c r="L115" s="296"/>
      <c r="M115" s="159"/>
      <c r="N115" s="161"/>
      <c r="O115" s="162"/>
      <c r="P115" s="159"/>
      <c r="Q115" s="161"/>
      <c r="R115" s="163"/>
      <c r="S115" s="159"/>
      <c r="T115" s="161"/>
      <c r="U115" s="163"/>
      <c r="V115" s="159"/>
      <c r="W115" s="161"/>
      <c r="X115" s="163"/>
    </row>
    <row r="116" spans="1:24" s="164" customFormat="1" outlineLevel="2">
      <c r="A116" s="165" t="str">
        <f t="shared" si="50"/>
        <v>psychiatr 1</v>
      </c>
      <c r="B116" s="165" t="str">
        <f t="shared" si="50"/>
        <v>Kútniková</v>
      </c>
      <c r="C116" s="394">
        <f t="shared" si="50"/>
        <v>0.5</v>
      </c>
      <c r="D116" s="166">
        <v>45000</v>
      </c>
      <c r="E116" s="166"/>
      <c r="F116" s="167">
        <f t="shared" si="49"/>
        <v>-45000</v>
      </c>
      <c r="G116" s="157"/>
      <c r="H116" s="157"/>
      <c r="I116" s="157"/>
      <c r="J116" s="159"/>
      <c r="K116" s="160"/>
      <c r="L116" s="296"/>
      <c r="M116" s="159"/>
      <c r="N116" s="161"/>
      <c r="O116" s="162"/>
      <c r="P116" s="159"/>
      <c r="Q116" s="161"/>
      <c r="R116" s="163"/>
      <c r="S116" s="159"/>
      <c r="T116" s="161"/>
      <c r="U116" s="163"/>
      <c r="V116" s="159"/>
      <c r="W116" s="161"/>
      <c r="X116" s="163"/>
    </row>
    <row r="117" spans="1:24" s="164" customFormat="1" outlineLevel="2">
      <c r="A117" s="134" t="str">
        <f t="shared" si="50"/>
        <v xml:space="preserve">psychiatr 2 </v>
      </c>
      <c r="B117" s="134">
        <f t="shared" si="50"/>
        <v>0</v>
      </c>
      <c r="C117" s="391">
        <f t="shared" si="50"/>
        <v>0</v>
      </c>
      <c r="D117" s="155">
        <v>0</v>
      </c>
      <c r="E117" s="155"/>
      <c r="F117" s="156">
        <f t="shared" si="49"/>
        <v>0</v>
      </c>
      <c r="G117" s="157"/>
      <c r="H117" s="157"/>
      <c r="I117" s="158"/>
      <c r="J117" s="159"/>
      <c r="K117" s="160"/>
      <c r="L117" s="296"/>
      <c r="M117" s="159"/>
      <c r="N117" s="161"/>
      <c r="O117" s="162"/>
      <c r="P117" s="159"/>
      <c r="Q117" s="161"/>
      <c r="R117" s="163"/>
      <c r="S117" s="159"/>
      <c r="T117" s="161"/>
      <c r="U117" s="163"/>
      <c r="V117" s="159"/>
      <c r="W117" s="161"/>
      <c r="X117" s="163"/>
    </row>
    <row r="118" spans="1:24" s="164" customFormat="1" outlineLevel="2">
      <c r="A118" s="134" t="str">
        <f t="shared" si="50"/>
        <v>psychiatr 3</v>
      </c>
      <c r="B118" s="134">
        <f t="shared" si="50"/>
        <v>0</v>
      </c>
      <c r="C118" s="391">
        <f t="shared" si="50"/>
        <v>0</v>
      </c>
      <c r="D118" s="155">
        <v>0</v>
      </c>
      <c r="E118" s="155"/>
      <c r="F118" s="156">
        <f t="shared" si="49"/>
        <v>0</v>
      </c>
      <c r="G118" s="157"/>
      <c r="H118" s="157"/>
      <c r="I118" s="158"/>
      <c r="J118" s="159"/>
      <c r="K118" s="160"/>
      <c r="L118" s="296"/>
      <c r="M118" s="159"/>
      <c r="N118" s="161"/>
      <c r="O118" s="162"/>
      <c r="P118" s="159"/>
      <c r="Q118" s="161"/>
      <c r="R118" s="163"/>
      <c r="S118" s="159"/>
      <c r="T118" s="161"/>
      <c r="U118" s="163"/>
      <c r="V118" s="159"/>
      <c r="W118" s="161"/>
      <c r="X118" s="163"/>
    </row>
    <row r="119" spans="1:24" s="164" customFormat="1" outlineLevel="2">
      <c r="A119" s="165" t="str">
        <f t="shared" si="50"/>
        <v>psycholog 1</v>
      </c>
      <c r="B119" s="165" t="str">
        <f t="shared" si="50"/>
        <v>Lichtenbergová</v>
      </c>
      <c r="C119" s="394">
        <f t="shared" si="50"/>
        <v>0.5</v>
      </c>
      <c r="D119" s="166">
        <v>30000</v>
      </c>
      <c r="E119" s="166"/>
      <c r="F119" s="167">
        <f t="shared" si="49"/>
        <v>-30000</v>
      </c>
      <c r="G119" s="157"/>
      <c r="H119" s="157"/>
      <c r="I119" s="157"/>
      <c r="J119" s="159"/>
      <c r="K119" s="160"/>
      <c r="L119" s="296"/>
      <c r="M119" s="159"/>
      <c r="N119" s="161"/>
      <c r="O119" s="162"/>
      <c r="P119" s="159"/>
      <c r="Q119" s="161"/>
      <c r="R119" s="163"/>
      <c r="S119" s="159"/>
      <c r="T119" s="161"/>
      <c r="U119" s="163"/>
      <c r="V119" s="159"/>
      <c r="W119" s="161"/>
      <c r="X119" s="163"/>
    </row>
    <row r="120" spans="1:24" s="164" customFormat="1" outlineLevel="2">
      <c r="A120" s="134" t="str">
        <f t="shared" si="50"/>
        <v xml:space="preserve">psycholog 2 </v>
      </c>
      <c r="B120" s="134">
        <f t="shared" si="50"/>
        <v>0</v>
      </c>
      <c r="C120" s="391">
        <f t="shared" si="50"/>
        <v>0</v>
      </c>
      <c r="D120" s="155">
        <v>0</v>
      </c>
      <c r="E120" s="155"/>
      <c r="F120" s="156">
        <f t="shared" si="49"/>
        <v>0</v>
      </c>
      <c r="G120" s="157"/>
      <c r="H120" s="157"/>
      <c r="I120" s="158"/>
      <c r="J120" s="159"/>
      <c r="K120" s="160"/>
      <c r="L120" s="296"/>
      <c r="M120" s="159"/>
      <c r="N120" s="161"/>
      <c r="O120" s="162"/>
      <c r="P120" s="159"/>
      <c r="Q120" s="161"/>
      <c r="R120" s="163"/>
      <c r="S120" s="159"/>
      <c r="T120" s="161"/>
      <c r="U120" s="163"/>
      <c r="V120" s="159"/>
      <c r="W120" s="161"/>
      <c r="X120" s="163"/>
    </row>
    <row r="121" spans="1:24" s="164" customFormat="1" outlineLevel="2">
      <c r="A121" s="134" t="str">
        <f t="shared" si="50"/>
        <v xml:space="preserve">psycholog 3 </v>
      </c>
      <c r="B121" s="134">
        <f t="shared" si="50"/>
        <v>0</v>
      </c>
      <c r="C121" s="391">
        <f t="shared" si="50"/>
        <v>0</v>
      </c>
      <c r="D121" s="155">
        <v>0</v>
      </c>
      <c r="E121" s="155"/>
      <c r="F121" s="156">
        <f t="shared" si="49"/>
        <v>0</v>
      </c>
      <c r="G121" s="157"/>
      <c r="H121" s="157"/>
      <c r="I121" s="158"/>
      <c r="J121" s="159"/>
      <c r="K121" s="160"/>
      <c r="L121" s="296"/>
      <c r="M121" s="159"/>
      <c r="N121" s="161"/>
      <c r="O121" s="162"/>
      <c r="P121" s="159"/>
      <c r="Q121" s="161"/>
      <c r="R121" s="163"/>
      <c r="S121" s="159"/>
      <c r="T121" s="161"/>
      <c r="U121" s="163"/>
      <c r="V121" s="159"/>
      <c r="W121" s="161"/>
      <c r="X121" s="163"/>
    </row>
    <row r="122" spans="1:24" outlineLevel="1">
      <c r="A122" s="135" t="s">
        <v>62</v>
      </c>
      <c r="B122" s="135" t="str">
        <f>+B2</f>
        <v>jméno pracovníka</v>
      </c>
      <c r="C122" s="135" t="str">
        <f>+C2</f>
        <v>úvazek</v>
      </c>
      <c r="D122" s="117">
        <f>SUM(D123:D124)*1.34</f>
        <v>0</v>
      </c>
      <c r="E122" s="117">
        <f>SUM(E123:E124)*1.34</f>
        <v>0</v>
      </c>
      <c r="F122" s="118">
        <f t="shared" si="49"/>
        <v>0</v>
      </c>
      <c r="H122" s="16"/>
      <c r="I122" s="40"/>
    </row>
    <row r="123" spans="1:24" outlineLevel="2">
      <c r="A123" s="134" t="str">
        <f>+A52</f>
        <v>psych. sestra 1</v>
      </c>
      <c r="B123" s="134"/>
      <c r="C123" s="367"/>
      <c r="D123" s="155">
        <v>0</v>
      </c>
      <c r="E123" s="155">
        <v>0</v>
      </c>
      <c r="F123" s="156">
        <f t="shared" si="49"/>
        <v>0</v>
      </c>
      <c r="H123" s="16"/>
      <c r="I123" s="40"/>
    </row>
    <row r="124" spans="1:24" s="78" customFormat="1" outlineLevel="2">
      <c r="A124" s="134" t="str">
        <f>+A53</f>
        <v>psych. sestra 2</v>
      </c>
      <c r="B124" s="134"/>
      <c r="C124" s="367"/>
      <c r="D124" s="95">
        <v>0</v>
      </c>
      <c r="E124" s="95">
        <v>0</v>
      </c>
      <c r="F124" s="110">
        <f t="shared" si="49"/>
        <v>0</v>
      </c>
      <c r="G124" s="79"/>
      <c r="H124" s="79"/>
      <c r="I124" s="80"/>
      <c r="J124" s="81"/>
      <c r="K124" s="82"/>
      <c r="L124" s="83"/>
      <c r="M124" s="81"/>
      <c r="N124" s="84"/>
      <c r="O124" s="85"/>
      <c r="P124" s="81"/>
      <c r="Q124" s="84"/>
      <c r="R124" s="86"/>
      <c r="S124" s="81"/>
      <c r="T124" s="84"/>
      <c r="U124" s="86"/>
      <c r="V124" s="81"/>
      <c r="W124" s="84"/>
      <c r="X124" s="86"/>
    </row>
    <row r="125" spans="1:24" outlineLevel="1">
      <c r="A125" s="136" t="s">
        <v>63</v>
      </c>
      <c r="B125" s="136" t="str">
        <f>+B2</f>
        <v>jméno pracovníka</v>
      </c>
      <c r="C125" s="136" t="str">
        <f>+C2</f>
        <v>úvazek</v>
      </c>
      <c r="D125" s="120">
        <f>SUM(D126:D127)*1.34</f>
        <v>0</v>
      </c>
      <c r="E125" s="120">
        <f>SUM(E126:E127)*1.34</f>
        <v>0</v>
      </c>
      <c r="F125" s="121">
        <f t="shared" si="49"/>
        <v>0</v>
      </c>
      <c r="H125" s="16"/>
      <c r="I125" s="40"/>
    </row>
    <row r="126" spans="1:24" s="164" customFormat="1" outlineLevel="2">
      <c r="A126" s="134" t="str">
        <f>+A55</f>
        <v>psych. sestra 1</v>
      </c>
      <c r="B126" s="134">
        <f t="shared" ref="B126:C127" si="51">+B55</f>
        <v>0</v>
      </c>
      <c r="C126" s="391">
        <f t="shared" si="51"/>
        <v>0</v>
      </c>
      <c r="D126" s="155">
        <v>0</v>
      </c>
      <c r="E126" s="155"/>
      <c r="F126" s="156">
        <f t="shared" si="49"/>
        <v>0</v>
      </c>
      <c r="G126" s="157"/>
      <c r="H126" s="157"/>
      <c r="I126" s="158"/>
      <c r="J126" s="159"/>
      <c r="K126" s="160"/>
      <c r="L126" s="296"/>
      <c r="M126" s="159"/>
      <c r="N126" s="161"/>
      <c r="O126" s="162"/>
      <c r="P126" s="159"/>
      <c r="Q126" s="161"/>
      <c r="R126" s="163"/>
      <c r="S126" s="159"/>
      <c r="T126" s="161"/>
      <c r="U126" s="163"/>
      <c r="V126" s="159"/>
      <c r="W126" s="161"/>
      <c r="X126" s="163"/>
    </row>
    <row r="127" spans="1:24" s="78" customFormat="1" outlineLevel="2">
      <c r="A127" s="134" t="str">
        <f>+A56</f>
        <v>psych. sestra 2</v>
      </c>
      <c r="B127" s="134">
        <f t="shared" si="51"/>
        <v>0</v>
      </c>
      <c r="C127" s="391">
        <f t="shared" si="51"/>
        <v>0</v>
      </c>
      <c r="D127" s="95"/>
      <c r="E127" s="95"/>
      <c r="F127" s="110">
        <f t="shared" si="49"/>
        <v>0</v>
      </c>
      <c r="G127" s="79"/>
      <c r="H127" s="79"/>
      <c r="I127" s="80"/>
      <c r="J127" s="81"/>
      <c r="K127" s="82"/>
      <c r="L127" s="83"/>
      <c r="M127" s="81"/>
      <c r="N127" s="84"/>
      <c r="O127" s="85"/>
      <c r="P127" s="81"/>
      <c r="Q127" s="84"/>
      <c r="R127" s="86"/>
      <c r="S127" s="81"/>
      <c r="T127" s="84"/>
      <c r="U127" s="86"/>
      <c r="V127" s="81"/>
      <c r="W127" s="84"/>
      <c r="X127" s="86"/>
    </row>
    <row r="128" spans="1:24" outlineLevel="1">
      <c r="A128" s="202" t="s">
        <v>64</v>
      </c>
      <c r="B128" s="202" t="str">
        <f>+B2</f>
        <v>jméno pracovníka</v>
      </c>
      <c r="C128" s="202" t="str">
        <f>+C2</f>
        <v>úvazek</v>
      </c>
      <c r="D128" s="203">
        <f>SUM(D129:D130)*1.34</f>
        <v>0</v>
      </c>
      <c r="E128" s="203">
        <f>SUM(E129:E130)*1.34</f>
        <v>0</v>
      </c>
      <c r="F128" s="204">
        <f t="shared" si="49"/>
        <v>0</v>
      </c>
      <c r="H128" s="16"/>
      <c r="I128" s="40"/>
    </row>
    <row r="129" spans="1:24" s="78" customFormat="1" outlineLevel="2">
      <c r="A129" s="134" t="str">
        <f t="shared" ref="A129:C130" si="52">+A58</f>
        <v>psych. sestra 1</v>
      </c>
      <c r="B129" s="134">
        <f t="shared" si="52"/>
        <v>0</v>
      </c>
      <c r="C129" s="391">
        <f t="shared" si="52"/>
        <v>0</v>
      </c>
      <c r="D129" s="155">
        <v>0</v>
      </c>
      <c r="E129" s="95"/>
      <c r="F129" s="110">
        <f t="shared" si="49"/>
        <v>0</v>
      </c>
      <c r="G129" s="79"/>
      <c r="H129" s="79"/>
      <c r="I129" s="80"/>
      <c r="J129" s="81"/>
      <c r="K129" s="82"/>
      <c r="L129" s="83"/>
      <c r="M129" s="81"/>
      <c r="N129" s="84"/>
      <c r="O129" s="85"/>
      <c r="P129" s="81"/>
      <c r="Q129" s="84"/>
      <c r="R129" s="86"/>
      <c r="S129" s="81"/>
      <c r="T129" s="84"/>
      <c r="U129" s="86"/>
      <c r="V129" s="81"/>
      <c r="W129" s="84"/>
      <c r="X129" s="86"/>
    </row>
    <row r="130" spans="1:24" s="78" customFormat="1" outlineLevel="2">
      <c r="A130" s="134" t="str">
        <f t="shared" si="52"/>
        <v>psych. sestra 2</v>
      </c>
      <c r="B130" s="134">
        <f t="shared" si="52"/>
        <v>0</v>
      </c>
      <c r="C130" s="391">
        <f t="shared" si="52"/>
        <v>0</v>
      </c>
      <c r="D130" s="155">
        <v>0</v>
      </c>
      <c r="E130" s="95"/>
      <c r="F130" s="110">
        <f t="shared" si="49"/>
        <v>0</v>
      </c>
      <c r="G130" s="79"/>
      <c r="H130" s="79"/>
      <c r="I130" s="80"/>
      <c r="J130" s="81"/>
      <c r="K130" s="82"/>
      <c r="L130" s="83"/>
      <c r="M130" s="81"/>
      <c r="N130" s="84"/>
      <c r="O130" s="85"/>
      <c r="P130" s="81"/>
      <c r="Q130" s="84"/>
      <c r="R130" s="86"/>
      <c r="S130" s="81"/>
      <c r="T130" s="84"/>
      <c r="U130" s="86"/>
      <c r="V130" s="81"/>
      <c r="W130" s="84"/>
      <c r="X130" s="86"/>
    </row>
    <row r="131" spans="1:24" outlineLevel="1">
      <c r="A131" s="202" t="s">
        <v>65</v>
      </c>
      <c r="B131" s="202" t="str">
        <f>+B2</f>
        <v>jméno pracovníka</v>
      </c>
      <c r="C131" s="202" t="str">
        <f>+C2</f>
        <v>úvazek</v>
      </c>
      <c r="D131" s="203">
        <f>SUM(D132:D139)*1.34</f>
        <v>308870</v>
      </c>
      <c r="E131" s="203">
        <f>SUM(E132:E139)*1.34</f>
        <v>0</v>
      </c>
      <c r="F131" s="204">
        <f t="shared" si="49"/>
        <v>-308870</v>
      </c>
      <c r="H131" s="16"/>
      <c r="I131" s="40"/>
    </row>
    <row r="132" spans="1:24" s="175" customFormat="1" outlineLevel="2">
      <c r="A132" s="165" t="str">
        <f>+A61</f>
        <v>všeob. sestra 1</v>
      </c>
      <c r="B132" s="165" t="str">
        <f t="shared" ref="B132:C132" si="53">+B61</f>
        <v>Pekárová</v>
      </c>
      <c r="C132" s="394">
        <f t="shared" si="53"/>
        <v>1</v>
      </c>
      <c r="D132" s="166">
        <v>52000</v>
      </c>
      <c r="E132" s="166"/>
      <c r="F132" s="167">
        <f t="shared" si="49"/>
        <v>-52000</v>
      </c>
      <c r="G132" s="168"/>
      <c r="H132" s="168"/>
      <c r="I132" s="169"/>
      <c r="J132" s="170"/>
      <c r="K132" s="171"/>
      <c r="L132" s="228"/>
      <c r="M132" s="170"/>
      <c r="N132" s="172"/>
      <c r="O132" s="173"/>
      <c r="P132" s="170"/>
      <c r="Q132" s="172"/>
      <c r="R132" s="174"/>
      <c r="S132" s="170"/>
      <c r="T132" s="172"/>
      <c r="U132" s="174"/>
      <c r="V132" s="170"/>
      <c r="W132" s="172"/>
      <c r="X132" s="174"/>
    </row>
    <row r="133" spans="1:24" s="175" customFormat="1" outlineLevel="2">
      <c r="A133" s="165" t="str">
        <f t="shared" ref="A133:C139" si="54">+A62</f>
        <v>psychiatr 1</v>
      </c>
      <c r="B133" s="165" t="str">
        <f t="shared" si="54"/>
        <v>Dorofeev</v>
      </c>
      <c r="C133" s="394">
        <f t="shared" si="54"/>
        <v>0.5</v>
      </c>
      <c r="D133" s="166">
        <v>37500</v>
      </c>
      <c r="E133" s="166"/>
      <c r="F133" s="167">
        <f t="shared" si="49"/>
        <v>-37500</v>
      </c>
      <c r="G133" s="168"/>
      <c r="H133" s="168"/>
      <c r="I133" s="169"/>
      <c r="J133" s="170"/>
      <c r="K133" s="171"/>
      <c r="L133" s="228"/>
      <c r="M133" s="170"/>
      <c r="N133" s="172"/>
      <c r="O133" s="173"/>
      <c r="P133" s="170"/>
      <c r="Q133" s="172"/>
      <c r="R133" s="174"/>
      <c r="S133" s="170"/>
      <c r="T133" s="172"/>
      <c r="U133" s="174"/>
      <c r="V133" s="170"/>
      <c r="W133" s="172"/>
      <c r="X133" s="174"/>
    </row>
    <row r="134" spans="1:24" s="175" customFormat="1" outlineLevel="2">
      <c r="A134" s="165" t="str">
        <f t="shared" si="54"/>
        <v>psych.sestra 1</v>
      </c>
      <c r="B134" s="165" t="str">
        <f t="shared" si="54"/>
        <v>Kašpárková</v>
      </c>
      <c r="C134" s="394">
        <f t="shared" si="54"/>
        <v>1</v>
      </c>
      <c r="D134" s="166">
        <v>65000</v>
      </c>
      <c r="E134" s="166"/>
      <c r="F134" s="167">
        <f t="shared" si="49"/>
        <v>-65000</v>
      </c>
      <c r="G134" s="168"/>
      <c r="H134" s="168"/>
      <c r="I134" s="169"/>
      <c r="J134" s="170"/>
      <c r="K134" s="171"/>
      <c r="L134" s="228"/>
      <c r="M134" s="170"/>
      <c r="N134" s="172"/>
      <c r="O134" s="173"/>
      <c r="P134" s="170"/>
      <c r="Q134" s="172"/>
      <c r="R134" s="174"/>
      <c r="S134" s="170"/>
      <c r="T134" s="172"/>
      <c r="U134" s="174"/>
      <c r="V134" s="170"/>
      <c r="W134" s="172"/>
      <c r="X134" s="174"/>
    </row>
    <row r="135" spans="1:24" s="175" customFormat="1" outlineLevel="2">
      <c r="A135" s="165" t="str">
        <f t="shared" si="54"/>
        <v>psycholog 1</v>
      </c>
      <c r="B135" s="165" t="str">
        <f t="shared" si="54"/>
        <v>Jakovcová</v>
      </c>
      <c r="C135" s="394">
        <f t="shared" si="54"/>
        <v>0.2</v>
      </c>
      <c r="D135" s="166">
        <v>12000</v>
      </c>
      <c r="E135" s="166"/>
      <c r="F135" s="167">
        <f t="shared" si="49"/>
        <v>-12000</v>
      </c>
      <c r="G135" s="168"/>
      <c r="H135" s="168"/>
      <c r="I135" s="169"/>
      <c r="J135" s="170"/>
      <c r="K135" s="171"/>
      <c r="L135" s="228"/>
      <c r="M135" s="170"/>
      <c r="N135" s="172"/>
      <c r="O135" s="173"/>
      <c r="P135" s="170"/>
      <c r="Q135" s="172"/>
      <c r="R135" s="174"/>
      <c r="S135" s="170"/>
      <c r="T135" s="172"/>
      <c r="U135" s="174"/>
      <c r="V135" s="170"/>
      <c r="W135" s="172"/>
      <c r="X135" s="174"/>
    </row>
    <row r="136" spans="1:24" s="175" customFormat="1" outlineLevel="2">
      <c r="A136" s="165" t="str">
        <f t="shared" si="54"/>
        <v xml:space="preserve">psycholog 2 </v>
      </c>
      <c r="B136" s="165" t="str">
        <f t="shared" si="54"/>
        <v>Balko</v>
      </c>
      <c r="C136" s="394">
        <f t="shared" si="54"/>
        <v>0.3</v>
      </c>
      <c r="D136" s="166">
        <f>80000*0.3</f>
        <v>24000</v>
      </c>
      <c r="E136" s="166"/>
      <c r="F136" s="167">
        <f t="shared" si="49"/>
        <v>-24000</v>
      </c>
      <c r="G136" s="168"/>
      <c r="H136" s="168"/>
      <c r="I136" s="168"/>
      <c r="J136" s="170"/>
      <c r="K136" s="171"/>
      <c r="L136" s="228"/>
      <c r="M136" s="170"/>
      <c r="N136" s="172"/>
      <c r="O136" s="173"/>
      <c r="P136" s="170"/>
      <c r="Q136" s="172"/>
      <c r="R136" s="174"/>
      <c r="S136" s="170"/>
      <c r="T136" s="172"/>
      <c r="U136" s="174"/>
      <c r="V136" s="170"/>
      <c r="W136" s="172"/>
      <c r="X136" s="174"/>
    </row>
    <row r="137" spans="1:24" s="175" customFormat="1" outlineLevel="2">
      <c r="A137" s="165" t="str">
        <f t="shared" si="54"/>
        <v xml:space="preserve">psychiatr 2 </v>
      </c>
      <c r="B137" s="324" t="str">
        <f t="shared" si="54"/>
        <v>Štětinová</v>
      </c>
      <c r="C137" s="394">
        <f t="shared" si="54"/>
        <v>0.5</v>
      </c>
      <c r="D137" s="298">
        <v>40000</v>
      </c>
      <c r="E137" s="166"/>
      <c r="F137" s="167">
        <f t="shared" si="49"/>
        <v>-40000</v>
      </c>
      <c r="G137" s="168"/>
      <c r="H137" s="168"/>
      <c r="I137" s="169"/>
      <c r="J137" s="170"/>
      <c r="K137" s="171"/>
      <c r="L137" s="228"/>
      <c r="M137" s="170"/>
      <c r="N137" s="172"/>
      <c r="O137" s="173"/>
      <c r="P137" s="170"/>
      <c r="Q137" s="172"/>
      <c r="R137" s="174"/>
      <c r="S137" s="170"/>
      <c r="T137" s="172"/>
      <c r="U137" s="174"/>
      <c r="V137" s="170"/>
      <c r="W137" s="172"/>
      <c r="X137" s="174"/>
    </row>
    <row r="138" spans="1:24" s="164" customFormat="1" outlineLevel="2">
      <c r="A138" s="134" t="str">
        <f t="shared" si="54"/>
        <v>další pozice</v>
      </c>
      <c r="B138" s="134">
        <f t="shared" si="54"/>
        <v>0</v>
      </c>
      <c r="C138" s="391">
        <f t="shared" si="54"/>
        <v>0</v>
      </c>
      <c r="D138" s="155"/>
      <c r="E138" s="155"/>
      <c r="F138" s="156">
        <f t="shared" si="49"/>
        <v>0</v>
      </c>
      <c r="G138" s="157"/>
      <c r="H138" s="157"/>
      <c r="I138" s="158"/>
      <c r="J138" s="159"/>
      <c r="K138" s="160"/>
      <c r="L138" s="296"/>
      <c r="M138" s="159"/>
      <c r="N138" s="161"/>
      <c r="O138" s="162"/>
      <c r="P138" s="159"/>
      <c r="Q138" s="161"/>
      <c r="R138" s="163"/>
      <c r="S138" s="159"/>
      <c r="T138" s="161"/>
      <c r="U138" s="163"/>
      <c r="V138" s="159"/>
      <c r="W138" s="161"/>
      <c r="X138" s="163"/>
    </row>
    <row r="139" spans="1:24" s="164" customFormat="1" outlineLevel="2">
      <c r="A139" s="134" t="str">
        <f t="shared" si="54"/>
        <v>další pozice</v>
      </c>
      <c r="B139" s="134">
        <f t="shared" si="54"/>
        <v>0</v>
      </c>
      <c r="C139" s="391">
        <f t="shared" si="54"/>
        <v>0</v>
      </c>
      <c r="D139" s="155"/>
      <c r="E139" s="155"/>
      <c r="F139" s="156">
        <f t="shared" si="49"/>
        <v>0</v>
      </c>
      <c r="G139" s="157"/>
      <c r="H139" s="157"/>
      <c r="I139" s="158"/>
      <c r="J139" s="159"/>
      <c r="K139" s="160"/>
      <c r="L139" s="296"/>
      <c r="M139" s="159"/>
      <c r="N139" s="161"/>
      <c r="O139" s="162"/>
      <c r="P139" s="159"/>
      <c r="Q139" s="161"/>
      <c r="R139" s="163"/>
      <c r="S139" s="159"/>
      <c r="T139" s="161"/>
      <c r="U139" s="163"/>
      <c r="V139" s="159"/>
      <c r="W139" s="161"/>
      <c r="X139" s="163"/>
    </row>
    <row r="140" spans="1:24">
      <c r="A140" s="89" t="s">
        <v>66</v>
      </c>
      <c r="B140" s="89"/>
      <c r="C140" s="378"/>
      <c r="D140" s="122">
        <f>SUM(D141:D148)</f>
        <v>625800</v>
      </c>
      <c r="E140" s="122">
        <f>SUM(E141:E148)</f>
        <v>583264.875</v>
      </c>
      <c r="F140" s="123">
        <f>+E140-D140</f>
        <v>-42535.125</v>
      </c>
    </row>
    <row r="141" spans="1:24" outlineLevel="1">
      <c r="A141" s="44" t="s">
        <v>67</v>
      </c>
      <c r="B141" s="44"/>
      <c r="C141" s="366"/>
      <c r="D141" s="141">
        <f>+D3*0.15</f>
        <v>132000</v>
      </c>
      <c r="E141" s="141">
        <f>+E3*0.15</f>
        <v>129117.94500000001</v>
      </c>
      <c r="F141" s="142">
        <f t="shared" ref="F141:F166" si="55">+E141-D141</f>
        <v>-2882.054999999993</v>
      </c>
    </row>
    <row r="142" spans="1:24" outlineLevel="1">
      <c r="A142" s="58" t="s">
        <v>68</v>
      </c>
      <c r="B142" s="58"/>
      <c r="C142" s="368"/>
      <c r="D142" s="141">
        <f>+D15*0.15</f>
        <v>162750</v>
      </c>
      <c r="E142" s="141">
        <f>+E15*0.15</f>
        <v>162404.9595</v>
      </c>
      <c r="F142" s="142">
        <f t="shared" si="55"/>
        <v>-345.04050000000279</v>
      </c>
    </row>
    <row r="143" spans="1:24" outlineLevel="1">
      <c r="A143" s="57" t="s">
        <v>69</v>
      </c>
      <c r="B143" s="57"/>
      <c r="C143" s="369"/>
      <c r="D143" s="141">
        <f>+D27*0.15</f>
        <v>162750</v>
      </c>
      <c r="E143" s="141">
        <f>+E27*0.15</f>
        <v>183078.47549999997</v>
      </c>
      <c r="F143" s="142">
        <f t="shared" si="55"/>
        <v>20328.475499999971</v>
      </c>
    </row>
    <row r="144" spans="1:24" outlineLevel="1">
      <c r="A144" s="50" t="s">
        <v>70</v>
      </c>
      <c r="B144" s="50"/>
      <c r="C144" s="370"/>
      <c r="D144" s="141">
        <f>+D39*0.15</f>
        <v>89250</v>
      </c>
      <c r="E144" s="141">
        <f>+E39*0.15</f>
        <v>54695.519999999997</v>
      </c>
      <c r="F144" s="142">
        <f t="shared" si="55"/>
        <v>-34554.480000000003</v>
      </c>
    </row>
    <row r="145" spans="1:6" outlineLevel="1">
      <c r="A145" s="67" t="s">
        <v>71</v>
      </c>
      <c r="B145" s="67"/>
      <c r="C145" s="371"/>
      <c r="D145" s="141">
        <f>+D51*0.15</f>
        <v>0</v>
      </c>
      <c r="E145" s="141">
        <f>+E51*0.15</f>
        <v>0</v>
      </c>
      <c r="F145" s="142">
        <f t="shared" si="55"/>
        <v>0</v>
      </c>
    </row>
    <row r="146" spans="1:6" outlineLevel="1">
      <c r="A146" s="47" t="s">
        <v>72</v>
      </c>
      <c r="B146" s="47"/>
      <c r="C146" s="372"/>
      <c r="D146" s="141">
        <f>+D54*0.15</f>
        <v>0</v>
      </c>
      <c r="E146" s="141">
        <f>+E54*0.15</f>
        <v>0</v>
      </c>
      <c r="F146" s="142">
        <f t="shared" si="55"/>
        <v>0</v>
      </c>
    </row>
    <row r="147" spans="1:6" outlineLevel="1">
      <c r="A147" s="198" t="s">
        <v>73</v>
      </c>
      <c r="B147" s="198"/>
      <c r="C147" s="374"/>
      <c r="D147" s="141">
        <f>+D57*0.15</f>
        <v>0</v>
      </c>
      <c r="E147" s="141">
        <f>+E57*0.15</f>
        <v>0</v>
      </c>
      <c r="F147" s="142">
        <f t="shared" si="55"/>
        <v>0</v>
      </c>
    </row>
    <row r="148" spans="1:6" outlineLevel="1">
      <c r="A148" s="198" t="s">
        <v>74</v>
      </c>
      <c r="B148" s="198"/>
      <c r="C148" s="374"/>
      <c r="D148" s="141">
        <f>+D60*0.15</f>
        <v>79050</v>
      </c>
      <c r="E148" s="141">
        <f>+E60*0.15</f>
        <v>53967.974999999999</v>
      </c>
      <c r="F148" s="142">
        <f t="shared" si="55"/>
        <v>-25082.025000000001</v>
      </c>
    </row>
    <row r="149" spans="1:6">
      <c r="A149" s="88" t="s">
        <v>75</v>
      </c>
      <c r="B149" s="88"/>
      <c r="C149" s="379"/>
      <c r="D149" s="124">
        <f>SUM(D150:D157)</f>
        <v>70000</v>
      </c>
      <c r="E149" s="124">
        <f>SUM(E150:E157)</f>
        <v>70000</v>
      </c>
      <c r="F149" s="125">
        <f>+E149-D149</f>
        <v>0</v>
      </c>
    </row>
    <row r="150" spans="1:6" outlineLevel="1">
      <c r="A150" s="44" t="s">
        <v>76</v>
      </c>
      <c r="B150" s="44"/>
      <c r="C150" s="366"/>
      <c r="D150" s="111">
        <v>30000</v>
      </c>
      <c r="E150" s="111">
        <f>+D150</f>
        <v>30000</v>
      </c>
      <c r="F150" s="112">
        <f t="shared" si="55"/>
        <v>0</v>
      </c>
    </row>
    <row r="151" spans="1:6" outlineLevel="1">
      <c r="A151" s="58" t="s">
        <v>77</v>
      </c>
      <c r="B151" s="58"/>
      <c r="C151" s="368"/>
      <c r="D151" s="111">
        <v>20000</v>
      </c>
      <c r="E151" s="111">
        <f t="shared" ref="E151:E157" si="56">+D151</f>
        <v>20000</v>
      </c>
      <c r="F151" s="112">
        <f t="shared" si="55"/>
        <v>0</v>
      </c>
    </row>
    <row r="152" spans="1:6" outlineLevel="1">
      <c r="A152" s="57" t="s">
        <v>78</v>
      </c>
      <c r="B152" s="57"/>
      <c r="C152" s="369"/>
      <c r="D152" s="111">
        <v>20000</v>
      </c>
      <c r="E152" s="111">
        <f t="shared" si="56"/>
        <v>20000</v>
      </c>
      <c r="F152" s="111">
        <f t="shared" si="55"/>
        <v>0</v>
      </c>
    </row>
    <row r="153" spans="1:6" outlineLevel="1">
      <c r="A153" s="50" t="s">
        <v>79</v>
      </c>
      <c r="B153" s="50"/>
      <c r="C153" s="370"/>
      <c r="D153" s="111">
        <v>0</v>
      </c>
      <c r="E153" s="111">
        <f t="shared" si="56"/>
        <v>0</v>
      </c>
      <c r="F153" s="111">
        <f t="shared" si="55"/>
        <v>0</v>
      </c>
    </row>
    <row r="154" spans="1:6" outlineLevel="1">
      <c r="A154" s="67" t="s">
        <v>80</v>
      </c>
      <c r="B154" s="67"/>
      <c r="C154" s="371"/>
      <c r="D154" s="111">
        <v>0</v>
      </c>
      <c r="E154" s="111">
        <f t="shared" si="56"/>
        <v>0</v>
      </c>
      <c r="F154" s="111">
        <f t="shared" si="55"/>
        <v>0</v>
      </c>
    </row>
    <row r="155" spans="1:6" outlineLevel="1">
      <c r="A155" s="47" t="s">
        <v>81</v>
      </c>
      <c r="B155" s="47"/>
      <c r="C155" s="372"/>
      <c r="D155" s="111">
        <v>0</v>
      </c>
      <c r="E155" s="111">
        <f t="shared" si="56"/>
        <v>0</v>
      </c>
      <c r="F155" s="111">
        <f t="shared" si="55"/>
        <v>0</v>
      </c>
    </row>
    <row r="156" spans="1:6" outlineLevel="1">
      <c r="A156" s="198" t="s">
        <v>82</v>
      </c>
      <c r="B156" s="198"/>
      <c r="C156" s="374"/>
      <c r="D156" s="111">
        <v>0</v>
      </c>
      <c r="E156" s="111">
        <f t="shared" si="56"/>
        <v>0</v>
      </c>
      <c r="F156" s="111">
        <f t="shared" si="55"/>
        <v>0</v>
      </c>
    </row>
    <row r="157" spans="1:6" outlineLevel="1">
      <c r="A157" s="198" t="s">
        <v>83</v>
      </c>
      <c r="B157" s="198"/>
      <c r="C157" s="374"/>
      <c r="D157" s="111">
        <v>0</v>
      </c>
      <c r="E157" s="111">
        <f t="shared" si="56"/>
        <v>0</v>
      </c>
      <c r="F157" s="111">
        <f t="shared" si="55"/>
        <v>0</v>
      </c>
    </row>
    <row r="158" spans="1:6">
      <c r="A158" s="150" t="s">
        <v>84</v>
      </c>
      <c r="B158" s="150"/>
      <c r="C158" s="380"/>
      <c r="D158" s="151">
        <f>SUM(D159:D166)</f>
        <v>417200</v>
      </c>
      <c r="E158" s="151">
        <f t="shared" ref="E158" si="57">SUM(E159:E166)</f>
        <v>388843.25</v>
      </c>
      <c r="F158" s="151">
        <f>+E158-D158</f>
        <v>-28356.75</v>
      </c>
    </row>
    <row r="159" spans="1:6" outlineLevel="1">
      <c r="A159" s="44" t="s">
        <v>85</v>
      </c>
      <c r="B159" s="44"/>
      <c r="C159" s="366"/>
      <c r="D159" s="152">
        <f>+D3/10</f>
        <v>88000</v>
      </c>
      <c r="E159" s="152">
        <f>+E3/10</f>
        <v>86078.63</v>
      </c>
      <c r="F159" s="153">
        <f t="shared" si="55"/>
        <v>-1921.3699999999953</v>
      </c>
    </row>
    <row r="160" spans="1:6" outlineLevel="1">
      <c r="A160" s="58" t="s">
        <v>86</v>
      </c>
      <c r="B160" s="58"/>
      <c r="C160" s="368"/>
      <c r="D160" s="152">
        <f>+D15/10</f>
        <v>108500</v>
      </c>
      <c r="E160" s="152">
        <f>+E15/10</f>
        <v>108269.973</v>
      </c>
      <c r="F160" s="153">
        <f t="shared" si="55"/>
        <v>-230.02700000000186</v>
      </c>
    </row>
    <row r="161" spans="1:9" outlineLevel="1">
      <c r="A161" s="57" t="s">
        <v>87</v>
      </c>
      <c r="B161" s="57"/>
      <c r="C161" s="369"/>
      <c r="D161" s="152">
        <f>+D27/10</f>
        <v>108500</v>
      </c>
      <c r="E161" s="152">
        <f>+E27/10</f>
        <v>122052.317</v>
      </c>
      <c r="F161" s="152">
        <f t="shared" si="55"/>
        <v>13552.316999999995</v>
      </c>
    </row>
    <row r="162" spans="1:9" outlineLevel="1">
      <c r="A162" s="50" t="s">
        <v>88</v>
      </c>
      <c r="B162" s="50"/>
      <c r="C162" s="370"/>
      <c r="D162" s="152">
        <f>+D39/10</f>
        <v>59500</v>
      </c>
      <c r="E162" s="152">
        <f>+E39/10</f>
        <v>36463.68</v>
      </c>
      <c r="F162" s="152">
        <f t="shared" si="55"/>
        <v>-23036.32</v>
      </c>
    </row>
    <row r="163" spans="1:9" outlineLevel="1">
      <c r="A163" s="67" t="s">
        <v>89</v>
      </c>
      <c r="B163" s="67"/>
      <c r="C163" s="371"/>
      <c r="D163" s="152">
        <f>+D51/10</f>
        <v>0</v>
      </c>
      <c r="E163" s="152">
        <f>+E51/10</f>
        <v>0</v>
      </c>
      <c r="F163" s="152">
        <f t="shared" si="55"/>
        <v>0</v>
      </c>
    </row>
    <row r="164" spans="1:9" outlineLevel="1">
      <c r="A164" s="47" t="s">
        <v>90</v>
      </c>
      <c r="B164" s="47"/>
      <c r="C164" s="372"/>
      <c r="D164" s="152">
        <f>+D54/10</f>
        <v>0</v>
      </c>
      <c r="E164" s="152">
        <f>+E54/10</f>
        <v>0</v>
      </c>
      <c r="F164" s="152">
        <f t="shared" si="55"/>
        <v>0</v>
      </c>
    </row>
    <row r="165" spans="1:9" outlineLevel="1">
      <c r="A165" s="198" t="s">
        <v>91</v>
      </c>
      <c r="B165" s="198"/>
      <c r="C165" s="374"/>
      <c r="D165" s="152">
        <f>+D57/10</f>
        <v>0</v>
      </c>
      <c r="E165" s="152">
        <f>+E57/10</f>
        <v>0</v>
      </c>
      <c r="F165" s="152">
        <f t="shared" si="55"/>
        <v>0</v>
      </c>
    </row>
    <row r="166" spans="1:9" outlineLevel="1">
      <c r="A166" s="198" t="s">
        <v>92</v>
      </c>
      <c r="B166" s="198"/>
      <c r="C166" s="374"/>
      <c r="D166" s="152">
        <f>+D60/10</f>
        <v>52700</v>
      </c>
      <c r="E166" s="152">
        <f>+E60/10</f>
        <v>35978.65</v>
      </c>
      <c r="F166" s="152">
        <f t="shared" si="55"/>
        <v>-16721.349999999999</v>
      </c>
    </row>
    <row r="167" spans="1:9" ht="18">
      <c r="A167" s="139" t="s">
        <v>93</v>
      </c>
      <c r="B167" s="139"/>
      <c r="C167" s="381"/>
      <c r="D167" s="126">
        <f t="shared" ref="D167:F168" si="58">+D149+D140+D73+D158</f>
        <v>3265710</v>
      </c>
      <c r="E167" s="126">
        <f t="shared" si="58"/>
        <v>1042108.125</v>
      </c>
      <c r="F167" s="126">
        <f t="shared" si="58"/>
        <v>-2223601.875</v>
      </c>
      <c r="G167" s="15"/>
      <c r="H167" s="10"/>
      <c r="I167" s="41"/>
    </row>
    <row r="168" spans="1:9" outlineLevel="1">
      <c r="A168" s="44" t="s">
        <v>94</v>
      </c>
      <c r="B168" s="44"/>
      <c r="C168" s="366"/>
      <c r="D168" s="140">
        <f t="shared" si="58"/>
        <v>739100</v>
      </c>
      <c r="E168" s="140">
        <f t="shared" si="58"/>
        <v>245196.57500000001</v>
      </c>
      <c r="F168" s="140">
        <f t="shared" si="58"/>
        <v>-493903.42500000005</v>
      </c>
      <c r="G168" s="15"/>
      <c r="H168" s="10"/>
      <c r="I168" s="41"/>
    </row>
    <row r="169" spans="1:9" outlineLevel="1">
      <c r="A169" s="58" t="s">
        <v>95</v>
      </c>
      <c r="B169" s="58"/>
      <c r="C169" s="368"/>
      <c r="D169" s="140">
        <f>+D151+D142+D86+D160</f>
        <v>773650</v>
      </c>
      <c r="E169" s="140">
        <f>+E151+E142+E86+E160</f>
        <v>290674.9325</v>
      </c>
      <c r="F169" s="140">
        <f>+F151+F142+F86+F160</f>
        <v>-482975.0675</v>
      </c>
      <c r="G169" s="15"/>
      <c r="H169" s="10"/>
      <c r="I169" s="41"/>
    </row>
    <row r="170" spans="1:9" outlineLevel="1">
      <c r="A170" s="57" t="s">
        <v>96</v>
      </c>
      <c r="B170" s="57"/>
      <c r="C170" s="369"/>
      <c r="D170" s="140">
        <f>+D152+D143+D98+D161</f>
        <v>804470</v>
      </c>
      <c r="E170" s="140">
        <f>+E152+E143+E98+E161</f>
        <v>325130.79249999998</v>
      </c>
      <c r="F170" s="140">
        <f>+F152+F143+F98+F161</f>
        <v>-479339.20750000008</v>
      </c>
      <c r="G170" s="15"/>
      <c r="H170" s="10"/>
      <c r="I170" s="41"/>
    </row>
    <row r="171" spans="1:9" outlineLevel="1">
      <c r="A171" s="50" t="s">
        <v>97</v>
      </c>
      <c r="B171" s="50"/>
      <c r="C171" s="370"/>
      <c r="D171" s="140">
        <f>+D153+D144+D110+D162</f>
        <v>507870</v>
      </c>
      <c r="E171" s="140">
        <f>+E153+E144+E110+E162</f>
        <v>91159.2</v>
      </c>
      <c r="F171" s="140">
        <f>+F153+F144+F110+F162</f>
        <v>-416710.8</v>
      </c>
      <c r="G171" s="15"/>
      <c r="H171" s="10"/>
      <c r="I171" s="41"/>
    </row>
    <row r="172" spans="1:9" outlineLevel="1">
      <c r="A172" s="67" t="s">
        <v>98</v>
      </c>
      <c r="B172" s="67"/>
      <c r="C172" s="371"/>
      <c r="D172" s="140">
        <f>+D154+D145+D122+D163</f>
        <v>0</v>
      </c>
      <c r="E172" s="140">
        <f>+E154+E145+E122+E163</f>
        <v>0</v>
      </c>
      <c r="F172" s="140">
        <f>+F154+F145+F122+F163</f>
        <v>0</v>
      </c>
      <c r="G172" s="15"/>
      <c r="H172" s="10"/>
      <c r="I172" s="41"/>
    </row>
    <row r="173" spans="1:9" outlineLevel="1">
      <c r="A173" s="47" t="s">
        <v>99</v>
      </c>
      <c r="B173" s="47"/>
      <c r="C173" s="372"/>
      <c r="D173" s="140">
        <f>+D164+D155+D146+D125</f>
        <v>0</v>
      </c>
      <c r="E173" s="140">
        <f>+E164+E155+E146+E125</f>
        <v>0</v>
      </c>
      <c r="F173" s="140">
        <f>+F156+F147+F130+F165</f>
        <v>0</v>
      </c>
      <c r="G173" s="15"/>
      <c r="H173" s="10"/>
      <c r="I173" s="41"/>
    </row>
    <row r="174" spans="1:9" outlineLevel="1">
      <c r="A174" s="198" t="s">
        <v>100</v>
      </c>
      <c r="B174" s="198"/>
      <c r="C174" s="374"/>
      <c r="D174" s="140">
        <f>+D165+D156+D147+D128</f>
        <v>0</v>
      </c>
      <c r="E174" s="140">
        <f>+E165+E156+E147+E128</f>
        <v>0</v>
      </c>
      <c r="F174" s="140">
        <f>+F156+F147+F130+F165</f>
        <v>0</v>
      </c>
      <c r="G174" s="15"/>
      <c r="H174" s="10"/>
      <c r="I174" s="41"/>
    </row>
    <row r="175" spans="1:9" outlineLevel="1">
      <c r="A175" s="198" t="s">
        <v>101</v>
      </c>
      <c r="B175" s="198"/>
      <c r="C175" s="374"/>
      <c r="D175" s="140">
        <f>+D166+D157+D148+D131</f>
        <v>440620</v>
      </c>
      <c r="E175" s="140">
        <f>+E166+E157+E148+E131</f>
        <v>89946.625</v>
      </c>
      <c r="F175" s="140">
        <f>+F157+F148+F131+F166</f>
        <v>-350673.375</v>
      </c>
      <c r="G175" s="15"/>
      <c r="H175" s="10"/>
      <c r="I175" s="41"/>
    </row>
    <row r="176" spans="1:9">
      <c r="A176" s="7"/>
      <c r="B176" s="7"/>
      <c r="C176" s="382"/>
      <c r="D176" s="127"/>
      <c r="E176" s="127"/>
      <c r="F176" s="128"/>
      <c r="G176" s="15"/>
      <c r="H176" s="10"/>
      <c r="I176" s="41"/>
    </row>
    <row r="177" spans="1:9" ht="15.75">
      <c r="A177" s="177" t="s">
        <v>102</v>
      </c>
      <c r="B177" s="177"/>
      <c r="C177" s="383"/>
      <c r="D177" s="129">
        <f>+D70-D167</f>
        <v>906290</v>
      </c>
      <c r="E177" s="129">
        <f>+E70-E167</f>
        <v>2846324.375</v>
      </c>
      <c r="F177" s="129">
        <f>+F70-F167</f>
        <v>1940034.375</v>
      </c>
      <c r="G177" s="19"/>
      <c r="H177" s="20"/>
      <c r="I177" s="42"/>
    </row>
    <row r="178" spans="1:9">
      <c r="A178" s="44" t="s">
        <v>103</v>
      </c>
      <c r="B178" s="44"/>
      <c r="C178" s="366"/>
      <c r="D178" s="178">
        <f>+D3-D168</f>
        <v>140900</v>
      </c>
      <c r="E178" s="178">
        <f>+E3-E168</f>
        <v>615589.72500000009</v>
      </c>
      <c r="F178" s="178">
        <f>+F3-F168</f>
        <v>474689.72500000009</v>
      </c>
      <c r="G178" s="19"/>
      <c r="H178" s="20"/>
      <c r="I178" s="42"/>
    </row>
    <row r="179" spans="1:9">
      <c r="A179" s="58" t="s">
        <v>104</v>
      </c>
      <c r="B179" s="58"/>
      <c r="C179" s="368"/>
      <c r="D179" s="178">
        <f>+D15-D169</f>
        <v>311350</v>
      </c>
      <c r="E179" s="178">
        <f>+E15-E169</f>
        <v>792024.79749999999</v>
      </c>
      <c r="F179" s="178">
        <f>+F15-F169</f>
        <v>480674.79749999999</v>
      </c>
      <c r="G179" s="19"/>
      <c r="H179" s="20"/>
      <c r="I179" s="42"/>
    </row>
    <row r="180" spans="1:9">
      <c r="A180" s="57" t="s">
        <v>105</v>
      </c>
      <c r="B180" s="57"/>
      <c r="C180" s="369"/>
      <c r="D180" s="178">
        <f>+D27-D170</f>
        <v>280530</v>
      </c>
      <c r="E180" s="178">
        <f>+E27-E170</f>
        <v>895392.37749999994</v>
      </c>
      <c r="F180" s="178">
        <f>+F27-F170</f>
        <v>614862.37750000006</v>
      </c>
      <c r="G180" s="19"/>
      <c r="H180" s="20"/>
      <c r="I180" s="42"/>
    </row>
    <row r="181" spans="1:9">
      <c r="A181" s="50" t="s">
        <v>106</v>
      </c>
      <c r="B181" s="50"/>
      <c r="C181" s="370"/>
      <c r="D181" s="178">
        <f>+D39-D171</f>
        <v>87130</v>
      </c>
      <c r="E181" s="178">
        <f>+E39-E171</f>
        <v>273477.59999999998</v>
      </c>
      <c r="F181" s="178">
        <f>+F39-F171</f>
        <v>186347.59999999998</v>
      </c>
      <c r="G181" s="19"/>
      <c r="H181" s="20"/>
      <c r="I181" s="42"/>
    </row>
    <row r="182" spans="1:9">
      <c r="A182" s="61" t="s">
        <v>107</v>
      </c>
      <c r="B182" s="61"/>
      <c r="C182" s="384"/>
      <c r="D182" s="178">
        <f>+D51-D172</f>
        <v>0</v>
      </c>
      <c r="E182" s="178">
        <f>+E51-E172</f>
        <v>0</v>
      </c>
      <c r="F182" s="178">
        <f>+F51-F172</f>
        <v>0</v>
      </c>
      <c r="G182" s="19"/>
      <c r="H182" s="20"/>
      <c r="I182" s="42"/>
    </row>
    <row r="183" spans="1:9">
      <c r="A183" s="62" t="s">
        <v>108</v>
      </c>
      <c r="B183" s="62"/>
      <c r="C183" s="385"/>
      <c r="D183" s="178">
        <f>+D54-D173</f>
        <v>0</v>
      </c>
      <c r="E183" s="178">
        <f>+E54-E173</f>
        <v>0</v>
      </c>
      <c r="F183" s="178">
        <f>+F59-F174</f>
        <v>0</v>
      </c>
      <c r="G183" s="19"/>
      <c r="H183" s="20"/>
      <c r="I183" s="42"/>
    </row>
    <row r="184" spans="1:9">
      <c r="A184" s="201" t="s">
        <v>109</v>
      </c>
      <c r="B184" s="201"/>
      <c r="C184" s="386"/>
      <c r="D184" s="178">
        <f>+D57-D174</f>
        <v>0</v>
      </c>
      <c r="E184" s="178">
        <f>+E57-E174</f>
        <v>0</v>
      </c>
      <c r="F184" s="178">
        <f>+F59-F174</f>
        <v>0</v>
      </c>
      <c r="G184" s="19"/>
      <c r="H184" s="20"/>
      <c r="I184" s="42"/>
    </row>
    <row r="185" spans="1:9">
      <c r="A185" s="201" t="s">
        <v>110</v>
      </c>
      <c r="B185" s="201"/>
      <c r="C185" s="386"/>
      <c r="D185" s="178">
        <f>+D60-D175</f>
        <v>86380</v>
      </c>
      <c r="E185" s="178">
        <f>+E60-E175</f>
        <v>269839.875</v>
      </c>
      <c r="F185" s="178">
        <f>+F60-F175</f>
        <v>183459.875</v>
      </c>
      <c r="G185" s="19"/>
      <c r="H185" s="20"/>
      <c r="I185" s="42"/>
    </row>
    <row r="186" spans="1:9">
      <c r="F186" s="131"/>
      <c r="G186" s="21"/>
      <c r="H186" s="22"/>
      <c r="I186" s="43"/>
    </row>
    <row r="187" spans="1:9">
      <c r="A187" s="179" t="s">
        <v>111</v>
      </c>
      <c r="B187" s="179"/>
      <c r="C187" s="388"/>
      <c r="D187" s="180">
        <f>+D70/D167-1</f>
        <v>0.27751698711765593</v>
      </c>
      <c r="E187" s="180">
        <f>+E70/E167-1</f>
        <v>2.7313138691822405</v>
      </c>
    </row>
  </sheetData>
  <mergeCells count="5">
    <mergeCell ref="J1:L1"/>
    <mergeCell ref="M1:O1"/>
    <mergeCell ref="P1:R1"/>
    <mergeCell ref="S1:U1"/>
    <mergeCell ref="V1:X1"/>
  </mergeCells>
  <conditionalFormatting sqref="D178:F185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F4:F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{ED679D02-E74E-419A-A7BA-380EAF9B71A1}</x14:id>
        </ext>
      </extLst>
    </cfRule>
  </conditionalFormatting>
  <conditionalFormatting sqref="F16:F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{CF2FA602-299C-4421-A7CE-985C516BFC94}</x14:id>
        </ext>
      </extLst>
    </cfRule>
  </conditionalFormatting>
  <conditionalFormatting sqref="F28:F3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{7B6B03B0-94F7-431D-89AF-F54240A9C8F6}</x14:id>
        </ext>
      </extLst>
    </cfRule>
  </conditionalFormatting>
  <conditionalFormatting sqref="F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{FCCBBA5A-2BBE-4CB1-A77F-4E956DAF55EC}</x14:id>
        </ext>
      </extLst>
    </cfRule>
  </conditionalFormatting>
  <conditionalFormatting sqref="F41:F5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{CDC2AC09-ECF7-401E-BBB6-D47C80CD54AF}</x14:id>
        </ext>
      </extLst>
    </cfRule>
  </conditionalFormatting>
  <conditionalFormatting sqref="F52:F5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{DDA9E590-9A25-413D-9C33-2D1C6AA610E6}</x14:id>
        </ext>
      </extLst>
    </cfRule>
  </conditionalFormatting>
  <conditionalFormatting sqref="F55:F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{6DFE9F9B-8BAA-4820-82FE-8D2E96BC187F}</x14:id>
        </ext>
      </extLst>
    </cfRule>
  </conditionalFormatting>
  <conditionalFormatting sqref="F58:F5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{487B53D6-AF4E-4533-8218-7D56CE46DDF2}</x14:id>
        </ext>
      </extLst>
    </cfRule>
  </conditionalFormatting>
  <conditionalFormatting sqref="F61:F6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{49ACBFBB-603B-45C1-B49E-F83F5E4D3A5E}</x14:id>
        </ext>
      </extLst>
    </cfRule>
  </conditionalFormatting>
  <pageMargins left="0.7" right="0.7" top="0.78740157499999996" bottom="0.78740157499999996" header="0.3" footer="0.3"/>
  <pageSetup paperSize="8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679D02-E74E-419A-A7BA-380EAF9B7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F4:F14</xm:sqref>
        </x14:conditionalFormatting>
        <x14:conditionalFormatting xmlns:xm="http://schemas.microsoft.com/office/excel/2006/main">
          <x14:cfRule type="dataBar" id="{CF2FA602-299C-4421-A7CE-985C516BFC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F16:F26</xm:sqref>
        </x14:conditionalFormatting>
        <x14:conditionalFormatting xmlns:xm="http://schemas.microsoft.com/office/excel/2006/main">
          <x14:cfRule type="dataBar" id="{7B6B03B0-94F7-431D-89AF-F54240A9C8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F28:F38</xm:sqref>
        </x14:conditionalFormatting>
        <x14:conditionalFormatting xmlns:xm="http://schemas.microsoft.com/office/excel/2006/main">
          <x14:cfRule type="dataBar" id="{FCCBBA5A-2BBE-4CB1-A77F-4E956DAF5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CDC2AC09-ECF7-401E-BBB6-D47C80CD5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F41:F50</xm:sqref>
        </x14:conditionalFormatting>
        <x14:conditionalFormatting xmlns:xm="http://schemas.microsoft.com/office/excel/2006/main">
          <x14:cfRule type="dataBar" id="{DDA9E590-9A25-413D-9C33-2D1C6AA610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F52:F53</xm:sqref>
        </x14:conditionalFormatting>
        <x14:conditionalFormatting xmlns:xm="http://schemas.microsoft.com/office/excel/2006/main">
          <x14:cfRule type="dataBar" id="{6DFE9F9B-8BAA-4820-82FE-8D2E96BC18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F55:F56</xm:sqref>
        </x14:conditionalFormatting>
        <x14:conditionalFormatting xmlns:xm="http://schemas.microsoft.com/office/excel/2006/main">
          <x14:cfRule type="dataBar" id="{487B53D6-AF4E-4533-8218-7D56CE46D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F58:F59</xm:sqref>
        </x14:conditionalFormatting>
        <x14:conditionalFormatting xmlns:xm="http://schemas.microsoft.com/office/excel/2006/main">
          <x14:cfRule type="dataBar" id="{49ACBFBB-603B-45C1-B49E-F83F5E4D3A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F61:F69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DA8A-9115-4124-BDA4-076C92803BFB}">
  <sheetPr>
    <pageSetUpPr fitToPage="1"/>
  </sheetPr>
  <dimension ref="A1:AB187"/>
  <sheetViews>
    <sheetView zoomScale="85" zoomScaleNormal="85" workbookViewId="0">
      <pane xSplit="2" ySplit="2" topLeftCell="C164" activePane="bottomRight" state="frozen"/>
      <selection pane="bottomRight" activeCell="M66" sqref="M66"/>
      <selection pane="bottomLeft" activeCell="A3" sqref="A3"/>
      <selection pane="topRight" activeCell="C1" sqref="C1"/>
    </sheetView>
  </sheetViews>
  <sheetFormatPr defaultRowHeight="14.25" outlineLevelRow="2"/>
  <cols>
    <col min="1" max="1" width="18.42578125" customWidth="1"/>
    <col min="2" max="2" width="19.42578125" customWidth="1"/>
    <col min="3" max="3" width="10" style="387" customWidth="1"/>
    <col min="4" max="6" width="14.85546875" style="130" customWidth="1"/>
    <col min="7" max="7" width="8.7109375" style="16" customWidth="1"/>
    <col min="8" max="8" width="8.7109375" style="17" customWidth="1"/>
    <col min="9" max="9" width="3.7109375" style="34" customWidth="1"/>
    <col min="10" max="10" width="13.28515625" style="6" customWidth="1"/>
    <col min="11" max="11" width="10" style="26" customWidth="1"/>
    <col min="12" max="12" width="10" style="27" customWidth="1"/>
    <col min="13" max="13" width="13.28515625" style="6" customWidth="1"/>
    <col min="14" max="14" width="10" style="30" customWidth="1"/>
    <col min="15" max="15" width="10" style="31" customWidth="1"/>
    <col min="16" max="16" width="17.5703125" style="6" customWidth="1"/>
    <col min="17" max="17" width="10" style="30" customWidth="1"/>
    <col min="18" max="18" width="10" style="32" customWidth="1"/>
    <col min="19" max="19" width="14.7109375" style="6" customWidth="1"/>
    <col min="20" max="20" width="10" style="30" customWidth="1"/>
    <col min="21" max="21" width="10" style="32" customWidth="1"/>
    <col min="22" max="22" width="13.28515625" style="6" customWidth="1"/>
    <col min="23" max="23" width="10" style="30" customWidth="1"/>
    <col min="24" max="24" width="10" style="32" customWidth="1"/>
    <col min="25" max="25" width="16.5703125" customWidth="1"/>
    <col min="26" max="26" width="17.140625" customWidth="1"/>
  </cols>
  <sheetData>
    <row r="1" spans="1:25" s="66" customFormat="1" ht="21" customHeight="1">
      <c r="A1" s="144" t="s">
        <v>0</v>
      </c>
      <c r="B1" s="144"/>
      <c r="C1" s="364"/>
      <c r="D1" s="149"/>
      <c r="E1" s="149"/>
      <c r="F1" s="149"/>
      <c r="G1" s="63"/>
      <c r="H1" s="64"/>
      <c r="I1" s="65"/>
      <c r="J1" s="419" t="s">
        <v>1</v>
      </c>
      <c r="K1" s="420"/>
      <c r="L1" s="421"/>
      <c r="M1" s="419" t="s">
        <v>2</v>
      </c>
      <c r="N1" s="420"/>
      <c r="O1" s="421"/>
      <c r="P1" s="419" t="s">
        <v>3</v>
      </c>
      <c r="Q1" s="420"/>
      <c r="R1" s="421"/>
      <c r="S1" s="419" t="s">
        <v>4</v>
      </c>
      <c r="T1" s="420"/>
      <c r="U1" s="421"/>
      <c r="V1" s="419" t="s">
        <v>5</v>
      </c>
      <c r="W1" s="420"/>
      <c r="X1" s="421"/>
    </row>
    <row r="2" spans="1:25" s="23" customFormat="1" ht="23.25">
      <c r="A2" s="145" t="s">
        <v>195</v>
      </c>
      <c r="B2" s="145" t="s">
        <v>196</v>
      </c>
      <c r="C2" s="365" t="s">
        <v>197</v>
      </c>
      <c r="D2" s="146" t="s">
        <v>7</v>
      </c>
      <c r="E2" s="146" t="s">
        <v>8</v>
      </c>
      <c r="F2" s="146" t="s">
        <v>9</v>
      </c>
      <c r="G2" s="147" t="s">
        <v>10</v>
      </c>
      <c r="H2" s="148" t="s">
        <v>11</v>
      </c>
      <c r="I2" s="35"/>
      <c r="J2" s="12" t="s">
        <v>12</v>
      </c>
      <c r="K2" s="14" t="s">
        <v>10</v>
      </c>
      <c r="L2" s="11" t="s">
        <v>11</v>
      </c>
      <c r="M2" s="12" t="s">
        <v>12</v>
      </c>
      <c r="N2" s="14" t="s">
        <v>10</v>
      </c>
      <c r="O2" s="11" t="s">
        <v>11</v>
      </c>
      <c r="P2" s="12" t="s">
        <v>12</v>
      </c>
      <c r="Q2" s="14" t="s">
        <v>10</v>
      </c>
      <c r="R2" s="13" t="s">
        <v>11</v>
      </c>
      <c r="S2" s="12" t="s">
        <v>12</v>
      </c>
      <c r="T2" s="14" t="s">
        <v>10</v>
      </c>
      <c r="U2" s="13" t="s">
        <v>11</v>
      </c>
      <c r="V2" s="12" t="s">
        <v>12</v>
      </c>
      <c r="W2" s="14" t="s">
        <v>10</v>
      </c>
      <c r="X2" s="13" t="s">
        <v>11</v>
      </c>
    </row>
    <row r="3" spans="1:25" s="23" customFormat="1">
      <c r="A3" s="44" t="s">
        <v>13</v>
      </c>
      <c r="B3" s="44"/>
      <c r="C3" s="366"/>
      <c r="D3" s="91">
        <f>SUM(D4:D14)</f>
        <v>880000</v>
      </c>
      <c r="E3" s="91">
        <f>SUM(E4:E14)</f>
        <v>197941.70000000004</v>
      </c>
      <c r="F3" s="91">
        <f>SUM(F4:F14)</f>
        <v>-682058.3</v>
      </c>
      <c r="G3" s="46">
        <f>SUM(G4:G14)</f>
        <v>170</v>
      </c>
      <c r="H3" s="46">
        <f>SUM(H4:H14)</f>
        <v>10.298611111111112</v>
      </c>
      <c r="I3" s="36"/>
      <c r="J3" s="45">
        <f t="shared" ref="J3:X3" si="0">SUM(J4:J14)</f>
        <v>197941.70000000004</v>
      </c>
      <c r="K3" s="46">
        <f t="shared" si="0"/>
        <v>170</v>
      </c>
      <c r="L3" s="46">
        <f t="shared" si="0"/>
        <v>10.298611111111112</v>
      </c>
      <c r="M3" s="45">
        <f t="shared" si="0"/>
        <v>0</v>
      </c>
      <c r="N3" s="46">
        <f t="shared" si="0"/>
        <v>0</v>
      </c>
      <c r="O3" s="46">
        <f t="shared" si="0"/>
        <v>0</v>
      </c>
      <c r="P3" s="45">
        <f t="shared" si="0"/>
        <v>0</v>
      </c>
      <c r="Q3" s="46">
        <f t="shared" si="0"/>
        <v>0</v>
      </c>
      <c r="R3" s="46">
        <f t="shared" si="0"/>
        <v>0</v>
      </c>
      <c r="S3" s="45">
        <f t="shared" si="0"/>
        <v>0</v>
      </c>
      <c r="T3" s="46">
        <f t="shared" si="0"/>
        <v>0</v>
      </c>
      <c r="U3" s="46">
        <f t="shared" si="0"/>
        <v>0</v>
      </c>
      <c r="V3" s="45">
        <f t="shared" si="0"/>
        <v>0</v>
      </c>
      <c r="W3" s="46">
        <f t="shared" si="0"/>
        <v>0</v>
      </c>
      <c r="X3" s="46">
        <f t="shared" si="0"/>
        <v>0</v>
      </c>
    </row>
    <row r="4" spans="1:25" outlineLevel="2">
      <c r="A4" s="132" t="s">
        <v>198</v>
      </c>
      <c r="B4" s="132" t="s">
        <v>199</v>
      </c>
      <c r="C4" s="389">
        <v>1</v>
      </c>
      <c r="D4" s="92">
        <v>200000</v>
      </c>
      <c r="E4" s="92">
        <f>+J4+M4+P4+S4+V4</f>
        <v>60546.2</v>
      </c>
      <c r="F4" s="93">
        <f t="shared" ref="F4:F14" si="1">+E4-D4</f>
        <v>-139453.79999999999</v>
      </c>
      <c r="G4" s="18">
        <f>+K4+N4+Q4+T4+W4</f>
        <v>54</v>
      </c>
      <c r="H4" s="18">
        <f>+L4+O4+R4+U4+X4</f>
        <v>3.5763888888888888</v>
      </c>
      <c r="I4" s="37"/>
      <c r="J4" s="181">
        <v>60546.2</v>
      </c>
      <c r="K4" s="182">
        <v>54</v>
      </c>
      <c r="L4" s="183">
        <v>3.5763888888888888</v>
      </c>
      <c r="M4" s="184"/>
      <c r="N4" s="185"/>
      <c r="O4" s="186"/>
      <c r="P4" s="184"/>
      <c r="Q4" s="185"/>
      <c r="R4" s="186"/>
      <c r="S4" s="187"/>
      <c r="T4" s="185"/>
      <c r="U4" s="186"/>
      <c r="V4" s="187"/>
      <c r="W4" s="185"/>
      <c r="X4" s="186"/>
      <c r="Y4" s="295">
        <f>J4+M4+P4+S4+V4</f>
        <v>60546.2</v>
      </c>
    </row>
    <row r="5" spans="1:25" outlineLevel="2">
      <c r="A5" s="132" t="s">
        <v>200</v>
      </c>
      <c r="B5" s="133" t="s">
        <v>201</v>
      </c>
      <c r="C5" s="390">
        <v>1</v>
      </c>
      <c r="D5" s="92">
        <v>200000</v>
      </c>
      <c r="E5" s="92">
        <f t="shared" ref="E5:E14" si="2">+J5+M5+P5+S5+V5</f>
        <v>41265.4</v>
      </c>
      <c r="F5" s="93">
        <f t="shared" si="1"/>
        <v>-158734.6</v>
      </c>
      <c r="G5" s="18">
        <f t="shared" ref="G5:H14" si="3">+K5+N5+Q5+T5+W5</f>
        <v>32</v>
      </c>
      <c r="H5" s="18">
        <f t="shared" si="3"/>
        <v>2.4375</v>
      </c>
      <c r="I5" s="37"/>
      <c r="J5" s="181">
        <v>41265.4</v>
      </c>
      <c r="K5" s="182">
        <v>32</v>
      </c>
      <c r="L5" s="183">
        <v>2.4375</v>
      </c>
      <c r="M5" s="184"/>
      <c r="N5" s="185"/>
      <c r="O5" s="186"/>
      <c r="P5" s="184"/>
      <c r="Q5" s="185"/>
      <c r="R5" s="186"/>
      <c r="S5" s="187"/>
      <c r="T5" s="185"/>
      <c r="U5" s="186"/>
      <c r="V5" s="187"/>
      <c r="W5" s="185"/>
      <c r="X5" s="186"/>
      <c r="Y5" s="300">
        <f>M5+P5+S5+V5</f>
        <v>0</v>
      </c>
    </row>
    <row r="6" spans="1:25" s="78" customFormat="1" outlineLevel="2">
      <c r="A6" s="132" t="s">
        <v>202</v>
      </c>
      <c r="B6" s="132" t="s">
        <v>203</v>
      </c>
      <c r="C6" s="389">
        <v>1</v>
      </c>
      <c r="D6" s="92">
        <v>200000</v>
      </c>
      <c r="E6" s="92">
        <f t="shared" si="2"/>
        <v>29145.599999999999</v>
      </c>
      <c r="F6" s="360">
        <f t="shared" si="1"/>
        <v>-170854.39999999999</v>
      </c>
      <c r="G6" s="361">
        <f t="shared" si="3"/>
        <v>23</v>
      </c>
      <c r="H6" s="361">
        <f t="shared" si="3"/>
        <v>1.7847222222222223</v>
      </c>
      <c r="I6" s="397"/>
      <c r="J6" s="195">
        <v>29145.599999999999</v>
      </c>
      <c r="K6" s="182">
        <v>23</v>
      </c>
      <c r="L6" s="183">
        <v>1.7847222222222223</v>
      </c>
      <c r="M6" s="305"/>
      <c r="N6" s="306"/>
      <c r="O6" s="307"/>
      <c r="P6" s="305"/>
      <c r="Q6" s="306"/>
      <c r="R6" s="307"/>
      <c r="S6" s="309"/>
      <c r="T6" s="306"/>
      <c r="U6" s="307"/>
      <c r="V6" s="309"/>
      <c r="W6" s="192"/>
      <c r="X6" s="193"/>
      <c r="Y6" s="410">
        <f>M6+P6+S6+V6</f>
        <v>0</v>
      </c>
    </row>
    <row r="7" spans="1:25" s="226" customFormat="1" outlineLevel="2">
      <c r="A7" s="165" t="s">
        <v>204</v>
      </c>
      <c r="B7" s="415" t="s">
        <v>236</v>
      </c>
      <c r="C7" s="394">
        <v>1</v>
      </c>
      <c r="D7" s="215">
        <v>0</v>
      </c>
      <c r="E7" s="215">
        <f t="shared" si="2"/>
        <v>0</v>
      </c>
      <c r="F7" s="216">
        <f t="shared" si="1"/>
        <v>0</v>
      </c>
      <c r="G7" s="217">
        <f t="shared" si="3"/>
        <v>0</v>
      </c>
      <c r="H7" s="217">
        <f t="shared" si="3"/>
        <v>0</v>
      </c>
      <c r="I7" s="218"/>
      <c r="J7" s="219"/>
      <c r="K7" s="220"/>
      <c r="L7" s="221"/>
      <c r="M7" s="222"/>
      <c r="N7" s="223"/>
      <c r="O7" s="224"/>
      <c r="P7" s="222"/>
      <c r="Q7" s="223"/>
      <c r="R7" s="224"/>
      <c r="S7" s="225"/>
      <c r="T7" s="223"/>
      <c r="U7" s="224"/>
      <c r="V7" s="225"/>
      <c r="W7" s="223"/>
      <c r="X7" s="224"/>
      <c r="Y7" s="310">
        <f>M7+P7+S7+V7</f>
        <v>0</v>
      </c>
    </row>
    <row r="8" spans="1:25" s="78" customFormat="1" outlineLevel="2">
      <c r="A8" s="134" t="s">
        <v>202</v>
      </c>
      <c r="B8" s="134"/>
      <c r="C8" s="391">
        <v>1</v>
      </c>
      <c r="D8" s="94">
        <v>0</v>
      </c>
      <c r="E8" s="94">
        <f t="shared" si="2"/>
        <v>0</v>
      </c>
      <c r="F8" s="95">
        <f t="shared" si="1"/>
        <v>0</v>
      </c>
      <c r="G8" s="69">
        <f t="shared" si="3"/>
        <v>0</v>
      </c>
      <c r="H8" s="69">
        <f t="shared" si="3"/>
        <v>0</v>
      </c>
      <c r="I8" s="70"/>
      <c r="J8" s="188"/>
      <c r="K8" s="189"/>
      <c r="L8" s="190"/>
      <c r="M8" s="191"/>
      <c r="N8" s="192"/>
      <c r="O8" s="193"/>
      <c r="P8" s="191"/>
      <c r="Q8" s="192"/>
      <c r="R8" s="193"/>
      <c r="S8" s="194"/>
      <c r="T8" s="192"/>
      <c r="U8" s="193"/>
      <c r="V8" s="194"/>
      <c r="W8" s="192"/>
      <c r="X8" s="193"/>
      <c r="Y8" s="314"/>
    </row>
    <row r="9" spans="1:25" outlineLevel="2">
      <c r="A9" s="132" t="s">
        <v>126</v>
      </c>
      <c r="B9" s="132" t="s">
        <v>207</v>
      </c>
      <c r="C9" s="389">
        <v>0.2</v>
      </c>
      <c r="D9" s="92">
        <v>15000</v>
      </c>
      <c r="E9" s="92">
        <f t="shared" si="2"/>
        <v>3335.2</v>
      </c>
      <c r="F9" s="216">
        <f t="shared" si="1"/>
        <v>-11664.8</v>
      </c>
      <c r="G9" s="18">
        <f t="shared" si="3"/>
        <v>4</v>
      </c>
      <c r="H9" s="18">
        <f t="shared" si="3"/>
        <v>0.16666666666666666</v>
      </c>
      <c r="I9" s="37"/>
      <c r="J9" s="195">
        <v>3335.2</v>
      </c>
      <c r="K9" s="182">
        <v>4</v>
      </c>
      <c r="L9" s="183">
        <v>0.16666666666666666</v>
      </c>
      <c r="M9" s="184"/>
      <c r="N9" s="185"/>
      <c r="O9" s="186"/>
      <c r="P9" s="184"/>
      <c r="Q9" s="185"/>
      <c r="R9" s="186"/>
      <c r="S9" s="187"/>
      <c r="T9" s="185"/>
      <c r="U9" s="186"/>
      <c r="V9" s="187"/>
      <c r="W9" s="185"/>
      <c r="X9" s="186"/>
      <c r="Y9" s="300">
        <f>M9+P9+S9+V9</f>
        <v>0</v>
      </c>
    </row>
    <row r="10" spans="1:25" outlineLevel="2">
      <c r="A10" s="132" t="s">
        <v>208</v>
      </c>
      <c r="B10" s="132" t="s">
        <v>209</v>
      </c>
      <c r="C10" s="389">
        <v>0.5</v>
      </c>
      <c r="D10" s="92">
        <f>450000*0.5</f>
        <v>225000</v>
      </c>
      <c r="E10" s="92">
        <f t="shared" si="2"/>
        <v>44205.7</v>
      </c>
      <c r="F10" s="93">
        <f t="shared" si="1"/>
        <v>-180794.3</v>
      </c>
      <c r="G10" s="18">
        <f t="shared" si="3"/>
        <v>44</v>
      </c>
      <c r="H10" s="18">
        <f t="shared" si="3"/>
        <v>1.6875</v>
      </c>
      <c r="I10" s="37"/>
      <c r="J10" s="195">
        <v>44205.7</v>
      </c>
      <c r="K10" s="182">
        <v>44</v>
      </c>
      <c r="L10" s="183">
        <v>1.6875</v>
      </c>
      <c r="M10" s="184"/>
      <c r="N10" s="185"/>
      <c r="O10" s="186"/>
      <c r="P10" s="184"/>
      <c r="Q10" s="185"/>
      <c r="R10" s="186"/>
      <c r="S10" s="187"/>
      <c r="T10" s="185"/>
      <c r="U10" s="186"/>
      <c r="V10" s="187"/>
      <c r="W10" s="185"/>
      <c r="X10" s="186"/>
      <c r="Y10" s="300">
        <f>M10+P10+S10+V10</f>
        <v>0</v>
      </c>
    </row>
    <row r="11" spans="1:25" s="78" customFormat="1" outlineLevel="2">
      <c r="A11" s="134" t="s">
        <v>210</v>
      </c>
      <c r="B11" s="134"/>
      <c r="C11" s="391"/>
      <c r="D11" s="94">
        <v>0</v>
      </c>
      <c r="E11" s="94">
        <f t="shared" si="2"/>
        <v>0</v>
      </c>
      <c r="F11" s="95">
        <f t="shared" si="1"/>
        <v>0</v>
      </c>
      <c r="G11" s="69">
        <f t="shared" si="3"/>
        <v>0</v>
      </c>
      <c r="H11" s="69">
        <f t="shared" si="3"/>
        <v>0</v>
      </c>
      <c r="I11" s="70"/>
      <c r="J11" s="188"/>
      <c r="K11" s="189"/>
      <c r="L11" s="190"/>
      <c r="M11" s="191"/>
      <c r="N11" s="192"/>
      <c r="O11" s="193"/>
      <c r="P11" s="191"/>
      <c r="Q11" s="192"/>
      <c r="R11" s="193"/>
      <c r="S11" s="194"/>
      <c r="T11" s="192"/>
      <c r="U11" s="193"/>
      <c r="V11" s="194"/>
      <c r="W11" s="192"/>
      <c r="X11" s="193"/>
    </row>
    <row r="12" spans="1:25" s="78" customFormat="1" outlineLevel="2">
      <c r="A12" s="301" t="s">
        <v>211</v>
      </c>
      <c r="B12" s="301" t="s">
        <v>212</v>
      </c>
      <c r="C12" s="392">
        <v>0.5</v>
      </c>
      <c r="D12" s="302">
        <v>40000</v>
      </c>
      <c r="E12" s="92">
        <f>+J12+M13+P12+S12+V12</f>
        <v>19443.599999999999</v>
      </c>
      <c r="F12" s="216">
        <f t="shared" si="1"/>
        <v>-20556.400000000001</v>
      </c>
      <c r="G12" s="217">
        <f t="shared" si="3"/>
        <v>13</v>
      </c>
      <c r="H12" s="217">
        <f t="shared" si="3"/>
        <v>0.64583333333333337</v>
      </c>
      <c r="I12" s="70"/>
      <c r="J12" s="195">
        <v>19443.599999999999</v>
      </c>
      <c r="K12" s="182">
        <v>13</v>
      </c>
      <c r="L12" s="183">
        <v>0.64583333333333337</v>
      </c>
      <c r="M12" s="184"/>
      <c r="N12" s="306"/>
      <c r="O12" s="307"/>
      <c r="P12" s="305"/>
      <c r="Q12" s="306"/>
      <c r="R12" s="307"/>
      <c r="S12" s="309"/>
      <c r="T12" s="306"/>
      <c r="U12" s="307"/>
      <c r="V12" s="309"/>
      <c r="W12" s="192"/>
      <c r="X12" s="193"/>
      <c r="Y12" s="410">
        <f>M13+P12+S12+V12</f>
        <v>0</v>
      </c>
    </row>
    <row r="13" spans="1:25" s="78" customFormat="1" outlineLevel="2">
      <c r="A13" s="308" t="s">
        <v>133</v>
      </c>
      <c r="B13" s="308"/>
      <c r="C13" s="393"/>
      <c r="D13" s="94">
        <v>0</v>
      </c>
      <c r="E13" s="94">
        <v>0</v>
      </c>
      <c r="F13" s="95">
        <f t="shared" si="1"/>
        <v>0</v>
      </c>
      <c r="G13" s="69">
        <f t="shared" si="3"/>
        <v>0</v>
      </c>
      <c r="H13" s="69">
        <f t="shared" si="3"/>
        <v>0</v>
      </c>
      <c r="I13" s="70"/>
      <c r="J13" s="188"/>
      <c r="K13" s="189"/>
      <c r="L13" s="190"/>
      <c r="M13" s="305"/>
      <c r="N13" s="192"/>
      <c r="O13" s="193"/>
      <c r="P13" s="191"/>
      <c r="Q13" s="192"/>
      <c r="R13" s="193"/>
      <c r="S13" s="194"/>
      <c r="T13" s="192"/>
      <c r="U13" s="193"/>
      <c r="V13" s="194"/>
      <c r="W13" s="192"/>
      <c r="X13" s="193"/>
    </row>
    <row r="14" spans="1:25" s="78" customFormat="1" outlineLevel="2">
      <c r="A14" s="308" t="s">
        <v>213</v>
      </c>
      <c r="B14" s="308"/>
      <c r="C14" s="393"/>
      <c r="D14" s="94">
        <v>0</v>
      </c>
      <c r="E14" s="94">
        <f t="shared" si="2"/>
        <v>0</v>
      </c>
      <c r="F14" s="95">
        <f t="shared" si="1"/>
        <v>0</v>
      </c>
      <c r="G14" s="69">
        <f t="shared" si="3"/>
        <v>0</v>
      </c>
      <c r="H14" s="69">
        <f t="shared" si="3"/>
        <v>0</v>
      </c>
      <c r="I14" s="70"/>
      <c r="J14" s="188"/>
      <c r="K14" s="189"/>
      <c r="L14" s="190"/>
      <c r="M14" s="191"/>
      <c r="N14" s="192"/>
      <c r="O14" s="193"/>
      <c r="P14" s="191"/>
      <c r="Q14" s="192"/>
      <c r="R14" s="193"/>
      <c r="S14" s="194"/>
      <c r="T14" s="192"/>
      <c r="U14" s="193"/>
      <c r="V14" s="194"/>
      <c r="W14" s="192"/>
      <c r="X14" s="193"/>
    </row>
    <row r="15" spans="1:25">
      <c r="A15" s="58" t="s">
        <v>22</v>
      </c>
      <c r="B15" s="58"/>
      <c r="C15" s="368"/>
      <c r="D15" s="96">
        <f>SUM(D16:D26)</f>
        <v>1085000</v>
      </c>
      <c r="E15" s="96">
        <f t="shared" ref="E15:F15" si="4">SUM(E16:E26)</f>
        <v>335333.28000000003</v>
      </c>
      <c r="F15" s="96">
        <f t="shared" si="4"/>
        <v>-749666.72000000009</v>
      </c>
      <c r="G15" s="54">
        <f>SUM(G16:G26)</f>
        <v>255</v>
      </c>
      <c r="H15" s="54">
        <f>SUM(H16:H26)</f>
        <v>17.708333333333332</v>
      </c>
      <c r="I15" s="37"/>
      <c r="J15" s="53">
        <f t="shared" ref="J15" si="5">SUM(J16:J26)</f>
        <v>335333.28000000003</v>
      </c>
      <c r="K15" s="54">
        <f>SUM(K16:K26)</f>
        <v>255</v>
      </c>
      <c r="L15" s="54">
        <f>SUM(L16:L26)</f>
        <v>17.708333333333332</v>
      </c>
      <c r="M15" s="53">
        <f t="shared" ref="M15" si="6">SUM(M16:M26)</f>
        <v>0</v>
      </c>
      <c r="N15" s="54">
        <f>SUM(N16:N26)</f>
        <v>0</v>
      </c>
      <c r="O15" s="54">
        <f>SUM(O16:O26)</f>
        <v>0</v>
      </c>
      <c r="P15" s="53">
        <f t="shared" ref="P15" si="7">SUM(P16:P26)</f>
        <v>0</v>
      </c>
      <c r="Q15" s="54">
        <f>SUM(Q16:Q26)</f>
        <v>0</v>
      </c>
      <c r="R15" s="54">
        <f>SUM(R16:R26)</f>
        <v>0</v>
      </c>
      <c r="S15" s="53">
        <f t="shared" ref="S15" si="8">SUM(S16:S26)</f>
        <v>0</v>
      </c>
      <c r="T15" s="54">
        <f>SUM(T16:T26)</f>
        <v>0</v>
      </c>
      <c r="U15" s="54">
        <f>SUM(U16:U26)</f>
        <v>0</v>
      </c>
      <c r="V15" s="53">
        <f t="shared" ref="V15" si="9">SUM(V16:V26)</f>
        <v>0</v>
      </c>
      <c r="W15" s="54">
        <f>SUM(W16:W26)</f>
        <v>0</v>
      </c>
      <c r="X15" s="54">
        <f>SUM(X16:X26)</f>
        <v>0</v>
      </c>
    </row>
    <row r="16" spans="1:25" outlineLevel="2">
      <c r="A16" s="132" t="s">
        <v>198</v>
      </c>
      <c r="B16" s="133" t="s">
        <v>181</v>
      </c>
      <c r="C16" s="390">
        <v>1</v>
      </c>
      <c r="D16" s="97">
        <v>200000</v>
      </c>
      <c r="E16" s="215">
        <f t="shared" ref="E16:E62" si="10">+J16+M16+P16+S16+V16</f>
        <v>66429.31</v>
      </c>
      <c r="F16" s="93">
        <f t="shared" ref="F16:F26" si="11">+E16-D16</f>
        <v>-133570.69</v>
      </c>
      <c r="G16" s="18">
        <f t="shared" ref="G16:H26" si="12">+K16+N16+Q16+T16+W16</f>
        <v>51</v>
      </c>
      <c r="H16" s="18">
        <f t="shared" si="12"/>
        <v>3.8611111111111112</v>
      </c>
      <c r="I16" s="37"/>
      <c r="J16" s="181">
        <v>66429.31</v>
      </c>
      <c r="K16" s="182">
        <v>51</v>
      </c>
      <c r="L16" s="183">
        <v>3.8611111111111112</v>
      </c>
      <c r="M16" s="184"/>
      <c r="N16" s="185"/>
      <c r="O16" s="186"/>
      <c r="P16" s="184"/>
      <c r="Q16" s="185"/>
      <c r="R16" s="186"/>
      <c r="S16" s="187"/>
      <c r="T16" s="185"/>
      <c r="U16" s="186"/>
      <c r="V16" s="187"/>
      <c r="W16" s="185"/>
      <c r="X16" s="186"/>
      <c r="Y16" s="295">
        <f>J16+M16+P16+S16+V16</f>
        <v>66429.31</v>
      </c>
    </row>
    <row r="17" spans="1:28" s="226" customFormat="1" outlineLevel="2">
      <c r="A17" s="132" t="s">
        <v>200</v>
      </c>
      <c r="B17" s="165" t="s">
        <v>214</v>
      </c>
      <c r="C17" s="394">
        <v>1</v>
      </c>
      <c r="D17" s="97">
        <v>200000</v>
      </c>
      <c r="E17" s="215">
        <f t="shared" si="10"/>
        <v>75725.820000000007</v>
      </c>
      <c r="F17" s="216">
        <f t="shared" si="11"/>
        <v>-124274.18</v>
      </c>
      <c r="G17" s="217">
        <f t="shared" si="12"/>
        <v>50</v>
      </c>
      <c r="H17" s="217">
        <f t="shared" si="12"/>
        <v>4.3680555555555554</v>
      </c>
      <c r="I17" s="218"/>
      <c r="J17" s="219">
        <v>75725.820000000007</v>
      </c>
      <c r="K17" s="220">
        <v>50</v>
      </c>
      <c r="L17" s="221">
        <v>4.3680555555555554</v>
      </c>
      <c r="M17" s="222"/>
      <c r="N17" s="223"/>
      <c r="O17" s="224"/>
      <c r="P17" s="222"/>
      <c r="Q17" s="223"/>
      <c r="R17" s="224"/>
      <c r="S17" s="225"/>
      <c r="T17" s="223"/>
      <c r="U17" s="224"/>
      <c r="V17" s="225"/>
      <c r="W17" s="223"/>
      <c r="X17" s="224"/>
      <c r="Y17" s="310">
        <f>M17+P17+S17+V17</f>
        <v>0</v>
      </c>
    </row>
    <row r="18" spans="1:28" s="226" customFormat="1" outlineLevel="2">
      <c r="A18" s="132" t="s">
        <v>215</v>
      </c>
      <c r="B18" s="165" t="s">
        <v>216</v>
      </c>
      <c r="C18" s="394">
        <v>1</v>
      </c>
      <c r="D18" s="97">
        <v>200000</v>
      </c>
      <c r="E18" s="215">
        <f t="shared" si="10"/>
        <v>45109.599999999999</v>
      </c>
      <c r="F18" s="216">
        <f t="shared" si="11"/>
        <v>-154890.4</v>
      </c>
      <c r="G18" s="217">
        <f t="shared" si="12"/>
        <v>32</v>
      </c>
      <c r="H18" s="217">
        <f t="shared" si="12"/>
        <v>2.7569444444444446</v>
      </c>
      <c r="I18" s="218"/>
      <c r="J18" s="219">
        <v>45109.599999999999</v>
      </c>
      <c r="K18" s="220">
        <v>32</v>
      </c>
      <c r="L18" s="221">
        <v>2.7569444444444446</v>
      </c>
      <c r="M18" s="222"/>
      <c r="N18" s="223"/>
      <c r="O18" s="224"/>
      <c r="P18" s="222"/>
      <c r="Q18" s="223"/>
      <c r="R18" s="224"/>
      <c r="S18" s="225"/>
      <c r="T18" s="223"/>
      <c r="U18" s="224"/>
      <c r="V18" s="225"/>
      <c r="W18" s="223"/>
      <c r="X18" s="224"/>
      <c r="Y18" s="294">
        <f>J18+M18+P18+S18+V18</f>
        <v>45109.599999999999</v>
      </c>
    </row>
    <row r="19" spans="1:28" s="226" customFormat="1" outlineLevel="2">
      <c r="A19" s="165" t="s">
        <v>204</v>
      </c>
      <c r="B19" s="415" t="s">
        <v>237</v>
      </c>
      <c r="C19" s="394">
        <v>1</v>
      </c>
      <c r="D19" s="97">
        <v>200000</v>
      </c>
      <c r="E19" s="215">
        <f t="shared" si="10"/>
        <v>57877.599999999999</v>
      </c>
      <c r="F19" s="216">
        <f t="shared" si="11"/>
        <v>-142122.4</v>
      </c>
      <c r="G19" s="217">
        <f t="shared" si="12"/>
        <v>63</v>
      </c>
      <c r="H19" s="217">
        <f t="shared" si="12"/>
        <v>3.0555555555555554</v>
      </c>
      <c r="I19" s="218"/>
      <c r="J19" s="219">
        <v>57877.599999999999</v>
      </c>
      <c r="K19" s="220">
        <v>63</v>
      </c>
      <c r="L19" s="221">
        <v>3.0555555555555554</v>
      </c>
      <c r="M19" s="222"/>
      <c r="N19" s="223"/>
      <c r="O19" s="224"/>
      <c r="P19" s="222"/>
      <c r="Q19" s="223"/>
      <c r="R19" s="224"/>
      <c r="S19" s="225"/>
      <c r="T19" s="223"/>
      <c r="U19" s="224"/>
      <c r="V19" s="225"/>
      <c r="W19" s="223"/>
      <c r="X19" s="224"/>
      <c r="Y19" s="294">
        <f>J19+M19+P19+S19</f>
        <v>57877.599999999999</v>
      </c>
    </row>
    <row r="20" spans="1:28" s="226" customFormat="1" outlineLevel="2">
      <c r="A20" s="134" t="s">
        <v>218</v>
      </c>
      <c r="B20" s="165"/>
      <c r="C20" s="394"/>
      <c r="D20" s="94">
        <v>0</v>
      </c>
      <c r="E20" s="94">
        <f t="shared" si="10"/>
        <v>0</v>
      </c>
      <c r="F20" s="95">
        <f t="shared" si="11"/>
        <v>0</v>
      </c>
      <c r="G20" s="69">
        <f t="shared" si="12"/>
        <v>0</v>
      </c>
      <c r="H20" s="69">
        <f t="shared" si="12"/>
        <v>0</v>
      </c>
      <c r="I20" s="218"/>
      <c r="J20" s="219"/>
      <c r="K20" s="220"/>
      <c r="L20" s="221"/>
      <c r="M20" s="222"/>
      <c r="N20" s="223"/>
      <c r="O20" s="224"/>
      <c r="P20" s="222"/>
      <c r="Q20" s="223"/>
      <c r="R20" s="224"/>
      <c r="S20" s="225"/>
      <c r="T20" s="223"/>
      <c r="U20" s="224"/>
      <c r="V20" s="225"/>
      <c r="W20" s="223"/>
      <c r="X20" s="224"/>
    </row>
    <row r="21" spans="1:28" s="226" customFormat="1" outlineLevel="2">
      <c r="A21" s="132" t="s">
        <v>126</v>
      </c>
      <c r="B21" s="165" t="s">
        <v>219</v>
      </c>
      <c r="C21" s="394">
        <v>0.5</v>
      </c>
      <c r="D21" s="215">
        <f>450000/2</f>
        <v>225000</v>
      </c>
      <c r="E21" s="215">
        <f t="shared" si="10"/>
        <v>71427.3</v>
      </c>
      <c r="F21" s="216">
        <f t="shared" si="11"/>
        <v>-153572.70000000001</v>
      </c>
      <c r="G21" s="217">
        <f t="shared" si="12"/>
        <v>46</v>
      </c>
      <c r="H21" s="217">
        <f t="shared" si="12"/>
        <v>2.8958333333333335</v>
      </c>
      <c r="I21" s="218"/>
      <c r="J21" s="219">
        <v>71427.3</v>
      </c>
      <c r="K21" s="220">
        <v>46</v>
      </c>
      <c r="L21" s="221">
        <v>2.8958333333333335</v>
      </c>
      <c r="M21" s="222"/>
      <c r="N21" s="223"/>
      <c r="O21" s="224"/>
      <c r="P21" s="222"/>
      <c r="Q21" s="223"/>
      <c r="R21" s="224"/>
      <c r="S21" s="225"/>
      <c r="T21" s="223"/>
      <c r="U21" s="224"/>
      <c r="V21" s="225"/>
      <c r="W21" s="223"/>
      <c r="X21" s="224"/>
      <c r="Y21" s="310">
        <f>M21+P21+S21</f>
        <v>0</v>
      </c>
      <c r="AB21" s="226" t="s">
        <v>220</v>
      </c>
    </row>
    <row r="22" spans="1:28" s="78" customFormat="1" outlineLevel="2">
      <c r="A22" s="134" t="s">
        <v>208</v>
      </c>
      <c r="B22" s="134"/>
      <c r="C22" s="391"/>
      <c r="D22" s="94">
        <v>0</v>
      </c>
      <c r="E22" s="94">
        <f t="shared" si="10"/>
        <v>0</v>
      </c>
      <c r="F22" s="95">
        <f t="shared" si="11"/>
        <v>0</v>
      </c>
      <c r="G22" s="69">
        <f t="shared" si="12"/>
        <v>0</v>
      </c>
      <c r="H22" s="69">
        <f t="shared" si="12"/>
        <v>0</v>
      </c>
      <c r="I22" s="70"/>
      <c r="J22" s="188"/>
      <c r="K22" s="189"/>
      <c r="L22" s="190"/>
      <c r="M22" s="191"/>
      <c r="N22" s="192"/>
      <c r="O22" s="193"/>
      <c r="P22" s="191"/>
      <c r="Q22" s="192"/>
      <c r="R22" s="193"/>
      <c r="S22" s="194"/>
      <c r="T22" s="192"/>
      <c r="U22" s="193"/>
      <c r="V22" s="194"/>
      <c r="W22" s="192"/>
      <c r="X22" s="193"/>
      <c r="Z22" s="314"/>
    </row>
    <row r="23" spans="1:28" s="78" customFormat="1" outlineLevel="2">
      <c r="A23" s="134" t="s">
        <v>210</v>
      </c>
      <c r="B23" s="134"/>
      <c r="C23" s="391"/>
      <c r="D23" s="94">
        <v>0</v>
      </c>
      <c r="E23" s="94">
        <f t="shared" si="10"/>
        <v>0</v>
      </c>
      <c r="F23" s="95">
        <f t="shared" si="11"/>
        <v>0</v>
      </c>
      <c r="G23" s="69">
        <f t="shared" si="12"/>
        <v>0</v>
      </c>
      <c r="H23" s="69">
        <f t="shared" si="12"/>
        <v>0</v>
      </c>
      <c r="I23" s="70"/>
      <c r="J23" s="188"/>
      <c r="K23" s="189"/>
      <c r="L23" s="190"/>
      <c r="M23" s="191"/>
      <c r="N23" s="192"/>
      <c r="O23" s="193"/>
      <c r="P23" s="191"/>
      <c r="Q23" s="192"/>
      <c r="R23" s="193"/>
      <c r="S23" s="194"/>
      <c r="T23" s="192"/>
      <c r="U23" s="193"/>
      <c r="V23" s="194"/>
      <c r="W23" s="192"/>
      <c r="X23" s="193"/>
      <c r="Z23" s="314"/>
    </row>
    <row r="24" spans="1:28" s="226" customFormat="1" outlineLevel="2">
      <c r="A24" s="301" t="s">
        <v>211</v>
      </c>
      <c r="B24" s="165" t="s">
        <v>183</v>
      </c>
      <c r="C24" s="394">
        <v>0.4</v>
      </c>
      <c r="D24" s="215">
        <v>40000</v>
      </c>
      <c r="E24" s="215">
        <f t="shared" si="10"/>
        <v>18763.650000000001</v>
      </c>
      <c r="F24" s="216">
        <f t="shared" si="11"/>
        <v>-21236.35</v>
      </c>
      <c r="G24" s="217">
        <f t="shared" si="12"/>
        <v>13</v>
      </c>
      <c r="H24" s="217">
        <f t="shared" si="12"/>
        <v>0.77083333333333337</v>
      </c>
      <c r="I24" s="218"/>
      <c r="J24" s="219">
        <v>18763.650000000001</v>
      </c>
      <c r="K24" s="220">
        <v>13</v>
      </c>
      <c r="L24" s="221">
        <v>0.77083333333333337</v>
      </c>
      <c r="M24" s="222"/>
      <c r="N24" s="223"/>
      <c r="O24" s="224"/>
      <c r="P24" s="222"/>
      <c r="Q24" s="223"/>
      <c r="R24" s="224"/>
      <c r="S24" s="225"/>
      <c r="T24" s="223"/>
      <c r="U24" s="224"/>
      <c r="V24" s="225"/>
      <c r="W24" s="223"/>
      <c r="X24" s="224"/>
      <c r="Y24" s="310">
        <f>M24+P24+S24+V24</f>
        <v>0</v>
      </c>
    </row>
    <row r="25" spans="1:28" s="226" customFormat="1" outlineLevel="2">
      <c r="A25" s="395" t="s">
        <v>133</v>
      </c>
      <c r="B25" s="165" t="s">
        <v>221</v>
      </c>
      <c r="C25" s="394">
        <v>0.2</v>
      </c>
      <c r="D25" s="215">
        <v>20000</v>
      </c>
      <c r="E25" s="215">
        <f t="shared" si="10"/>
        <v>0</v>
      </c>
      <c r="F25" s="216">
        <f t="shared" si="11"/>
        <v>-20000</v>
      </c>
      <c r="G25" s="217">
        <f t="shared" si="12"/>
        <v>0</v>
      </c>
      <c r="H25" s="217">
        <f t="shared" si="12"/>
        <v>0</v>
      </c>
      <c r="I25" s="218"/>
      <c r="J25" s="219"/>
      <c r="K25" s="220"/>
      <c r="L25" s="221"/>
      <c r="M25" s="222"/>
      <c r="N25" s="223"/>
      <c r="O25" s="224"/>
      <c r="P25" s="222"/>
      <c r="Q25" s="223"/>
      <c r="R25" s="224"/>
      <c r="S25" s="225"/>
      <c r="T25" s="223"/>
      <c r="U25" s="224"/>
      <c r="V25" s="225"/>
      <c r="W25" s="223"/>
      <c r="X25" s="224"/>
    </row>
    <row r="26" spans="1:28" s="78" customFormat="1" outlineLevel="2">
      <c r="A26" s="308" t="s">
        <v>213</v>
      </c>
      <c r="B26" s="134"/>
      <c r="C26" s="391"/>
      <c r="D26" s="94">
        <v>0</v>
      </c>
      <c r="E26" s="94">
        <f t="shared" si="10"/>
        <v>0</v>
      </c>
      <c r="F26" s="95">
        <f t="shared" si="11"/>
        <v>0</v>
      </c>
      <c r="G26" s="69">
        <f t="shared" si="12"/>
        <v>0</v>
      </c>
      <c r="H26" s="69">
        <f t="shared" si="12"/>
        <v>0</v>
      </c>
      <c r="I26" s="70"/>
      <c r="J26" s="188"/>
      <c r="K26" s="189"/>
      <c r="L26" s="190"/>
      <c r="M26" s="191"/>
      <c r="N26" s="192"/>
      <c r="O26" s="193"/>
      <c r="P26" s="191"/>
      <c r="Q26" s="192"/>
      <c r="R26" s="193"/>
      <c r="S26" s="194"/>
      <c r="T26" s="192"/>
      <c r="U26" s="193"/>
      <c r="V26" s="194"/>
      <c r="W26" s="192"/>
      <c r="X26" s="193"/>
    </row>
    <row r="27" spans="1:28">
      <c r="A27" s="57" t="s">
        <v>29</v>
      </c>
      <c r="B27" s="57"/>
      <c r="C27" s="369"/>
      <c r="D27" s="98">
        <f>SUM(D28:D38)</f>
        <v>1085000</v>
      </c>
      <c r="E27" s="98">
        <f>SUM(E28:E38)</f>
        <v>287580.48000000004</v>
      </c>
      <c r="F27" s="98">
        <f>SUM(F28:F38)</f>
        <v>-797419.5199999999</v>
      </c>
      <c r="G27" s="56">
        <f>SUM(G28:G38)</f>
        <v>241</v>
      </c>
      <c r="H27" s="56">
        <f>SUM(H28:H38)</f>
        <v>14.951388888888889</v>
      </c>
      <c r="I27" s="37"/>
      <c r="J27" s="55">
        <f t="shared" ref="J27:X27" si="13">SUM(J28:J38)</f>
        <v>287580.48000000004</v>
      </c>
      <c r="K27" s="56">
        <f t="shared" si="13"/>
        <v>241</v>
      </c>
      <c r="L27" s="56">
        <f t="shared" si="13"/>
        <v>14.951388888888889</v>
      </c>
      <c r="M27" s="55">
        <f t="shared" si="13"/>
        <v>0</v>
      </c>
      <c r="N27" s="56">
        <f t="shared" si="13"/>
        <v>0</v>
      </c>
      <c r="O27" s="56">
        <f t="shared" si="13"/>
        <v>0</v>
      </c>
      <c r="P27" s="55">
        <f t="shared" si="13"/>
        <v>0</v>
      </c>
      <c r="Q27" s="56">
        <f t="shared" si="13"/>
        <v>0</v>
      </c>
      <c r="R27" s="56">
        <f t="shared" si="13"/>
        <v>0</v>
      </c>
      <c r="S27" s="55">
        <f t="shared" si="13"/>
        <v>0</v>
      </c>
      <c r="T27" s="56">
        <f t="shared" si="13"/>
        <v>0</v>
      </c>
      <c r="U27" s="56">
        <f t="shared" si="13"/>
        <v>0</v>
      </c>
      <c r="V27" s="55">
        <f t="shared" si="13"/>
        <v>0</v>
      </c>
      <c r="W27" s="56">
        <f t="shared" si="13"/>
        <v>0</v>
      </c>
      <c r="X27" s="56">
        <f t="shared" si="13"/>
        <v>0</v>
      </c>
    </row>
    <row r="28" spans="1:28" s="226" customFormat="1" outlineLevel="2">
      <c r="A28" s="132" t="s">
        <v>198</v>
      </c>
      <c r="B28" s="165" t="s">
        <v>222</v>
      </c>
      <c r="C28" s="394">
        <v>1</v>
      </c>
      <c r="D28" s="215">
        <f>200000</f>
        <v>200000</v>
      </c>
      <c r="E28" s="215">
        <f t="shared" si="10"/>
        <v>41230.31</v>
      </c>
      <c r="F28" s="216">
        <f t="shared" ref="F28:F66" si="14">+E28-D28</f>
        <v>-158769.69</v>
      </c>
      <c r="G28" s="217">
        <f t="shared" ref="G28:H38" si="15">+K28+N28+Q28+T28+W28</f>
        <v>37</v>
      </c>
      <c r="H28" s="217">
        <f t="shared" si="15"/>
        <v>2.3472222222222223</v>
      </c>
      <c r="I28" s="218"/>
      <c r="J28" s="219">
        <v>41230.31</v>
      </c>
      <c r="K28" s="220">
        <v>37</v>
      </c>
      <c r="L28" s="221">
        <v>2.3472222222222223</v>
      </c>
      <c r="M28" s="222"/>
      <c r="N28" s="223"/>
      <c r="O28" s="224"/>
      <c r="P28" s="222"/>
      <c r="Q28" s="223"/>
      <c r="R28" s="224"/>
      <c r="S28" s="225"/>
      <c r="T28" s="223"/>
      <c r="U28" s="224"/>
      <c r="V28" s="225"/>
      <c r="W28" s="223"/>
      <c r="X28" s="224"/>
      <c r="Y28" s="310">
        <f>M28+P28+S28+V28</f>
        <v>0</v>
      </c>
    </row>
    <row r="29" spans="1:28" s="226" customFormat="1" outlineLevel="2">
      <c r="A29" s="132" t="s">
        <v>200</v>
      </c>
      <c r="B29" s="165" t="s">
        <v>185</v>
      </c>
      <c r="C29" s="394">
        <v>1</v>
      </c>
      <c r="D29" s="215">
        <f t="shared" ref="D29:D31" si="16">200000</f>
        <v>200000</v>
      </c>
      <c r="E29" s="215">
        <f t="shared" si="10"/>
        <v>38985</v>
      </c>
      <c r="F29" s="216">
        <f t="shared" si="14"/>
        <v>-161015</v>
      </c>
      <c r="G29" s="217">
        <f t="shared" si="15"/>
        <v>38</v>
      </c>
      <c r="H29" s="217">
        <f t="shared" si="15"/>
        <v>2.2083333333333335</v>
      </c>
      <c r="I29" s="218"/>
      <c r="J29" s="219">
        <v>38985</v>
      </c>
      <c r="K29" s="220">
        <v>38</v>
      </c>
      <c r="L29" s="221">
        <v>2.2083333333333335</v>
      </c>
      <c r="M29" s="222"/>
      <c r="N29" s="223"/>
      <c r="O29" s="224"/>
      <c r="P29" s="222"/>
      <c r="Q29" s="223"/>
      <c r="R29" s="224"/>
      <c r="S29" s="225"/>
      <c r="T29" s="223"/>
      <c r="U29" s="224"/>
      <c r="V29" s="225"/>
      <c r="W29" s="223"/>
      <c r="X29" s="224"/>
      <c r="Y29" s="294">
        <f>J29+M29+P29+S29+V29</f>
        <v>38985</v>
      </c>
    </row>
    <row r="30" spans="1:28" s="226" customFormat="1" outlineLevel="2">
      <c r="A30" s="132" t="s">
        <v>223</v>
      </c>
      <c r="B30" s="165" t="s">
        <v>186</v>
      </c>
      <c r="C30" s="394">
        <v>1</v>
      </c>
      <c r="D30" s="215">
        <f t="shared" si="16"/>
        <v>200000</v>
      </c>
      <c r="E30" s="215">
        <f t="shared" si="10"/>
        <v>59071.88</v>
      </c>
      <c r="F30" s="216">
        <f t="shared" si="14"/>
        <v>-140928.12</v>
      </c>
      <c r="G30" s="217">
        <f t="shared" si="15"/>
        <v>49</v>
      </c>
      <c r="H30" s="217">
        <f t="shared" si="15"/>
        <v>3.3263888888888888</v>
      </c>
      <c r="I30" s="218"/>
      <c r="J30" s="219">
        <v>59071.88</v>
      </c>
      <c r="K30" s="220">
        <v>49</v>
      </c>
      <c r="L30" s="221">
        <v>3.3263888888888888</v>
      </c>
      <c r="M30" s="222"/>
      <c r="N30" s="223"/>
      <c r="O30" s="224"/>
      <c r="P30" s="222"/>
      <c r="Q30" s="223"/>
      <c r="R30" s="224"/>
      <c r="S30" s="225"/>
      <c r="T30" s="223"/>
      <c r="U30" s="224"/>
      <c r="V30" s="225"/>
      <c r="W30" s="223"/>
      <c r="X30" s="224"/>
      <c r="Y30" s="294">
        <f>J30+M30+P30+S30+V30</f>
        <v>59071.88</v>
      </c>
    </row>
    <row r="31" spans="1:28" s="226" customFormat="1" outlineLevel="2">
      <c r="A31" s="165" t="s">
        <v>224</v>
      </c>
      <c r="B31" s="165" t="s">
        <v>187</v>
      </c>
      <c r="C31" s="394">
        <v>1</v>
      </c>
      <c r="D31" s="215">
        <f t="shared" si="16"/>
        <v>200000</v>
      </c>
      <c r="E31" s="215">
        <f t="shared" si="10"/>
        <v>62320.63</v>
      </c>
      <c r="F31" s="216">
        <f t="shared" si="14"/>
        <v>-137679.37</v>
      </c>
      <c r="G31" s="217">
        <f t="shared" si="15"/>
        <v>62</v>
      </c>
      <c r="H31" s="217">
        <f t="shared" si="15"/>
        <v>3.5277777777777777</v>
      </c>
      <c r="I31" s="218"/>
      <c r="J31" s="219">
        <v>62320.63</v>
      </c>
      <c r="K31" s="220">
        <v>62</v>
      </c>
      <c r="L31" s="221">
        <v>3.5277777777777777</v>
      </c>
      <c r="M31" s="222"/>
      <c r="N31" s="223"/>
      <c r="O31" s="224"/>
      <c r="P31" s="222"/>
      <c r="Q31" s="223"/>
      <c r="R31" s="224"/>
      <c r="S31" s="225"/>
      <c r="T31" s="223"/>
      <c r="U31" s="224"/>
      <c r="V31" s="225"/>
      <c r="W31" s="223"/>
      <c r="X31" s="224"/>
      <c r="Y31" s="310">
        <f>M31+P31+S31++V31</f>
        <v>0</v>
      </c>
    </row>
    <row r="32" spans="1:28" s="78" customFormat="1" outlineLevel="2">
      <c r="A32" s="134" t="s">
        <v>218</v>
      </c>
      <c r="B32" s="134"/>
      <c r="C32" s="391"/>
      <c r="D32" s="94">
        <v>0</v>
      </c>
      <c r="E32" s="94">
        <f t="shared" si="10"/>
        <v>0</v>
      </c>
      <c r="F32" s="95">
        <f t="shared" si="14"/>
        <v>0</v>
      </c>
      <c r="G32" s="69">
        <f t="shared" si="15"/>
        <v>0</v>
      </c>
      <c r="H32" s="69">
        <f t="shared" si="15"/>
        <v>0</v>
      </c>
      <c r="I32" s="70"/>
      <c r="J32" s="188"/>
      <c r="K32" s="189"/>
      <c r="L32" s="190"/>
      <c r="M32" s="191"/>
      <c r="N32" s="192"/>
      <c r="O32" s="193"/>
      <c r="P32" s="191"/>
      <c r="Q32" s="192"/>
      <c r="R32" s="193"/>
      <c r="S32" s="194"/>
      <c r="T32" s="192"/>
      <c r="U32" s="193"/>
      <c r="V32" s="194"/>
      <c r="W32" s="192"/>
      <c r="X32" s="193"/>
    </row>
    <row r="33" spans="1:25" s="226" customFormat="1" outlineLevel="2">
      <c r="A33" s="132" t="s">
        <v>126</v>
      </c>
      <c r="B33" s="165" t="s">
        <v>219</v>
      </c>
      <c r="C33" s="394">
        <v>0.5</v>
      </c>
      <c r="D33" s="92">
        <f>450000*0.5</f>
        <v>225000</v>
      </c>
      <c r="E33" s="215">
        <f t="shared" si="10"/>
        <v>66079.009999999995</v>
      </c>
      <c r="F33" s="216">
        <f t="shared" si="14"/>
        <v>-158920.99</v>
      </c>
      <c r="G33" s="217">
        <f t="shared" si="15"/>
        <v>50</v>
      </c>
      <c r="H33" s="217">
        <f t="shared" si="15"/>
        <v>2.8263888888888888</v>
      </c>
      <c r="I33" s="218"/>
      <c r="J33" s="219">
        <v>66079.009999999995</v>
      </c>
      <c r="K33" s="220">
        <v>50</v>
      </c>
      <c r="L33" s="221">
        <v>2.8263888888888888</v>
      </c>
      <c r="M33" s="222"/>
      <c r="N33" s="223"/>
      <c r="O33" s="224"/>
      <c r="P33" s="222"/>
      <c r="Q33" s="223"/>
      <c r="R33" s="224"/>
      <c r="S33" s="225"/>
      <c r="T33" s="223"/>
      <c r="U33" s="224"/>
      <c r="V33" s="225"/>
      <c r="W33" s="223"/>
      <c r="X33" s="224"/>
      <c r="Y33" s="294">
        <f>J33+M33+P33</f>
        <v>66079.009999999995</v>
      </c>
    </row>
    <row r="34" spans="1:25" s="78" customFormat="1" outlineLevel="2">
      <c r="A34" s="134" t="s">
        <v>208</v>
      </c>
      <c r="B34" s="134"/>
      <c r="C34" s="391"/>
      <c r="D34" s="94">
        <v>0</v>
      </c>
      <c r="E34" s="94">
        <f t="shared" si="10"/>
        <v>0</v>
      </c>
      <c r="F34" s="95">
        <f t="shared" si="14"/>
        <v>0</v>
      </c>
      <c r="G34" s="69">
        <f t="shared" si="15"/>
        <v>0</v>
      </c>
      <c r="H34" s="69">
        <f t="shared" si="15"/>
        <v>0</v>
      </c>
      <c r="I34" s="70"/>
      <c r="J34" s="188"/>
      <c r="K34" s="189"/>
      <c r="L34" s="190"/>
      <c r="M34" s="191"/>
      <c r="N34" s="192"/>
      <c r="O34" s="193"/>
      <c r="P34" s="191"/>
      <c r="Q34" s="192"/>
      <c r="R34" s="193"/>
      <c r="S34" s="194"/>
      <c r="T34" s="192"/>
      <c r="U34" s="193"/>
      <c r="V34" s="194"/>
      <c r="W34" s="192"/>
      <c r="X34" s="193"/>
    </row>
    <row r="35" spans="1:25" s="78" customFormat="1" outlineLevel="2">
      <c r="A35" s="134" t="s">
        <v>210</v>
      </c>
      <c r="B35" s="134"/>
      <c r="C35" s="391"/>
      <c r="D35" s="94">
        <v>0</v>
      </c>
      <c r="E35" s="94">
        <f t="shared" si="10"/>
        <v>0</v>
      </c>
      <c r="F35" s="95">
        <f t="shared" si="14"/>
        <v>0</v>
      </c>
      <c r="G35" s="69">
        <f t="shared" si="15"/>
        <v>0</v>
      </c>
      <c r="H35" s="69">
        <f t="shared" si="15"/>
        <v>0</v>
      </c>
      <c r="I35" s="70"/>
      <c r="J35" s="188"/>
      <c r="K35" s="189"/>
      <c r="L35" s="190"/>
      <c r="M35" s="191"/>
      <c r="N35" s="192"/>
      <c r="O35" s="193"/>
      <c r="P35" s="191"/>
      <c r="Q35" s="192"/>
      <c r="R35" s="193"/>
      <c r="S35" s="194"/>
      <c r="T35" s="192"/>
      <c r="U35" s="193"/>
      <c r="V35" s="194"/>
      <c r="W35" s="192"/>
      <c r="X35" s="193"/>
    </row>
    <row r="36" spans="1:25" s="226" customFormat="1" outlineLevel="2">
      <c r="A36" s="301" t="s">
        <v>211</v>
      </c>
      <c r="B36" s="165" t="s">
        <v>225</v>
      </c>
      <c r="C36" s="394">
        <v>0.2</v>
      </c>
      <c r="D36" s="215">
        <v>20000</v>
      </c>
      <c r="E36" s="215">
        <f t="shared" si="10"/>
        <v>19893.650000000001</v>
      </c>
      <c r="F36" s="216">
        <f t="shared" si="14"/>
        <v>-106.34999999999854</v>
      </c>
      <c r="G36" s="217">
        <f t="shared" si="15"/>
        <v>5</v>
      </c>
      <c r="H36" s="217">
        <f t="shared" si="15"/>
        <v>0.71527777777777779</v>
      </c>
      <c r="I36" s="218"/>
      <c r="J36" s="219">
        <v>19893.650000000001</v>
      </c>
      <c r="K36" s="220">
        <v>5</v>
      </c>
      <c r="L36" s="221">
        <v>0.71527777777777779</v>
      </c>
      <c r="M36" s="222"/>
      <c r="N36" s="223"/>
      <c r="O36" s="224"/>
      <c r="P36" s="222"/>
      <c r="Q36" s="223"/>
      <c r="R36" s="224"/>
      <c r="S36" s="225"/>
      <c r="T36" s="223"/>
      <c r="U36" s="224"/>
      <c r="V36" s="225"/>
      <c r="W36" s="223"/>
      <c r="X36" s="224"/>
      <c r="Y36" s="310">
        <f>M36+P36+S36+V36</f>
        <v>0</v>
      </c>
    </row>
    <row r="37" spans="1:25" s="226" customFormat="1" outlineLevel="2">
      <c r="A37" s="301" t="s">
        <v>133</v>
      </c>
      <c r="B37" s="165" t="s">
        <v>226</v>
      </c>
      <c r="C37" s="394">
        <v>0.5</v>
      </c>
      <c r="D37" s="215">
        <v>40000</v>
      </c>
      <c r="E37" s="215">
        <f t="shared" si="10"/>
        <v>0</v>
      </c>
      <c r="F37" s="216">
        <f t="shared" si="14"/>
        <v>-40000</v>
      </c>
      <c r="G37" s="217">
        <f t="shared" si="15"/>
        <v>0</v>
      </c>
      <c r="H37" s="217">
        <f t="shared" si="15"/>
        <v>0</v>
      </c>
      <c r="I37" s="218"/>
      <c r="J37" s="219"/>
      <c r="K37" s="220"/>
      <c r="L37" s="221"/>
      <c r="M37" s="222"/>
      <c r="N37" s="223"/>
      <c r="O37" s="224"/>
      <c r="P37" s="222"/>
      <c r="Q37" s="223"/>
      <c r="R37" s="224"/>
      <c r="S37" s="225"/>
      <c r="T37" s="223"/>
      <c r="U37" s="224"/>
      <c r="V37" s="225"/>
      <c r="W37" s="223"/>
      <c r="X37" s="224"/>
    </row>
    <row r="38" spans="1:25" s="78" customFormat="1" outlineLevel="2">
      <c r="A38" s="308" t="s">
        <v>213</v>
      </c>
      <c r="B38" s="134"/>
      <c r="C38" s="391"/>
      <c r="D38" s="94">
        <v>0</v>
      </c>
      <c r="E38" s="94">
        <f t="shared" si="10"/>
        <v>0</v>
      </c>
      <c r="F38" s="95">
        <f t="shared" si="14"/>
        <v>0</v>
      </c>
      <c r="G38" s="69">
        <f t="shared" si="15"/>
        <v>0</v>
      </c>
      <c r="H38" s="69">
        <f t="shared" si="15"/>
        <v>0</v>
      </c>
      <c r="I38" s="70"/>
      <c r="J38" s="188"/>
      <c r="K38" s="189"/>
      <c r="L38" s="190"/>
      <c r="M38" s="191"/>
      <c r="N38" s="192"/>
      <c r="O38" s="193"/>
      <c r="P38" s="191"/>
      <c r="Q38" s="192"/>
      <c r="R38" s="193"/>
      <c r="S38" s="194"/>
      <c r="T38" s="192"/>
      <c r="U38" s="193"/>
      <c r="V38" s="194"/>
      <c r="W38" s="192"/>
      <c r="X38" s="193"/>
    </row>
    <row r="39" spans="1:25">
      <c r="A39" s="50" t="s">
        <v>34</v>
      </c>
      <c r="B39" s="50"/>
      <c r="C39" s="370"/>
      <c r="D39" s="99">
        <f>SUM(D40:D50)</f>
        <v>595000</v>
      </c>
      <c r="E39" s="99">
        <f t="shared" ref="E39:F39" si="17">SUM(E40:E50)</f>
        <v>77825</v>
      </c>
      <c r="F39" s="99">
        <f t="shared" si="17"/>
        <v>-517175</v>
      </c>
      <c r="G39" s="52">
        <f>SUM(G40:G50)</f>
        <v>60</v>
      </c>
      <c r="H39" s="52">
        <f>SUM(H40:H50)</f>
        <v>3.9861111111111112</v>
      </c>
      <c r="I39" s="37"/>
      <c r="J39" s="51">
        <f t="shared" ref="J39" si="18">SUM(J40:J50)</f>
        <v>77825</v>
      </c>
      <c r="K39" s="52">
        <f>SUM(K40:K50)</f>
        <v>60</v>
      </c>
      <c r="L39" s="52">
        <f>SUM(L40:L50)</f>
        <v>3.9861111111111112</v>
      </c>
      <c r="M39" s="51">
        <f t="shared" ref="M39" si="19">SUM(M40:M50)</f>
        <v>0</v>
      </c>
      <c r="N39" s="52">
        <f>SUM(N40:N50)</f>
        <v>0</v>
      </c>
      <c r="O39" s="52">
        <f>SUM(O40:O50)</f>
        <v>0</v>
      </c>
      <c r="P39" s="51">
        <f t="shared" ref="P39" si="20">SUM(P40:P50)</f>
        <v>0</v>
      </c>
      <c r="Q39" s="52">
        <f>SUM(Q40:Q50)</f>
        <v>0</v>
      </c>
      <c r="R39" s="52">
        <f>SUM(R40:R50)</f>
        <v>0</v>
      </c>
      <c r="S39" s="51">
        <f t="shared" ref="S39" si="21">SUM(S40:S50)</f>
        <v>0</v>
      </c>
      <c r="T39" s="52">
        <f>SUM(T40:T50)</f>
        <v>0</v>
      </c>
      <c r="U39" s="52">
        <f>SUM(U40:U50)</f>
        <v>0</v>
      </c>
      <c r="V39" s="51">
        <f t="shared" ref="V39" si="22">SUM(V40:V50)</f>
        <v>0</v>
      </c>
      <c r="W39" s="52">
        <f>SUM(W40:W50)</f>
        <v>0</v>
      </c>
      <c r="X39" s="52">
        <f>SUM(X40:X50)</f>
        <v>0</v>
      </c>
    </row>
    <row r="40" spans="1:25" s="78" customFormat="1" outlineLevel="2">
      <c r="A40" s="165" t="s">
        <v>227</v>
      </c>
      <c r="B40" s="165" t="s">
        <v>228</v>
      </c>
      <c r="C40" s="394">
        <v>0.6</v>
      </c>
      <c r="D40" s="215">
        <v>120000</v>
      </c>
      <c r="E40" s="215">
        <f t="shared" ref="E40:E50" si="23">+J40+M40+P40+S40+V40</f>
        <v>43155.199999999997</v>
      </c>
      <c r="F40" s="216">
        <f t="shared" si="14"/>
        <v>-76844.800000000003</v>
      </c>
      <c r="G40" s="217">
        <f t="shared" ref="G40:H50" si="24">+K40+N40+Q40+T40+W40</f>
        <v>41</v>
      </c>
      <c r="H40" s="217">
        <f t="shared" si="24"/>
        <v>2.5277777777777777</v>
      </c>
      <c r="I40" s="70"/>
      <c r="J40" s="195">
        <v>43155.199999999997</v>
      </c>
      <c r="K40" s="182">
        <v>41</v>
      </c>
      <c r="L40" s="183">
        <v>2.5277777777777777</v>
      </c>
      <c r="M40" s="305"/>
      <c r="N40" s="306"/>
      <c r="O40" s="307"/>
      <c r="P40" s="305"/>
      <c r="Q40" s="306"/>
      <c r="R40" s="307"/>
      <c r="S40" s="309"/>
      <c r="T40" s="306"/>
      <c r="U40" s="307"/>
      <c r="V40" s="309"/>
      <c r="W40" s="306"/>
      <c r="X40" s="307"/>
      <c r="Y40" s="312">
        <f>J40+M40+P40+S40+V40</f>
        <v>43155.199999999997</v>
      </c>
    </row>
    <row r="41" spans="1:25" s="226" customFormat="1" outlineLevel="2">
      <c r="A41" s="165" t="s">
        <v>200</v>
      </c>
      <c r="B41" s="165" t="s">
        <v>190</v>
      </c>
      <c r="C41" s="394">
        <v>1</v>
      </c>
      <c r="D41" s="215">
        <v>200000</v>
      </c>
      <c r="E41" s="215">
        <f t="shared" si="23"/>
        <v>6556</v>
      </c>
      <c r="F41" s="216">
        <f t="shared" si="14"/>
        <v>-193444</v>
      </c>
      <c r="G41" s="217">
        <f t="shared" si="24"/>
        <v>10</v>
      </c>
      <c r="H41" s="217">
        <f t="shared" si="24"/>
        <v>0.41666666666666669</v>
      </c>
      <c r="I41" s="218"/>
      <c r="J41" s="219">
        <v>6556</v>
      </c>
      <c r="K41" s="220">
        <v>10</v>
      </c>
      <c r="L41" s="221">
        <v>0.41666666666666669</v>
      </c>
      <c r="M41" s="222"/>
      <c r="N41" s="223"/>
      <c r="O41" s="224"/>
      <c r="P41" s="222"/>
      <c r="Q41" s="223"/>
      <c r="R41" s="224"/>
      <c r="S41" s="225"/>
      <c r="T41" s="223"/>
      <c r="U41" s="224"/>
      <c r="V41" s="225"/>
      <c r="W41" s="223"/>
      <c r="X41" s="224"/>
      <c r="Y41" s="310">
        <f>M41+P41+S41+V41</f>
        <v>0</v>
      </c>
    </row>
    <row r="42" spans="1:25" s="226" customFormat="1" outlineLevel="2">
      <c r="A42" s="165" t="s">
        <v>223</v>
      </c>
      <c r="B42" s="415" t="s">
        <v>238</v>
      </c>
      <c r="C42" s="394">
        <v>1</v>
      </c>
      <c r="D42" s="215">
        <v>0</v>
      </c>
      <c r="E42" s="215">
        <f t="shared" si="23"/>
        <v>0</v>
      </c>
      <c r="F42" s="216">
        <f t="shared" si="14"/>
        <v>0</v>
      </c>
      <c r="G42" s="217">
        <f t="shared" si="24"/>
        <v>0</v>
      </c>
      <c r="H42" s="217">
        <f t="shared" si="24"/>
        <v>0</v>
      </c>
      <c r="I42" s="218"/>
      <c r="J42" s="219"/>
      <c r="K42" s="220"/>
      <c r="L42" s="221"/>
      <c r="M42" s="222"/>
      <c r="N42" s="223"/>
      <c r="O42" s="224"/>
      <c r="P42" s="222"/>
      <c r="Q42" s="223"/>
      <c r="R42" s="224"/>
      <c r="S42" s="225"/>
      <c r="T42" s="223"/>
      <c r="U42" s="224"/>
      <c r="V42" s="225"/>
      <c r="W42" s="223"/>
      <c r="X42" s="224"/>
    </row>
    <row r="43" spans="1:25" s="226" customFormat="1" outlineLevel="2">
      <c r="A43" s="165" t="s">
        <v>224</v>
      </c>
      <c r="B43" s="415" t="s">
        <v>239</v>
      </c>
      <c r="C43" s="394">
        <v>1</v>
      </c>
      <c r="D43" s="215">
        <v>0</v>
      </c>
      <c r="E43" s="215">
        <f t="shared" si="23"/>
        <v>0</v>
      </c>
      <c r="F43" s="216">
        <f t="shared" si="14"/>
        <v>0</v>
      </c>
      <c r="G43" s="217">
        <f t="shared" si="24"/>
        <v>0</v>
      </c>
      <c r="H43" s="217">
        <f t="shared" si="24"/>
        <v>0</v>
      </c>
      <c r="I43" s="218"/>
      <c r="J43" s="219"/>
      <c r="K43" s="220"/>
      <c r="L43" s="221"/>
      <c r="M43" s="222"/>
      <c r="N43" s="223"/>
      <c r="O43" s="224"/>
      <c r="P43" s="222"/>
      <c r="Q43" s="223"/>
      <c r="R43" s="224"/>
      <c r="S43" s="225"/>
      <c r="T43" s="223"/>
      <c r="U43" s="224"/>
      <c r="V43" s="225"/>
      <c r="W43" s="223"/>
      <c r="X43" s="224"/>
    </row>
    <row r="44" spans="1:25" s="78" customFormat="1" outlineLevel="2">
      <c r="A44" s="134" t="s">
        <v>218</v>
      </c>
      <c r="B44" s="134"/>
      <c r="C44" s="391"/>
      <c r="D44" s="94">
        <v>0</v>
      </c>
      <c r="E44" s="94">
        <f t="shared" si="23"/>
        <v>0</v>
      </c>
      <c r="F44" s="95">
        <f t="shared" si="14"/>
        <v>0</v>
      </c>
      <c r="G44" s="69">
        <f t="shared" si="24"/>
        <v>0</v>
      </c>
      <c r="H44" s="69">
        <f t="shared" si="24"/>
        <v>0</v>
      </c>
      <c r="I44" s="70"/>
      <c r="J44" s="188"/>
      <c r="K44" s="189"/>
      <c r="L44" s="190"/>
      <c r="M44" s="191"/>
      <c r="N44" s="192"/>
      <c r="O44" s="193"/>
      <c r="P44" s="305"/>
      <c r="Q44" s="306"/>
      <c r="R44" s="307"/>
      <c r="S44" s="194"/>
      <c r="T44" s="192"/>
      <c r="U44" s="193"/>
      <c r="V44" s="309"/>
      <c r="W44" s="306"/>
      <c r="X44" s="307"/>
      <c r="Y44" s="313"/>
    </row>
    <row r="45" spans="1:25" s="78" customFormat="1" outlineLevel="2">
      <c r="A45" s="165" t="s">
        <v>126</v>
      </c>
      <c r="B45" s="165" t="s">
        <v>229</v>
      </c>
      <c r="C45" s="394">
        <v>0.5</v>
      </c>
      <c r="D45" s="215">
        <v>225000</v>
      </c>
      <c r="E45" s="215">
        <f t="shared" si="23"/>
        <v>13706</v>
      </c>
      <c r="F45" s="216">
        <f t="shared" si="14"/>
        <v>-211294</v>
      </c>
      <c r="G45" s="217">
        <f t="shared" si="24"/>
        <v>5</v>
      </c>
      <c r="H45" s="217">
        <f t="shared" si="24"/>
        <v>0.49305555555555558</v>
      </c>
      <c r="I45" s="70"/>
      <c r="J45" s="195">
        <v>13706</v>
      </c>
      <c r="K45" s="182">
        <v>5</v>
      </c>
      <c r="L45" s="183">
        <v>0.49305555555555558</v>
      </c>
      <c r="M45" s="305"/>
      <c r="N45" s="306"/>
      <c r="O45" s="307"/>
      <c r="P45" s="305"/>
      <c r="Q45" s="306"/>
      <c r="R45" s="307"/>
      <c r="S45" s="309"/>
      <c r="T45" s="306"/>
      <c r="U45" s="307"/>
      <c r="V45" s="309"/>
      <c r="W45" s="306"/>
      <c r="X45" s="307"/>
      <c r="Y45" s="410">
        <f>M45+P45+V45</f>
        <v>0</v>
      </c>
    </row>
    <row r="46" spans="1:25" s="78" customFormat="1" outlineLevel="2">
      <c r="A46" s="134" t="s">
        <v>208</v>
      </c>
      <c r="B46" s="134"/>
      <c r="C46" s="391"/>
      <c r="D46" s="94">
        <v>0</v>
      </c>
      <c r="E46" s="94">
        <f t="shared" si="23"/>
        <v>0</v>
      </c>
      <c r="F46" s="95">
        <f t="shared" si="14"/>
        <v>0</v>
      </c>
      <c r="G46" s="69">
        <f t="shared" si="24"/>
        <v>0</v>
      </c>
      <c r="H46" s="69">
        <f t="shared" si="24"/>
        <v>0</v>
      </c>
      <c r="I46" s="70"/>
      <c r="J46" s="188"/>
      <c r="K46" s="189"/>
      <c r="L46" s="190"/>
      <c r="M46" s="191"/>
      <c r="N46" s="192"/>
      <c r="O46" s="193"/>
      <c r="P46" s="191"/>
      <c r="Q46" s="192"/>
      <c r="R46" s="193"/>
      <c r="S46" s="194"/>
      <c r="T46" s="192"/>
      <c r="U46" s="193"/>
      <c r="V46" s="194"/>
      <c r="W46" s="192"/>
      <c r="X46" s="193"/>
    </row>
    <row r="47" spans="1:25" s="78" customFormat="1" outlineLevel="2">
      <c r="A47" s="134" t="s">
        <v>210</v>
      </c>
      <c r="B47" s="134"/>
      <c r="C47" s="391"/>
      <c r="D47" s="94">
        <v>0</v>
      </c>
      <c r="E47" s="94">
        <f t="shared" si="23"/>
        <v>0</v>
      </c>
      <c r="F47" s="95">
        <f t="shared" si="14"/>
        <v>0</v>
      </c>
      <c r="G47" s="69">
        <f t="shared" si="24"/>
        <v>0</v>
      </c>
      <c r="H47" s="69">
        <f t="shared" si="24"/>
        <v>0</v>
      </c>
      <c r="I47" s="70"/>
      <c r="J47" s="188"/>
      <c r="K47" s="189"/>
      <c r="L47" s="190"/>
      <c r="M47" s="191"/>
      <c r="N47" s="192"/>
      <c r="O47" s="193"/>
      <c r="P47" s="305"/>
      <c r="Q47" s="306"/>
      <c r="R47" s="307"/>
      <c r="S47" s="194"/>
      <c r="T47" s="192"/>
      <c r="U47" s="193"/>
      <c r="V47" s="309"/>
      <c r="W47" s="306"/>
      <c r="X47" s="307"/>
      <c r="Y47" s="313"/>
    </row>
    <row r="48" spans="1:25" s="78" customFormat="1" ht="15" outlineLevel="2">
      <c r="A48" s="165" t="s">
        <v>211</v>
      </c>
      <c r="B48" s="165" t="s">
        <v>180</v>
      </c>
      <c r="C48" s="394">
        <v>0.5</v>
      </c>
      <c r="D48" s="215">
        <v>50000</v>
      </c>
      <c r="E48" s="215">
        <f t="shared" si="23"/>
        <v>14407.8</v>
      </c>
      <c r="F48" s="216">
        <f t="shared" si="14"/>
        <v>-35592.199999999997</v>
      </c>
      <c r="G48" s="217">
        <f t="shared" si="24"/>
        <v>4</v>
      </c>
      <c r="H48" s="217">
        <f t="shared" si="24"/>
        <v>0.54861111111111116</v>
      </c>
      <c r="I48" s="70"/>
      <c r="J48" s="195">
        <v>14407.8</v>
      </c>
      <c r="K48" s="182">
        <v>4</v>
      </c>
      <c r="L48" s="183">
        <v>0.54861111111111116</v>
      </c>
      <c r="M48" s="191"/>
      <c r="N48" s="192"/>
      <c r="O48" s="193"/>
      <c r="P48" s="305"/>
      <c r="Q48" s="306"/>
      <c r="R48" s="307"/>
      <c r="S48" s="309"/>
      <c r="T48" s="306"/>
      <c r="U48" s="307"/>
      <c r="V48" s="309"/>
      <c r="W48" s="306"/>
      <c r="X48" s="307"/>
      <c r="Y48" s="410">
        <f>P48+S48+V48</f>
        <v>0</v>
      </c>
    </row>
    <row r="49" spans="1:25" s="78" customFormat="1" outlineLevel="2">
      <c r="A49" s="134" t="s">
        <v>133</v>
      </c>
      <c r="B49" s="134"/>
      <c r="C49" s="391"/>
      <c r="D49" s="94">
        <v>0</v>
      </c>
      <c r="E49" s="94">
        <f t="shared" si="23"/>
        <v>0</v>
      </c>
      <c r="F49" s="95">
        <f t="shared" si="14"/>
        <v>0</v>
      </c>
      <c r="G49" s="69">
        <f t="shared" si="24"/>
        <v>0</v>
      </c>
      <c r="H49" s="69">
        <f t="shared" si="24"/>
        <v>0</v>
      </c>
      <c r="I49" s="70"/>
      <c r="J49" s="188"/>
      <c r="K49" s="189"/>
      <c r="L49" s="190"/>
      <c r="M49" s="191"/>
      <c r="N49" s="192"/>
      <c r="O49" s="193"/>
      <c r="P49" s="305"/>
      <c r="Q49" s="306"/>
      <c r="R49" s="307"/>
      <c r="S49" s="194"/>
      <c r="T49" s="192"/>
      <c r="U49" s="193"/>
      <c r="V49" s="194"/>
      <c r="W49" s="192"/>
      <c r="X49" s="193"/>
    </row>
    <row r="50" spans="1:25" s="78" customFormat="1" outlineLevel="2">
      <c r="A50" s="134" t="s">
        <v>213</v>
      </c>
      <c r="B50" s="134"/>
      <c r="C50" s="391"/>
      <c r="D50" s="94">
        <v>0</v>
      </c>
      <c r="E50" s="94">
        <f t="shared" si="23"/>
        <v>0</v>
      </c>
      <c r="F50" s="95">
        <f t="shared" si="14"/>
        <v>0</v>
      </c>
      <c r="G50" s="69">
        <f t="shared" si="24"/>
        <v>0</v>
      </c>
      <c r="H50" s="69">
        <f t="shared" si="24"/>
        <v>0</v>
      </c>
      <c r="I50" s="70"/>
      <c r="J50" s="188"/>
      <c r="K50" s="189"/>
      <c r="L50" s="190"/>
      <c r="M50" s="191"/>
      <c r="N50" s="192"/>
      <c r="O50" s="193"/>
      <c r="P50" s="191"/>
      <c r="Q50" s="192"/>
      <c r="R50" s="193"/>
      <c r="S50" s="194"/>
      <c r="T50" s="192"/>
      <c r="U50" s="193"/>
      <c r="V50" s="194"/>
      <c r="W50" s="192"/>
      <c r="X50" s="193"/>
    </row>
    <row r="51" spans="1:25">
      <c r="A51" s="67" t="s">
        <v>38</v>
      </c>
      <c r="B51" s="67"/>
      <c r="C51" s="371"/>
      <c r="D51" s="100">
        <f>SUM(D52:D53)</f>
        <v>0</v>
      </c>
      <c r="E51" s="100">
        <f>SUM(E52:E53)</f>
        <v>0</v>
      </c>
      <c r="F51" s="100">
        <f>SUM(F52:F53)</f>
        <v>0</v>
      </c>
      <c r="G51" s="60">
        <f>SUM(G52:G53)</f>
        <v>0</v>
      </c>
      <c r="H51" s="60">
        <f>SUM(H52:H53)</f>
        <v>0</v>
      </c>
      <c r="I51" s="37"/>
      <c r="J51" s="59">
        <f t="shared" ref="J51:X51" si="25">SUM(J52:J53)</f>
        <v>0</v>
      </c>
      <c r="K51" s="60">
        <f t="shared" si="25"/>
        <v>0</v>
      </c>
      <c r="L51" s="60">
        <f t="shared" si="25"/>
        <v>0</v>
      </c>
      <c r="M51" s="59">
        <f t="shared" si="25"/>
        <v>0</v>
      </c>
      <c r="N51" s="60">
        <f t="shared" si="25"/>
        <v>0</v>
      </c>
      <c r="O51" s="60">
        <f t="shared" si="25"/>
        <v>0</v>
      </c>
      <c r="P51" s="59">
        <f t="shared" si="25"/>
        <v>0</v>
      </c>
      <c r="Q51" s="60">
        <f t="shared" si="25"/>
        <v>0</v>
      </c>
      <c r="R51" s="60">
        <f t="shared" si="25"/>
        <v>0</v>
      </c>
      <c r="S51" s="59">
        <f t="shared" si="25"/>
        <v>0</v>
      </c>
      <c r="T51" s="60">
        <f t="shared" si="25"/>
        <v>0</v>
      </c>
      <c r="U51" s="60">
        <f t="shared" si="25"/>
        <v>0</v>
      </c>
      <c r="V51" s="59">
        <f t="shared" si="25"/>
        <v>0</v>
      </c>
      <c r="W51" s="60">
        <f t="shared" si="25"/>
        <v>0</v>
      </c>
      <c r="X51" s="60">
        <f t="shared" si="25"/>
        <v>0</v>
      </c>
    </row>
    <row r="52" spans="1:25" outlineLevel="2">
      <c r="A52" s="134" t="s">
        <v>198</v>
      </c>
      <c r="B52" s="134"/>
      <c r="C52" s="367"/>
      <c r="D52" s="94">
        <v>0</v>
      </c>
      <c r="E52" s="94">
        <f t="shared" si="10"/>
        <v>0</v>
      </c>
      <c r="F52" s="95">
        <f t="shared" si="14"/>
        <v>0</v>
      </c>
      <c r="G52" s="69">
        <f t="shared" ref="G52:H53" si="26">+K52+N52+Q52+T52+W52</f>
        <v>0</v>
      </c>
      <c r="H52" s="69">
        <f t="shared" si="26"/>
        <v>0</v>
      </c>
      <c r="I52" s="37"/>
      <c r="J52" s="181"/>
      <c r="K52" s="182"/>
      <c r="L52" s="183"/>
      <c r="M52" s="184"/>
      <c r="N52" s="185"/>
      <c r="O52" s="186"/>
      <c r="P52" s="184"/>
      <c r="Q52" s="185"/>
      <c r="R52" s="186"/>
      <c r="S52" s="187"/>
      <c r="T52" s="185"/>
      <c r="U52" s="186"/>
      <c r="V52" s="187"/>
      <c r="W52" s="185"/>
      <c r="X52" s="186"/>
    </row>
    <row r="53" spans="1:25" s="78" customFormat="1" outlineLevel="2">
      <c r="A53" s="134" t="s">
        <v>200</v>
      </c>
      <c r="B53" s="134"/>
      <c r="C53" s="367"/>
      <c r="D53" s="94">
        <v>0</v>
      </c>
      <c r="E53" s="94">
        <f t="shared" si="10"/>
        <v>0</v>
      </c>
      <c r="F53" s="95">
        <f t="shared" si="14"/>
        <v>0</v>
      </c>
      <c r="G53" s="69">
        <f t="shared" si="26"/>
        <v>0</v>
      </c>
      <c r="H53" s="69">
        <f t="shared" si="26"/>
        <v>0</v>
      </c>
      <c r="I53" s="70"/>
      <c r="J53" s="188"/>
      <c r="K53" s="189"/>
      <c r="L53" s="190"/>
      <c r="M53" s="191"/>
      <c r="N53" s="192"/>
      <c r="O53" s="193"/>
      <c r="P53" s="191"/>
      <c r="Q53" s="192"/>
      <c r="R53" s="193"/>
      <c r="S53" s="194"/>
      <c r="T53" s="192"/>
      <c r="U53" s="193"/>
      <c r="V53" s="194"/>
      <c r="W53" s="192"/>
      <c r="X53" s="193"/>
    </row>
    <row r="54" spans="1:25">
      <c r="A54" s="47" t="s">
        <v>40</v>
      </c>
      <c r="B54" s="47"/>
      <c r="C54" s="372"/>
      <c r="D54" s="101">
        <f>SUM(D55:D56)</f>
        <v>0</v>
      </c>
      <c r="E54" s="101">
        <f>SUM(E55:E56)</f>
        <v>0</v>
      </c>
      <c r="F54" s="101">
        <f>SUM(F55:F56)</f>
        <v>0</v>
      </c>
      <c r="G54" s="49">
        <f>SUM(G55:G56)</f>
        <v>0</v>
      </c>
      <c r="H54" s="49">
        <f>SUM(H55:H56)</f>
        <v>0</v>
      </c>
      <c r="I54" s="37"/>
      <c r="J54" s="48">
        <f t="shared" ref="J54:X54" si="27">SUM(J55:J56)</f>
        <v>0</v>
      </c>
      <c r="K54" s="49">
        <f t="shared" si="27"/>
        <v>0</v>
      </c>
      <c r="L54" s="49">
        <f t="shared" si="27"/>
        <v>0</v>
      </c>
      <c r="M54" s="48">
        <f t="shared" si="27"/>
        <v>0</v>
      </c>
      <c r="N54" s="49">
        <f t="shared" si="27"/>
        <v>0</v>
      </c>
      <c r="O54" s="49">
        <f t="shared" si="27"/>
        <v>0</v>
      </c>
      <c r="P54" s="48">
        <f t="shared" si="27"/>
        <v>0</v>
      </c>
      <c r="Q54" s="49">
        <f t="shared" si="27"/>
        <v>0</v>
      </c>
      <c r="R54" s="49">
        <f t="shared" si="27"/>
        <v>0</v>
      </c>
      <c r="S54" s="48">
        <f t="shared" si="27"/>
        <v>0</v>
      </c>
      <c r="T54" s="49">
        <f t="shared" si="27"/>
        <v>0</v>
      </c>
      <c r="U54" s="49">
        <f t="shared" si="27"/>
        <v>0</v>
      </c>
      <c r="V54" s="48">
        <f t="shared" si="27"/>
        <v>0</v>
      </c>
      <c r="W54" s="49">
        <f t="shared" si="27"/>
        <v>0</v>
      </c>
      <c r="X54" s="49">
        <f t="shared" si="27"/>
        <v>0</v>
      </c>
    </row>
    <row r="55" spans="1:25" s="78" customFormat="1" outlineLevel="2">
      <c r="A55" s="134" t="s">
        <v>198</v>
      </c>
      <c r="B55" s="68"/>
      <c r="C55" s="413"/>
      <c r="D55" s="94">
        <v>0</v>
      </c>
      <c r="E55" s="94">
        <f t="shared" si="10"/>
        <v>0</v>
      </c>
      <c r="F55" s="95">
        <v>0</v>
      </c>
      <c r="G55" s="69">
        <f t="shared" ref="G55:H56" si="28">+K55+N55+Q55+T55+W55</f>
        <v>0</v>
      </c>
      <c r="H55" s="69">
        <f t="shared" si="28"/>
        <v>0</v>
      </c>
      <c r="I55" s="70"/>
      <c r="J55" s="188"/>
      <c r="K55" s="189"/>
      <c r="L55" s="190"/>
      <c r="M55" s="191"/>
      <c r="N55" s="192"/>
      <c r="O55" s="193"/>
      <c r="P55" s="191"/>
      <c r="Q55" s="192"/>
      <c r="R55" s="193"/>
      <c r="S55" s="194"/>
      <c r="T55" s="192"/>
      <c r="U55" s="193"/>
      <c r="V55" s="194"/>
      <c r="W55" s="192"/>
      <c r="X55" s="193"/>
    </row>
    <row r="56" spans="1:25" s="78" customFormat="1" outlineLevel="2">
      <c r="A56" s="134" t="s">
        <v>200</v>
      </c>
      <c r="B56" s="68"/>
      <c r="C56" s="373"/>
      <c r="D56" s="94">
        <v>0</v>
      </c>
      <c r="E56" s="94">
        <f t="shared" si="10"/>
        <v>0</v>
      </c>
      <c r="F56" s="95">
        <f t="shared" ref="F56" si="29">+E56-D56</f>
        <v>0</v>
      </c>
      <c r="G56" s="69">
        <f t="shared" si="28"/>
        <v>0</v>
      </c>
      <c r="H56" s="69">
        <f t="shared" si="28"/>
        <v>0</v>
      </c>
      <c r="I56" s="70"/>
      <c r="J56" s="188"/>
      <c r="K56" s="189"/>
      <c r="L56" s="190"/>
      <c r="M56" s="191"/>
      <c r="N56" s="192"/>
      <c r="O56" s="193"/>
      <c r="P56" s="191"/>
      <c r="Q56" s="192"/>
      <c r="R56" s="193"/>
      <c r="S56" s="194"/>
      <c r="T56" s="192"/>
      <c r="U56" s="193"/>
      <c r="V56" s="194"/>
      <c r="W56" s="192"/>
      <c r="X56" s="193"/>
    </row>
    <row r="57" spans="1:25">
      <c r="A57" s="198" t="s">
        <v>42</v>
      </c>
      <c r="B57" s="198"/>
      <c r="C57" s="374"/>
      <c r="D57" s="199">
        <f>SUM(D58:D59)</f>
        <v>0</v>
      </c>
      <c r="E57" s="199">
        <f>SUM(E58:E59)</f>
        <v>0</v>
      </c>
      <c r="F57" s="199">
        <f>SUM(F58:F59)</f>
        <v>0</v>
      </c>
      <c r="G57" s="200">
        <f>SUM(G58:G59)</f>
        <v>0</v>
      </c>
      <c r="H57" s="200">
        <f>SUM(H58:H59)</f>
        <v>0</v>
      </c>
      <c r="I57" s="37"/>
      <c r="J57" s="211">
        <f t="shared" ref="J57:X57" si="30">SUM(J58:J59)</f>
        <v>0</v>
      </c>
      <c r="K57" s="200">
        <f t="shared" si="30"/>
        <v>0</v>
      </c>
      <c r="L57" s="200">
        <f t="shared" si="30"/>
        <v>0</v>
      </c>
      <c r="M57" s="211">
        <f t="shared" si="30"/>
        <v>0</v>
      </c>
      <c r="N57" s="200">
        <f t="shared" si="30"/>
        <v>0</v>
      </c>
      <c r="O57" s="200">
        <f t="shared" si="30"/>
        <v>0</v>
      </c>
      <c r="P57" s="211">
        <f t="shared" si="30"/>
        <v>0</v>
      </c>
      <c r="Q57" s="200">
        <f t="shared" si="30"/>
        <v>0</v>
      </c>
      <c r="R57" s="200">
        <f t="shared" si="30"/>
        <v>0</v>
      </c>
      <c r="S57" s="211">
        <f t="shared" si="30"/>
        <v>0</v>
      </c>
      <c r="T57" s="200">
        <f t="shared" si="30"/>
        <v>0</v>
      </c>
      <c r="U57" s="200">
        <f t="shared" si="30"/>
        <v>0</v>
      </c>
      <c r="V57" s="211">
        <f t="shared" si="30"/>
        <v>0</v>
      </c>
      <c r="W57" s="200">
        <f t="shared" si="30"/>
        <v>0</v>
      </c>
      <c r="X57" s="200">
        <f t="shared" si="30"/>
        <v>0</v>
      </c>
    </row>
    <row r="58" spans="1:25" s="78" customFormat="1" outlineLevel="2">
      <c r="A58" s="134" t="s">
        <v>198</v>
      </c>
      <c r="B58" s="68"/>
      <c r="C58" s="373"/>
      <c r="D58" s="94">
        <v>0</v>
      </c>
      <c r="E58" s="94">
        <f t="shared" si="10"/>
        <v>0</v>
      </c>
      <c r="F58" s="95">
        <f t="shared" ref="F58:F59" si="31">+E58-D58</f>
        <v>0</v>
      </c>
      <c r="G58" s="69">
        <f t="shared" ref="G58:H59" si="32">+K58+N58+Q58+T58+W58</f>
        <v>0</v>
      </c>
      <c r="H58" s="69">
        <f t="shared" si="32"/>
        <v>0</v>
      </c>
      <c r="I58" s="70"/>
      <c r="J58" s="188"/>
      <c r="K58" s="189"/>
      <c r="L58" s="190"/>
      <c r="M58" s="191"/>
      <c r="N58" s="192"/>
      <c r="O58" s="193"/>
      <c r="P58" s="191"/>
      <c r="Q58" s="192"/>
      <c r="R58" s="193"/>
      <c r="S58" s="194"/>
      <c r="T58" s="192"/>
      <c r="U58" s="193"/>
      <c r="V58" s="194"/>
      <c r="W58" s="192"/>
      <c r="X58" s="193"/>
    </row>
    <row r="59" spans="1:25" s="78" customFormat="1" outlineLevel="2">
      <c r="A59" s="134" t="s">
        <v>200</v>
      </c>
      <c r="B59" s="68"/>
      <c r="C59" s="373"/>
      <c r="D59" s="94">
        <v>0</v>
      </c>
      <c r="E59" s="94">
        <f t="shared" si="10"/>
        <v>0</v>
      </c>
      <c r="F59" s="95">
        <f t="shared" si="31"/>
        <v>0</v>
      </c>
      <c r="G59" s="69">
        <f t="shared" si="32"/>
        <v>0</v>
      </c>
      <c r="H59" s="69">
        <f t="shared" si="32"/>
        <v>0</v>
      </c>
      <c r="I59" s="70"/>
      <c r="J59" s="188"/>
      <c r="K59" s="189"/>
      <c r="L59" s="190"/>
      <c r="M59" s="191"/>
      <c r="N59" s="192"/>
      <c r="O59" s="193"/>
      <c r="P59" s="191"/>
      <c r="Q59" s="192"/>
      <c r="R59" s="193"/>
      <c r="S59" s="194"/>
      <c r="T59" s="192"/>
      <c r="U59" s="193"/>
      <c r="V59" s="194"/>
      <c r="W59" s="192"/>
      <c r="X59" s="193"/>
    </row>
    <row r="60" spans="1:25">
      <c r="A60" s="198" t="s">
        <v>44</v>
      </c>
      <c r="B60" s="198"/>
      <c r="C60" s="374"/>
      <c r="D60" s="199">
        <f>SUM(D61:D68)</f>
        <v>527000</v>
      </c>
      <c r="E60" s="199">
        <f>SUM(E61:E68)</f>
        <v>38782.699999999997</v>
      </c>
      <c r="F60" s="199">
        <f>SUM(F61:F68)</f>
        <v>-488217.3</v>
      </c>
      <c r="G60" s="200">
        <f>SUM(G61:G62)</f>
        <v>37</v>
      </c>
      <c r="H60" s="200">
        <f>SUM(H61:H62)</f>
        <v>1.7881944444444444</v>
      </c>
      <c r="I60" s="37"/>
      <c r="J60" s="211">
        <f t="shared" ref="J60:X60" si="33">SUM(J61:J62)</f>
        <v>38782.699999999997</v>
      </c>
      <c r="K60" s="200">
        <f t="shared" si="33"/>
        <v>37</v>
      </c>
      <c r="L60" s="200">
        <f t="shared" si="33"/>
        <v>1.7881944444444444</v>
      </c>
      <c r="M60" s="211">
        <f t="shared" si="33"/>
        <v>0</v>
      </c>
      <c r="N60" s="200">
        <f t="shared" si="33"/>
        <v>0</v>
      </c>
      <c r="O60" s="200">
        <f t="shared" si="33"/>
        <v>0</v>
      </c>
      <c r="P60" s="211">
        <f t="shared" si="33"/>
        <v>0</v>
      </c>
      <c r="Q60" s="200">
        <f t="shared" si="33"/>
        <v>0</v>
      </c>
      <c r="R60" s="200">
        <f t="shared" si="33"/>
        <v>0</v>
      </c>
      <c r="S60" s="211">
        <f t="shared" si="33"/>
        <v>0</v>
      </c>
      <c r="T60" s="200">
        <f t="shared" si="33"/>
        <v>0</v>
      </c>
      <c r="U60" s="200">
        <f t="shared" si="33"/>
        <v>0</v>
      </c>
      <c r="V60" s="211">
        <f t="shared" si="33"/>
        <v>0</v>
      </c>
      <c r="W60" s="200">
        <f t="shared" si="33"/>
        <v>0</v>
      </c>
      <c r="X60" s="200">
        <f t="shared" si="33"/>
        <v>0</v>
      </c>
    </row>
    <row r="61" spans="1:25" s="226" customFormat="1" outlineLevel="2">
      <c r="A61" s="165" t="s">
        <v>227</v>
      </c>
      <c r="B61" s="315" t="s">
        <v>206</v>
      </c>
      <c r="C61" s="396">
        <v>1</v>
      </c>
      <c r="D61" s="215">
        <v>200000</v>
      </c>
      <c r="E61" s="215">
        <f t="shared" si="10"/>
        <v>21324.6</v>
      </c>
      <c r="F61" s="216">
        <f t="shared" si="14"/>
        <v>-178675.4</v>
      </c>
      <c r="G61" s="217">
        <f t="shared" ref="G61:H66" si="34">+K61+N61+Q61+T61+W61</f>
        <v>26</v>
      </c>
      <c r="H61" s="217">
        <f t="shared" si="34"/>
        <v>1.2083333333333333</v>
      </c>
      <c r="I61" s="218"/>
      <c r="J61" s="219">
        <v>21324.6</v>
      </c>
      <c r="K61" s="220">
        <v>26</v>
      </c>
      <c r="L61" s="221">
        <v>1.2083333333333333</v>
      </c>
      <c r="M61" s="222"/>
      <c r="N61" s="223"/>
      <c r="O61" s="224"/>
      <c r="P61" s="222"/>
      <c r="Q61" s="223"/>
      <c r="R61" s="224"/>
      <c r="S61" s="225"/>
      <c r="T61" s="223"/>
      <c r="U61" s="224"/>
      <c r="V61" s="225"/>
      <c r="W61" s="223"/>
      <c r="X61" s="224"/>
      <c r="Y61" s="294">
        <f>J61+M61+P61+S61+V61</f>
        <v>21324.6</v>
      </c>
    </row>
    <row r="62" spans="1:25" s="226" customFormat="1" outlineLevel="2">
      <c r="A62" s="165" t="s">
        <v>126</v>
      </c>
      <c r="B62" s="315" t="s">
        <v>231</v>
      </c>
      <c r="C62" s="412">
        <v>0.5</v>
      </c>
      <c r="D62" s="215">
        <v>75000</v>
      </c>
      <c r="E62" s="215">
        <f t="shared" si="10"/>
        <v>17458.099999999999</v>
      </c>
      <c r="F62" s="216">
        <f t="shared" si="14"/>
        <v>-57541.9</v>
      </c>
      <c r="G62" s="217">
        <f t="shared" si="34"/>
        <v>11</v>
      </c>
      <c r="H62" s="217">
        <f t="shared" si="34"/>
        <v>0.57986111111111116</v>
      </c>
      <c r="I62" s="218"/>
      <c r="J62" s="219">
        <v>17458.099999999999</v>
      </c>
      <c r="K62" s="220">
        <v>11</v>
      </c>
      <c r="L62" s="221">
        <v>0.57986111111111116</v>
      </c>
      <c r="M62" s="222"/>
      <c r="N62" s="223"/>
      <c r="O62" s="224"/>
      <c r="P62" s="222"/>
      <c r="Q62" s="223"/>
      <c r="R62" s="224"/>
      <c r="S62" s="225"/>
      <c r="T62" s="223"/>
      <c r="U62" s="224"/>
      <c r="V62" s="225"/>
      <c r="W62" s="223"/>
      <c r="X62" s="224"/>
      <c r="Y62" s="310">
        <f>M62+P62+S62+V62</f>
        <v>0</v>
      </c>
    </row>
    <row r="63" spans="1:25" s="226" customFormat="1" outlineLevel="2">
      <c r="A63" s="165" t="s">
        <v>232</v>
      </c>
      <c r="B63" s="315" t="s">
        <v>233</v>
      </c>
      <c r="C63" s="396">
        <v>1</v>
      </c>
      <c r="D63" s="215">
        <v>200000</v>
      </c>
      <c r="E63" s="215">
        <f>+J63+M63+P63+S63+V63</f>
        <v>0</v>
      </c>
      <c r="F63" s="216">
        <f t="shared" si="14"/>
        <v>-200000</v>
      </c>
      <c r="G63" s="217">
        <f t="shared" si="34"/>
        <v>0</v>
      </c>
      <c r="H63" s="217">
        <f t="shared" si="34"/>
        <v>0</v>
      </c>
      <c r="I63" s="218"/>
      <c r="J63" s="219"/>
      <c r="K63" s="220"/>
      <c r="L63" s="221"/>
      <c r="M63" s="222"/>
      <c r="N63" s="223"/>
      <c r="O63" s="224"/>
      <c r="P63" s="222"/>
      <c r="Q63" s="223"/>
      <c r="R63" s="224"/>
      <c r="S63" s="225"/>
      <c r="T63" s="223"/>
      <c r="U63" s="224"/>
      <c r="V63" s="225"/>
      <c r="W63" s="223"/>
      <c r="X63" s="224"/>
      <c r="Y63" s="310">
        <f>M63+P63+S63+V63</f>
        <v>0</v>
      </c>
    </row>
    <row r="64" spans="1:25" s="226" customFormat="1" outlineLevel="2">
      <c r="A64" s="165" t="s">
        <v>211</v>
      </c>
      <c r="B64" s="315" t="s">
        <v>234</v>
      </c>
      <c r="C64" s="412">
        <v>0.2</v>
      </c>
      <c r="D64" s="215">
        <v>12000</v>
      </c>
      <c r="E64" s="215">
        <f t="shared" ref="E64:E66" si="35">+J64+M64+P64+S64+V64</f>
        <v>0</v>
      </c>
      <c r="F64" s="216">
        <f t="shared" si="14"/>
        <v>-12000</v>
      </c>
      <c r="G64" s="217">
        <f t="shared" si="34"/>
        <v>0</v>
      </c>
      <c r="H64" s="217">
        <f t="shared" si="34"/>
        <v>0</v>
      </c>
      <c r="I64" s="218"/>
      <c r="J64" s="219"/>
      <c r="K64" s="220"/>
      <c r="L64" s="221"/>
      <c r="M64" s="222"/>
      <c r="N64" s="223"/>
      <c r="O64" s="224"/>
      <c r="P64" s="222"/>
      <c r="Q64" s="223"/>
      <c r="R64" s="224"/>
      <c r="S64" s="225"/>
      <c r="T64" s="223"/>
      <c r="U64" s="224"/>
      <c r="V64" s="225"/>
      <c r="W64" s="223"/>
      <c r="X64" s="224"/>
      <c r="Y64" s="310"/>
    </row>
    <row r="65" spans="1:25" s="226" customFormat="1" outlineLevel="2">
      <c r="A65" s="165" t="s">
        <v>133</v>
      </c>
      <c r="B65" s="301" t="s">
        <v>212</v>
      </c>
      <c r="C65" s="416">
        <v>0.3</v>
      </c>
      <c r="D65" s="215">
        <v>0</v>
      </c>
      <c r="E65" s="215">
        <f t="shared" si="35"/>
        <v>0</v>
      </c>
      <c r="F65" s="216">
        <f t="shared" si="14"/>
        <v>0</v>
      </c>
      <c r="G65" s="217">
        <f t="shared" si="34"/>
        <v>0</v>
      </c>
      <c r="H65" s="217">
        <f t="shared" si="34"/>
        <v>0</v>
      </c>
      <c r="I65" s="218"/>
      <c r="J65" s="219"/>
      <c r="K65" s="220"/>
      <c r="L65" s="221"/>
      <c r="M65" s="222"/>
      <c r="N65" s="223"/>
      <c r="O65" s="224"/>
      <c r="P65" s="222"/>
      <c r="Q65" s="223"/>
      <c r="R65" s="224"/>
      <c r="S65" s="225"/>
      <c r="T65" s="223"/>
      <c r="U65" s="224"/>
      <c r="V65" s="225"/>
      <c r="W65" s="223"/>
      <c r="X65" s="224"/>
      <c r="Y65" s="310"/>
    </row>
    <row r="66" spans="1:25" s="226" customFormat="1" outlineLevel="2">
      <c r="A66" s="165" t="s">
        <v>208</v>
      </c>
      <c r="B66" s="301" t="s">
        <v>230</v>
      </c>
      <c r="C66" s="416">
        <v>0.5</v>
      </c>
      <c r="D66" s="215">
        <v>40000</v>
      </c>
      <c r="E66" s="215">
        <f t="shared" si="35"/>
        <v>0</v>
      </c>
      <c r="F66" s="216">
        <f t="shared" si="14"/>
        <v>-40000</v>
      </c>
      <c r="G66" s="217">
        <f t="shared" si="34"/>
        <v>0</v>
      </c>
      <c r="H66" s="217">
        <f t="shared" si="34"/>
        <v>0</v>
      </c>
      <c r="I66" s="218"/>
      <c r="J66" s="219"/>
      <c r="K66" s="220"/>
      <c r="L66" s="221"/>
      <c r="M66" s="222"/>
      <c r="N66" s="223"/>
      <c r="O66" s="224"/>
      <c r="P66" s="222"/>
      <c r="Q66" s="223"/>
      <c r="R66" s="224"/>
      <c r="S66" s="225"/>
      <c r="T66" s="223"/>
      <c r="U66" s="224"/>
      <c r="V66" s="225"/>
      <c r="W66" s="223"/>
      <c r="X66" s="224"/>
      <c r="Y66" s="310"/>
    </row>
    <row r="67" spans="1:25" s="226" customFormat="1" outlineLevel="2">
      <c r="A67" s="134" t="s">
        <v>235</v>
      </c>
      <c r="B67" s="68"/>
      <c r="C67" s="373"/>
      <c r="D67" s="94"/>
      <c r="E67" s="94"/>
      <c r="F67" s="95"/>
      <c r="G67" s="69"/>
      <c r="H67" s="69"/>
      <c r="I67" s="218"/>
      <c r="J67" s="219"/>
      <c r="K67" s="220"/>
      <c r="L67" s="221"/>
      <c r="M67" s="222"/>
      <c r="N67" s="223"/>
      <c r="O67" s="224"/>
      <c r="P67" s="222"/>
      <c r="Q67" s="223"/>
      <c r="R67" s="224"/>
      <c r="S67" s="225"/>
      <c r="T67" s="223"/>
      <c r="U67" s="224"/>
      <c r="V67" s="225"/>
      <c r="W67" s="223"/>
      <c r="X67" s="224"/>
      <c r="Y67" s="310"/>
    </row>
    <row r="68" spans="1:25" s="226" customFormat="1" outlineLevel="2">
      <c r="A68" s="134" t="s">
        <v>235</v>
      </c>
      <c r="B68" s="68"/>
      <c r="C68" s="413"/>
      <c r="D68" s="94"/>
      <c r="E68" s="94"/>
      <c r="F68" s="95"/>
      <c r="G68" s="69"/>
      <c r="H68" s="69"/>
      <c r="I68" s="218"/>
      <c r="J68" s="219"/>
      <c r="K68" s="220"/>
      <c r="L68" s="221"/>
      <c r="M68" s="222"/>
      <c r="N68" s="223"/>
      <c r="O68" s="224"/>
      <c r="P68" s="222"/>
      <c r="Q68" s="223"/>
      <c r="R68" s="224"/>
      <c r="S68" s="225"/>
      <c r="T68" s="223"/>
      <c r="U68" s="224"/>
      <c r="V68" s="225"/>
      <c r="W68" s="223"/>
      <c r="X68" s="224"/>
      <c r="Y68" s="310"/>
    </row>
    <row r="69" spans="1:25" s="78" customFormat="1" outlineLevel="2">
      <c r="A69" s="398"/>
      <c r="B69" s="399"/>
      <c r="C69" s="400"/>
      <c r="D69" s="401"/>
      <c r="E69" s="401"/>
      <c r="F69" s="402"/>
      <c r="G69" s="79"/>
      <c r="H69" s="79"/>
      <c r="I69" s="80"/>
      <c r="J69" s="403"/>
      <c r="K69" s="404"/>
      <c r="L69" s="405"/>
      <c r="M69" s="406"/>
      <c r="N69" s="407"/>
      <c r="O69" s="408"/>
      <c r="P69" s="406"/>
      <c r="Q69" s="407"/>
      <c r="R69" s="408"/>
      <c r="S69" s="409"/>
      <c r="T69" s="407"/>
      <c r="U69" s="408"/>
      <c r="V69" s="409"/>
      <c r="W69" s="407"/>
      <c r="X69" s="408"/>
    </row>
    <row r="70" spans="1:25" ht="18">
      <c r="A70" s="138" t="s">
        <v>45</v>
      </c>
      <c r="B70" s="363"/>
      <c r="C70" s="375"/>
      <c r="D70" s="102">
        <f>+D60+D51+D39+D27+D15+D3+D57+D54</f>
        <v>4172000</v>
      </c>
      <c r="E70" s="102">
        <f>+E60+E51+E39+E27+E15+E3+E57+E54</f>
        <v>937463.16000000015</v>
      </c>
      <c r="F70" s="102">
        <f>+F60+F51+F39+F27+F15+F3+F57+F54</f>
        <v>-3234536.84</v>
      </c>
      <c r="G70" s="90">
        <f>+G60+G51+G39+G27+G15+G3+G57+G54</f>
        <v>763</v>
      </c>
      <c r="H70" s="90">
        <f>+H60+H51+H39+H27+H15+H3+H57+H54</f>
        <v>48.732638888888886</v>
      </c>
      <c r="I70" s="38"/>
      <c r="J70" s="196">
        <f t="shared" ref="J70:X70" si="36">+J60+J51+J39+J27+J15+J3+J57+J54</f>
        <v>937463.16000000015</v>
      </c>
      <c r="K70" s="197">
        <f t="shared" si="36"/>
        <v>763</v>
      </c>
      <c r="L70" s="197">
        <f t="shared" si="36"/>
        <v>48.732638888888886</v>
      </c>
      <c r="M70" s="196">
        <f t="shared" si="36"/>
        <v>0</v>
      </c>
      <c r="N70" s="197">
        <f t="shared" si="36"/>
        <v>0</v>
      </c>
      <c r="O70" s="197">
        <f t="shared" si="36"/>
        <v>0</v>
      </c>
      <c r="P70" s="196">
        <f t="shared" si="36"/>
        <v>0</v>
      </c>
      <c r="Q70" s="197">
        <f t="shared" si="36"/>
        <v>0</v>
      </c>
      <c r="R70" s="197">
        <f t="shared" si="36"/>
        <v>0</v>
      </c>
      <c r="S70" s="196">
        <f t="shared" si="36"/>
        <v>0</v>
      </c>
      <c r="T70" s="197">
        <f t="shared" si="36"/>
        <v>0</v>
      </c>
      <c r="U70" s="197">
        <f t="shared" si="36"/>
        <v>0</v>
      </c>
      <c r="V70" s="196">
        <f t="shared" si="36"/>
        <v>0</v>
      </c>
      <c r="W70" s="197">
        <f t="shared" si="36"/>
        <v>0</v>
      </c>
      <c r="X70" s="197">
        <f t="shared" si="36"/>
        <v>0</v>
      </c>
    </row>
    <row r="72" spans="1:25" ht="18">
      <c r="A72" s="137" t="s">
        <v>46</v>
      </c>
      <c r="B72" s="137"/>
      <c r="C72" s="376"/>
      <c r="D72" s="103" t="s">
        <v>7</v>
      </c>
      <c r="E72" s="103" t="s">
        <v>8</v>
      </c>
      <c r="F72" s="104" t="s">
        <v>9</v>
      </c>
      <c r="G72" s="33"/>
      <c r="H72" s="33"/>
      <c r="I72" s="39"/>
      <c r="L72" s="176"/>
      <c r="Y72" s="295">
        <f>Y4+Y5+Y7+Y8+Y9+Y10+Y12+Y16+Y17+Y18+Y19+Y21+Y24+Y28+Y29+Y30+Y31+Y33+Y36+Y40+Y41+Y45+Y48+Y61+Y62+Y68</f>
        <v>458578.39999999997</v>
      </c>
    </row>
    <row r="73" spans="1:25">
      <c r="A73" s="87" t="s">
        <v>47</v>
      </c>
      <c r="B73" s="87"/>
      <c r="C73" s="377"/>
      <c r="D73" s="105">
        <f>+D74+D86+D98+D110+D122+D131+D125+D128</f>
        <v>2152710</v>
      </c>
      <c r="E73" s="105">
        <f>+E74+E86+E98+E110+E122+E131+E125+E128</f>
        <v>0</v>
      </c>
      <c r="F73" s="106">
        <f>+E73-D73</f>
        <v>-2152710</v>
      </c>
    </row>
    <row r="74" spans="1:25" outlineLevel="1">
      <c r="A74" s="44" t="s">
        <v>48</v>
      </c>
      <c r="B74" s="44" t="str">
        <f>+B2</f>
        <v>jméno pracovníka</v>
      </c>
      <c r="C74" s="366" t="str">
        <f>+C2</f>
        <v>úvazek</v>
      </c>
      <c r="D74" s="107">
        <f>SUM(D75:D85)*1.34</f>
        <v>489100.00000000006</v>
      </c>
      <c r="E74" s="107">
        <f>SUM(E75:E85)*1.34</f>
        <v>0</v>
      </c>
      <c r="F74" s="108">
        <f>+E74-D74</f>
        <v>-489100.00000000006</v>
      </c>
    </row>
    <row r="75" spans="1:25" outlineLevel="2">
      <c r="A75" s="132" t="str">
        <f>+A4</f>
        <v>psych. sestra 1</v>
      </c>
      <c r="B75" s="132" t="str">
        <f t="shared" ref="B75:C75" si="37">+B4</f>
        <v>Náglová</v>
      </c>
      <c r="C75" s="389">
        <f t="shared" si="37"/>
        <v>1</v>
      </c>
      <c r="D75" s="93">
        <v>65000</v>
      </c>
      <c r="E75" s="93"/>
      <c r="F75" s="109">
        <f t="shared" ref="F75:F97" si="38">+E75-D75</f>
        <v>-65000</v>
      </c>
      <c r="H75" s="16"/>
      <c r="I75" s="40"/>
    </row>
    <row r="76" spans="1:25" outlineLevel="2">
      <c r="A76" s="132" t="str">
        <f t="shared" ref="A76:C85" si="39">+A5</f>
        <v>psych. sestra 2</v>
      </c>
      <c r="B76" s="132" t="str">
        <f t="shared" si="39"/>
        <v>Hajasová</v>
      </c>
      <c r="C76" s="389">
        <f t="shared" si="39"/>
        <v>1</v>
      </c>
      <c r="D76" s="93">
        <v>47000</v>
      </c>
      <c r="E76" s="93"/>
      <c r="F76" s="109">
        <f t="shared" si="38"/>
        <v>-47000</v>
      </c>
      <c r="H76" s="16"/>
      <c r="I76" s="40"/>
    </row>
    <row r="77" spans="1:25" s="175" customFormat="1" outlineLevel="2">
      <c r="A77" s="165" t="str">
        <f t="shared" si="39"/>
        <v>všeob. sestra 5</v>
      </c>
      <c r="B77" s="165" t="str">
        <f t="shared" si="39"/>
        <v>Kostková</v>
      </c>
      <c r="C77" s="394">
        <f t="shared" si="39"/>
        <v>1</v>
      </c>
      <c r="D77" s="166">
        <v>57000</v>
      </c>
      <c r="E77" s="166"/>
      <c r="F77" s="167">
        <f t="shared" si="38"/>
        <v>-57000</v>
      </c>
      <c r="G77" s="168"/>
      <c r="H77" s="168"/>
      <c r="I77" s="169"/>
      <c r="J77" s="170"/>
      <c r="K77" s="171"/>
      <c r="L77" s="228"/>
      <c r="M77" s="170"/>
      <c r="N77" s="172"/>
      <c r="O77" s="173"/>
      <c r="P77" s="170"/>
      <c r="Q77" s="172"/>
      <c r="R77" s="174"/>
      <c r="S77" s="170"/>
      <c r="T77" s="172"/>
      <c r="U77" s="174"/>
      <c r="V77" s="170"/>
      <c r="W77" s="172"/>
      <c r="X77" s="174"/>
    </row>
    <row r="78" spans="1:25" s="78" customFormat="1" outlineLevel="2">
      <c r="A78" s="132" t="str">
        <f t="shared" si="39"/>
        <v>všeob. sestra 4</v>
      </c>
      <c r="B78" s="299" t="str">
        <f t="shared" si="39"/>
        <v>Grežová</v>
      </c>
      <c r="C78" s="389">
        <f t="shared" si="39"/>
        <v>1</v>
      </c>
      <c r="D78" s="298">
        <v>55000</v>
      </c>
      <c r="E78" s="93"/>
      <c r="F78" s="167">
        <f t="shared" si="38"/>
        <v>-55000</v>
      </c>
      <c r="G78" s="79"/>
      <c r="H78" s="79"/>
      <c r="I78" s="80"/>
      <c r="J78" s="81"/>
      <c r="K78" s="82"/>
      <c r="L78" s="82"/>
      <c r="M78" s="81"/>
      <c r="N78" s="84"/>
      <c r="O78" s="85"/>
      <c r="P78" s="81"/>
      <c r="Q78" s="84"/>
      <c r="R78" s="86"/>
      <c r="S78" s="81"/>
      <c r="T78" s="84"/>
      <c r="U78" s="86"/>
      <c r="V78" s="81"/>
      <c r="W78" s="84"/>
      <c r="X78" s="86"/>
    </row>
    <row r="79" spans="1:25" s="164" customFormat="1" outlineLevel="2">
      <c r="A79" s="134" t="str">
        <f t="shared" si="39"/>
        <v>všeob. sestra 5</v>
      </c>
      <c r="B79" s="134">
        <f t="shared" si="39"/>
        <v>0</v>
      </c>
      <c r="C79" s="391">
        <f t="shared" si="39"/>
        <v>1</v>
      </c>
      <c r="D79" s="155">
        <v>0</v>
      </c>
      <c r="E79" s="155"/>
      <c r="F79" s="156">
        <f t="shared" si="38"/>
        <v>0</v>
      </c>
      <c r="G79" s="157"/>
      <c r="H79" s="157"/>
      <c r="I79" s="158"/>
      <c r="J79" s="159"/>
      <c r="K79" s="160"/>
      <c r="L79" s="160"/>
      <c r="M79" s="159"/>
      <c r="N79" s="161"/>
      <c r="O79" s="162"/>
      <c r="P79" s="159"/>
      <c r="Q79" s="161"/>
      <c r="R79" s="163"/>
      <c r="S79" s="159"/>
      <c r="T79" s="161"/>
      <c r="U79" s="163"/>
      <c r="V79" s="159"/>
      <c r="W79" s="161"/>
      <c r="X79" s="163"/>
    </row>
    <row r="80" spans="1:25" outlineLevel="2">
      <c r="A80" s="132" t="str">
        <f t="shared" si="39"/>
        <v>psychiatr 1</v>
      </c>
      <c r="B80" s="132" t="str">
        <f t="shared" si="39"/>
        <v>Gábel</v>
      </c>
      <c r="C80" s="389">
        <f t="shared" si="39"/>
        <v>0.2</v>
      </c>
      <c r="D80" s="93">
        <v>16000</v>
      </c>
      <c r="E80" s="93"/>
      <c r="F80" s="109">
        <f t="shared" si="38"/>
        <v>-16000</v>
      </c>
      <c r="H80" s="16"/>
      <c r="I80" s="40"/>
      <c r="L80" s="82"/>
    </row>
    <row r="81" spans="1:24" outlineLevel="2">
      <c r="A81" s="132" t="str">
        <f t="shared" si="39"/>
        <v xml:space="preserve">psychiatr 2 </v>
      </c>
      <c r="B81" s="132" t="str">
        <f t="shared" si="39"/>
        <v>Pfeiffer</v>
      </c>
      <c r="C81" s="389">
        <f t="shared" si="39"/>
        <v>0.5</v>
      </c>
      <c r="D81" s="93">
        <v>85000</v>
      </c>
      <c r="E81" s="93"/>
      <c r="F81" s="109">
        <f t="shared" si="38"/>
        <v>-85000</v>
      </c>
      <c r="H81" s="16"/>
      <c r="I81" s="40"/>
      <c r="L81" s="82"/>
    </row>
    <row r="82" spans="1:24" s="164" customFormat="1" outlineLevel="2">
      <c r="A82" s="134" t="str">
        <f t="shared" si="39"/>
        <v>psychiatr 3</v>
      </c>
      <c r="B82" s="134">
        <f t="shared" si="39"/>
        <v>0</v>
      </c>
      <c r="C82" s="391">
        <f t="shared" si="39"/>
        <v>0</v>
      </c>
      <c r="D82" s="155">
        <v>0</v>
      </c>
      <c r="E82" s="155"/>
      <c r="F82" s="156">
        <f t="shared" si="38"/>
        <v>0</v>
      </c>
      <c r="G82" s="157"/>
      <c r="H82" s="157"/>
      <c r="I82" s="158"/>
      <c r="J82" s="159"/>
      <c r="K82" s="160"/>
      <c r="L82" s="160"/>
      <c r="M82" s="159"/>
      <c r="N82" s="161"/>
      <c r="O82" s="162"/>
      <c r="P82" s="159"/>
      <c r="Q82" s="161"/>
      <c r="R82" s="163"/>
      <c r="S82" s="159"/>
      <c r="T82" s="161"/>
      <c r="U82" s="163"/>
      <c r="V82" s="159"/>
      <c r="W82" s="161"/>
      <c r="X82" s="163"/>
    </row>
    <row r="83" spans="1:24" s="175" customFormat="1" outlineLevel="2">
      <c r="A83" s="132" t="str">
        <f t="shared" si="39"/>
        <v>psycholog 1</v>
      </c>
      <c r="B83" s="132" t="str">
        <f t="shared" si="39"/>
        <v>Balko</v>
      </c>
      <c r="C83" s="389">
        <f t="shared" si="39"/>
        <v>0.5</v>
      </c>
      <c r="D83" s="166">
        <v>40000</v>
      </c>
      <c r="E83" s="93"/>
      <c r="F83" s="167">
        <f t="shared" si="38"/>
        <v>-40000</v>
      </c>
      <c r="G83" s="168"/>
      <c r="H83" s="168"/>
      <c r="I83" s="169"/>
      <c r="J83" s="170"/>
      <c r="K83" s="171"/>
      <c r="L83" s="171"/>
      <c r="M83" s="170"/>
      <c r="N83" s="172"/>
      <c r="O83" s="173"/>
      <c r="P83" s="170"/>
      <c r="Q83" s="172"/>
      <c r="R83" s="174"/>
      <c r="S83" s="170"/>
      <c r="T83" s="172"/>
      <c r="U83" s="174"/>
      <c r="V83" s="170"/>
      <c r="W83" s="172"/>
      <c r="X83" s="174"/>
    </row>
    <row r="84" spans="1:24" s="164" customFormat="1" outlineLevel="2">
      <c r="A84" s="134" t="str">
        <f t="shared" si="39"/>
        <v xml:space="preserve">psycholog 2 </v>
      </c>
      <c r="B84" s="134">
        <f t="shared" si="39"/>
        <v>0</v>
      </c>
      <c r="C84" s="391">
        <f t="shared" si="39"/>
        <v>0</v>
      </c>
      <c r="D84" s="155">
        <v>0</v>
      </c>
      <c r="E84" s="155"/>
      <c r="F84" s="156">
        <f t="shared" si="38"/>
        <v>0</v>
      </c>
      <c r="G84" s="157"/>
      <c r="H84" s="157"/>
      <c r="I84" s="158"/>
      <c r="J84" s="159"/>
      <c r="K84" s="160"/>
      <c r="L84" s="160"/>
      <c r="M84" s="159"/>
      <c r="N84" s="161"/>
      <c r="O84" s="162"/>
      <c r="P84" s="159"/>
      <c r="Q84" s="161"/>
      <c r="R84" s="163"/>
      <c r="S84" s="159"/>
      <c r="T84" s="161"/>
      <c r="U84" s="163"/>
      <c r="V84" s="159"/>
      <c r="W84" s="161"/>
      <c r="X84" s="163"/>
    </row>
    <row r="85" spans="1:24" s="164" customFormat="1" outlineLevel="2">
      <c r="A85" s="134" t="str">
        <f t="shared" si="39"/>
        <v xml:space="preserve">psycholog 3 </v>
      </c>
      <c r="B85" s="134">
        <f t="shared" si="39"/>
        <v>0</v>
      </c>
      <c r="C85" s="391">
        <f t="shared" si="39"/>
        <v>0</v>
      </c>
      <c r="D85" s="155">
        <v>0</v>
      </c>
      <c r="E85" s="155"/>
      <c r="F85" s="156">
        <f t="shared" si="38"/>
        <v>0</v>
      </c>
      <c r="G85" s="157"/>
      <c r="H85" s="157"/>
      <c r="I85" s="158"/>
      <c r="J85" s="159"/>
      <c r="K85" s="160"/>
      <c r="L85" s="160"/>
      <c r="M85" s="159"/>
      <c r="N85" s="161"/>
      <c r="O85" s="162"/>
      <c r="P85" s="159"/>
      <c r="Q85" s="161"/>
      <c r="R85" s="163"/>
      <c r="S85" s="159"/>
      <c r="T85" s="161"/>
      <c r="U85" s="163"/>
      <c r="V85" s="159"/>
      <c r="W85" s="161"/>
      <c r="X85" s="163"/>
    </row>
    <row r="86" spans="1:24" outlineLevel="1">
      <c r="A86" s="58" t="s">
        <v>52</v>
      </c>
      <c r="B86" s="58" t="str">
        <f>+B2</f>
        <v>jméno pracovníka</v>
      </c>
      <c r="C86" s="368" t="str">
        <f>+C2</f>
        <v>úvazek</v>
      </c>
      <c r="D86" s="111">
        <f>SUM(D87:D97)*1.34</f>
        <v>482400</v>
      </c>
      <c r="E86" s="111">
        <f>SUM(E87:E97)*1.34</f>
        <v>0</v>
      </c>
      <c r="F86" s="112">
        <f>+E86-D86</f>
        <v>-482400</v>
      </c>
      <c r="H86" s="16"/>
      <c r="I86" s="40"/>
      <c r="L86" s="82"/>
    </row>
    <row r="87" spans="1:24" outlineLevel="2">
      <c r="A87" s="132" t="str">
        <f>+A16</f>
        <v>psych. sestra 1</v>
      </c>
      <c r="B87" s="132" t="str">
        <f t="shared" ref="B87:C87" si="40">+B16</f>
        <v>Blažková</v>
      </c>
      <c r="C87" s="389">
        <f t="shared" si="40"/>
        <v>1</v>
      </c>
      <c r="D87" s="93">
        <v>55000</v>
      </c>
      <c r="E87" s="93"/>
      <c r="F87" s="109">
        <f t="shared" si="38"/>
        <v>-55000</v>
      </c>
      <c r="H87" s="16"/>
      <c r="I87" s="40"/>
      <c r="L87" s="82"/>
    </row>
    <row r="88" spans="1:24" s="175" customFormat="1" outlineLevel="2">
      <c r="A88" s="132" t="str">
        <f t="shared" ref="A88:C97" si="41">+A17</f>
        <v>psych. sestra 2</v>
      </c>
      <c r="B88" s="132" t="str">
        <f t="shared" si="41"/>
        <v xml:space="preserve">Pátková </v>
      </c>
      <c r="C88" s="389">
        <f t="shared" si="41"/>
        <v>1</v>
      </c>
      <c r="D88" s="166">
        <v>65000</v>
      </c>
      <c r="E88" s="93"/>
      <c r="F88" s="167">
        <f t="shared" si="38"/>
        <v>-65000</v>
      </c>
      <c r="G88" s="168"/>
      <c r="H88" s="168"/>
      <c r="I88" s="169"/>
      <c r="J88" s="170"/>
      <c r="K88" s="171"/>
      <c r="L88" s="171"/>
      <c r="M88" s="170"/>
      <c r="N88" s="172"/>
      <c r="O88" s="173"/>
      <c r="P88" s="170"/>
      <c r="Q88" s="172"/>
      <c r="R88" s="174"/>
      <c r="S88" s="170"/>
      <c r="T88" s="172"/>
      <c r="U88" s="174"/>
      <c r="V88" s="170"/>
      <c r="W88" s="172"/>
      <c r="X88" s="174"/>
    </row>
    <row r="89" spans="1:24" s="175" customFormat="1" outlineLevel="2">
      <c r="A89" s="132" t="str">
        <f t="shared" si="41"/>
        <v>všeob. sestra 3</v>
      </c>
      <c r="B89" s="132" t="str">
        <f t="shared" si="41"/>
        <v xml:space="preserve">Vaculínová </v>
      </c>
      <c r="C89" s="389">
        <f t="shared" si="41"/>
        <v>1</v>
      </c>
      <c r="D89" s="166">
        <v>50000</v>
      </c>
      <c r="E89" s="93"/>
      <c r="F89" s="167">
        <f t="shared" si="38"/>
        <v>-50000</v>
      </c>
      <c r="G89" s="168"/>
      <c r="H89" s="168"/>
      <c r="I89" s="169"/>
      <c r="J89" s="170"/>
      <c r="K89" s="171"/>
      <c r="L89" s="171"/>
      <c r="M89" s="170"/>
      <c r="N89" s="172"/>
      <c r="O89" s="173"/>
      <c r="P89" s="170"/>
      <c r="Q89" s="172"/>
      <c r="R89" s="174"/>
      <c r="S89" s="170"/>
      <c r="T89" s="172"/>
      <c r="U89" s="174"/>
      <c r="V89" s="170"/>
      <c r="W89" s="172"/>
      <c r="X89" s="174"/>
    </row>
    <row r="90" spans="1:24" s="175" customFormat="1" outlineLevel="2">
      <c r="A90" s="132" t="str">
        <f t="shared" si="41"/>
        <v>všeob. sestra 4</v>
      </c>
      <c r="B90" s="299" t="str">
        <f t="shared" si="41"/>
        <v>Nebušková</v>
      </c>
      <c r="C90" s="389">
        <f t="shared" si="41"/>
        <v>1</v>
      </c>
      <c r="D90" s="298">
        <v>55000</v>
      </c>
      <c r="E90" s="93"/>
      <c r="F90" s="167">
        <f t="shared" si="38"/>
        <v>-55000</v>
      </c>
      <c r="G90" s="168"/>
      <c r="H90" s="168"/>
      <c r="I90" s="169"/>
      <c r="J90" s="170"/>
      <c r="K90" s="171"/>
      <c r="L90" s="171"/>
      <c r="M90" s="170"/>
      <c r="N90" s="227"/>
      <c r="O90" s="173"/>
      <c r="P90" s="170"/>
      <c r="Q90" s="172"/>
      <c r="R90" s="174"/>
      <c r="S90" s="170"/>
      <c r="T90" s="172"/>
      <c r="U90" s="174"/>
      <c r="V90" s="170"/>
      <c r="W90" s="172"/>
      <c r="X90" s="174"/>
    </row>
    <row r="91" spans="1:24" s="164" customFormat="1" outlineLevel="2">
      <c r="A91" s="134" t="str">
        <f t="shared" si="41"/>
        <v>psych. sestra 5</v>
      </c>
      <c r="B91" s="134">
        <f t="shared" si="41"/>
        <v>0</v>
      </c>
      <c r="C91" s="391">
        <f t="shared" si="41"/>
        <v>0</v>
      </c>
      <c r="D91" s="155">
        <v>0</v>
      </c>
      <c r="E91" s="155"/>
      <c r="F91" s="156">
        <f t="shared" si="38"/>
        <v>0</v>
      </c>
      <c r="G91" s="157"/>
      <c r="H91" s="157"/>
      <c r="I91" s="158"/>
      <c r="J91" s="159"/>
      <c r="K91" s="160"/>
      <c r="L91" s="160"/>
      <c r="M91" s="159"/>
      <c r="N91" s="161"/>
      <c r="O91" s="162"/>
      <c r="P91" s="159"/>
      <c r="Q91" s="161"/>
      <c r="R91" s="163"/>
      <c r="S91" s="159"/>
      <c r="T91" s="161"/>
      <c r="U91" s="163"/>
      <c r="V91" s="159"/>
      <c r="W91" s="161"/>
      <c r="X91" s="163"/>
    </row>
    <row r="92" spans="1:24" s="175" customFormat="1" outlineLevel="2">
      <c r="A92" s="165" t="str">
        <f t="shared" si="41"/>
        <v>psychiatr 1</v>
      </c>
      <c r="B92" s="165" t="str">
        <f t="shared" si="41"/>
        <v>Suchánková</v>
      </c>
      <c r="C92" s="394">
        <f t="shared" si="41"/>
        <v>0.5</v>
      </c>
      <c r="D92" s="166">
        <v>80000</v>
      </c>
      <c r="E92" s="166"/>
      <c r="F92" s="167">
        <f t="shared" si="38"/>
        <v>-80000</v>
      </c>
      <c r="G92" s="168"/>
      <c r="H92" s="168"/>
      <c r="I92" s="169"/>
      <c r="J92" s="170"/>
      <c r="K92" s="171"/>
      <c r="L92" s="171"/>
      <c r="M92" s="170"/>
      <c r="N92" s="172"/>
      <c r="O92" s="173"/>
      <c r="P92" s="170"/>
      <c r="Q92" s="172"/>
      <c r="R92" s="174"/>
      <c r="S92" s="170"/>
      <c r="T92" s="172"/>
      <c r="U92" s="174"/>
      <c r="V92" s="170"/>
      <c r="W92" s="172"/>
      <c r="X92" s="174"/>
    </row>
    <row r="93" spans="1:24" s="164" customFormat="1" outlineLevel="2">
      <c r="A93" s="134" t="str">
        <f t="shared" si="41"/>
        <v xml:space="preserve">psychiatr 2 </v>
      </c>
      <c r="B93" s="134">
        <f t="shared" si="41"/>
        <v>0</v>
      </c>
      <c r="C93" s="391">
        <f t="shared" si="41"/>
        <v>0</v>
      </c>
      <c r="D93" s="155">
        <v>0</v>
      </c>
      <c r="E93" s="155"/>
      <c r="F93" s="156">
        <f t="shared" si="38"/>
        <v>0</v>
      </c>
      <c r="G93" s="157"/>
      <c r="H93" s="157"/>
      <c r="I93" s="158"/>
      <c r="J93" s="159"/>
      <c r="K93" s="160"/>
      <c r="L93" s="160"/>
      <c r="M93" s="159"/>
      <c r="N93" s="161"/>
      <c r="O93" s="162"/>
      <c r="P93" s="159"/>
      <c r="Q93" s="161"/>
      <c r="R93" s="163"/>
      <c r="S93" s="159"/>
      <c r="T93" s="161"/>
      <c r="U93" s="163"/>
      <c r="V93" s="159"/>
      <c r="W93" s="161"/>
      <c r="X93" s="163"/>
    </row>
    <row r="94" spans="1:24" s="164" customFormat="1" outlineLevel="2">
      <c r="A94" s="134" t="str">
        <f t="shared" si="41"/>
        <v>psychiatr 3</v>
      </c>
      <c r="B94" s="134">
        <f t="shared" si="41"/>
        <v>0</v>
      </c>
      <c r="C94" s="391">
        <f t="shared" si="41"/>
        <v>0</v>
      </c>
      <c r="D94" s="155">
        <v>0</v>
      </c>
      <c r="E94" s="155"/>
      <c r="F94" s="156">
        <f t="shared" si="38"/>
        <v>0</v>
      </c>
      <c r="G94" s="157"/>
      <c r="H94" s="157"/>
      <c r="I94" s="158"/>
      <c r="J94" s="159"/>
      <c r="K94" s="160"/>
      <c r="L94" s="160"/>
      <c r="M94" s="159"/>
      <c r="N94" s="161"/>
      <c r="O94" s="162"/>
      <c r="P94" s="159"/>
      <c r="Q94" s="161"/>
      <c r="R94" s="163"/>
      <c r="S94" s="159"/>
      <c r="T94" s="161"/>
      <c r="U94" s="163"/>
      <c r="V94" s="159"/>
      <c r="W94" s="161"/>
      <c r="X94" s="163"/>
    </row>
    <row r="95" spans="1:24" s="175" customFormat="1" outlineLevel="2">
      <c r="A95" s="165" t="str">
        <f t="shared" si="41"/>
        <v>psycholog 1</v>
      </c>
      <c r="B95" s="165" t="str">
        <f t="shared" si="41"/>
        <v>Suchopová</v>
      </c>
      <c r="C95" s="394">
        <f t="shared" si="41"/>
        <v>0.4</v>
      </c>
      <c r="D95" s="166">
        <v>40000</v>
      </c>
      <c r="E95" s="166"/>
      <c r="F95" s="167">
        <f t="shared" si="38"/>
        <v>-40000</v>
      </c>
      <c r="G95" s="168"/>
      <c r="H95" s="168"/>
      <c r="I95" s="169"/>
      <c r="J95" s="170"/>
      <c r="K95" s="171"/>
      <c r="L95" s="171"/>
      <c r="M95" s="170"/>
      <c r="N95" s="172"/>
      <c r="O95" s="173"/>
      <c r="P95" s="170"/>
      <c r="Q95" s="172"/>
      <c r="R95" s="174"/>
      <c r="S95" s="170"/>
      <c r="T95" s="172"/>
      <c r="U95" s="174"/>
      <c r="V95" s="170"/>
      <c r="W95" s="172"/>
      <c r="X95" s="174"/>
    </row>
    <row r="96" spans="1:24" s="175" customFormat="1" outlineLevel="2">
      <c r="A96" s="165" t="str">
        <f t="shared" si="41"/>
        <v xml:space="preserve">psycholog 2 </v>
      </c>
      <c r="B96" s="165" t="str">
        <f t="shared" si="41"/>
        <v>Červenková</v>
      </c>
      <c r="C96" s="394">
        <f t="shared" si="41"/>
        <v>0.2</v>
      </c>
      <c r="D96" s="166">
        <v>15000</v>
      </c>
      <c r="E96" s="166"/>
      <c r="F96" s="167">
        <f t="shared" si="38"/>
        <v>-15000</v>
      </c>
      <c r="G96" s="168"/>
      <c r="H96" s="168"/>
      <c r="I96" s="169"/>
      <c r="J96" s="170"/>
      <c r="K96" s="171"/>
      <c r="L96" s="171"/>
      <c r="M96" s="170"/>
      <c r="N96" s="172"/>
      <c r="O96" s="173"/>
      <c r="P96" s="170"/>
      <c r="Q96" s="172"/>
      <c r="R96" s="174"/>
      <c r="S96" s="170"/>
      <c r="T96" s="172"/>
      <c r="U96" s="174"/>
      <c r="V96" s="170"/>
      <c r="W96" s="172"/>
      <c r="X96" s="174"/>
    </row>
    <row r="97" spans="1:24" s="164" customFormat="1" outlineLevel="2">
      <c r="A97" s="134" t="str">
        <f t="shared" si="41"/>
        <v xml:space="preserve">psycholog 3 </v>
      </c>
      <c r="B97" s="134">
        <f t="shared" si="41"/>
        <v>0</v>
      </c>
      <c r="C97" s="391">
        <f t="shared" si="41"/>
        <v>0</v>
      </c>
      <c r="D97" s="155">
        <v>0</v>
      </c>
      <c r="E97" s="155"/>
      <c r="F97" s="156">
        <f t="shared" si="38"/>
        <v>0</v>
      </c>
      <c r="G97" s="157"/>
      <c r="H97" s="157"/>
      <c r="I97" s="158"/>
      <c r="J97" s="159"/>
      <c r="K97" s="160"/>
      <c r="L97" s="160"/>
      <c r="M97" s="159"/>
      <c r="N97" s="161"/>
      <c r="O97" s="162"/>
      <c r="P97" s="159"/>
      <c r="Q97" s="161"/>
      <c r="R97" s="163"/>
      <c r="S97" s="159"/>
      <c r="T97" s="161"/>
      <c r="U97" s="163"/>
      <c r="V97" s="159"/>
      <c r="W97" s="161"/>
      <c r="X97" s="163"/>
    </row>
    <row r="98" spans="1:24" outlineLevel="1">
      <c r="A98" s="57" t="s">
        <v>58</v>
      </c>
      <c r="B98" s="57" t="str">
        <f>+B2</f>
        <v>jméno pracovníka</v>
      </c>
      <c r="C98" s="369" t="str">
        <f>+C2</f>
        <v>úvazek</v>
      </c>
      <c r="D98" s="113">
        <f>SUM(D99:D109)*1.34</f>
        <v>513220.00000000006</v>
      </c>
      <c r="E98" s="113">
        <f>SUM(E99:E109)*1.34</f>
        <v>0</v>
      </c>
      <c r="F98" s="114">
        <f>+E98-D98</f>
        <v>-513220.00000000006</v>
      </c>
      <c r="H98" s="16"/>
      <c r="I98" s="40"/>
      <c r="L98" s="82"/>
    </row>
    <row r="99" spans="1:24" outlineLevel="2">
      <c r="A99" s="132" t="str">
        <f>+A28</f>
        <v>psych. sestra 1</v>
      </c>
      <c r="B99" s="132" t="str">
        <f t="shared" ref="B99:C99" si="42">+B28</f>
        <v>Zelenková</v>
      </c>
      <c r="C99" s="389">
        <f t="shared" si="42"/>
        <v>1</v>
      </c>
      <c r="D99" s="93">
        <v>75000</v>
      </c>
      <c r="E99" s="93"/>
      <c r="F99" s="109">
        <f t="shared" ref="F99:F109" si="43">+E99-D99</f>
        <v>-75000</v>
      </c>
      <c r="H99" s="16"/>
      <c r="I99" s="40"/>
      <c r="L99" s="83"/>
    </row>
    <row r="100" spans="1:24" s="175" customFormat="1" outlineLevel="2">
      <c r="A100" s="132" t="str">
        <f t="shared" ref="A100:C109" si="44">+A29</f>
        <v>psych. sestra 2</v>
      </c>
      <c r="B100" s="132" t="str">
        <f t="shared" si="44"/>
        <v>Vondráčková</v>
      </c>
      <c r="C100" s="389">
        <f t="shared" si="44"/>
        <v>1</v>
      </c>
      <c r="D100" s="166">
        <v>58000</v>
      </c>
      <c r="E100" s="93"/>
      <c r="F100" s="167">
        <f t="shared" si="43"/>
        <v>-58000</v>
      </c>
      <c r="G100" s="168"/>
      <c r="H100" s="168"/>
      <c r="I100" s="169"/>
      <c r="J100" s="170"/>
      <c r="K100" s="171"/>
      <c r="L100" s="228"/>
      <c r="M100" s="170"/>
      <c r="N100" s="172"/>
      <c r="O100" s="173"/>
      <c r="P100" s="170"/>
      <c r="Q100" s="172"/>
      <c r="R100" s="174"/>
      <c r="S100" s="170"/>
      <c r="T100" s="172"/>
      <c r="U100" s="174"/>
      <c r="V100" s="170"/>
      <c r="W100" s="172"/>
      <c r="X100" s="174"/>
    </row>
    <row r="101" spans="1:24" s="175" customFormat="1" outlineLevel="2">
      <c r="A101" s="132" t="str">
        <f t="shared" si="44"/>
        <v>psych. sestra 3</v>
      </c>
      <c r="B101" s="132" t="str">
        <f t="shared" si="44"/>
        <v>Nováková</v>
      </c>
      <c r="C101" s="389">
        <f t="shared" si="44"/>
        <v>1</v>
      </c>
      <c r="D101" s="166">
        <v>55000</v>
      </c>
      <c r="E101" s="93"/>
      <c r="F101" s="167">
        <f t="shared" si="43"/>
        <v>-55000</v>
      </c>
      <c r="G101" s="168"/>
      <c r="H101" s="168"/>
      <c r="I101" s="169"/>
      <c r="J101" s="170"/>
      <c r="K101" s="171"/>
      <c r="L101" s="228"/>
      <c r="M101" s="170"/>
      <c r="N101" s="172"/>
      <c r="O101" s="173"/>
      <c r="P101" s="170"/>
      <c r="Q101" s="172"/>
      <c r="R101" s="174"/>
      <c r="S101" s="170"/>
      <c r="T101" s="172"/>
      <c r="U101" s="174"/>
      <c r="V101" s="170"/>
      <c r="W101" s="172"/>
      <c r="X101" s="174"/>
    </row>
    <row r="102" spans="1:24" s="175" customFormat="1" outlineLevel="2">
      <c r="A102" s="132" t="str">
        <f t="shared" si="44"/>
        <v>psych. sestra 4</v>
      </c>
      <c r="B102" s="132" t="str">
        <f t="shared" si="44"/>
        <v>Dušková</v>
      </c>
      <c r="C102" s="389">
        <f t="shared" si="44"/>
        <v>1</v>
      </c>
      <c r="D102" s="166">
        <v>55000</v>
      </c>
      <c r="E102" s="93"/>
      <c r="F102" s="167">
        <f t="shared" si="43"/>
        <v>-55000</v>
      </c>
      <c r="G102" s="168"/>
      <c r="H102" s="168"/>
      <c r="I102" s="169"/>
      <c r="J102" s="170"/>
      <c r="K102" s="171"/>
      <c r="L102" s="228"/>
      <c r="M102" s="170"/>
      <c r="N102" s="172"/>
      <c r="O102" s="173"/>
      <c r="P102" s="170"/>
      <c r="Q102" s="172"/>
      <c r="R102" s="174"/>
      <c r="S102" s="170"/>
      <c r="T102" s="172"/>
      <c r="U102" s="174"/>
      <c r="V102" s="170"/>
      <c r="W102" s="172"/>
      <c r="X102" s="174"/>
    </row>
    <row r="103" spans="1:24" s="164" customFormat="1" outlineLevel="2">
      <c r="A103" s="134" t="str">
        <f t="shared" si="44"/>
        <v>psych. sestra 5</v>
      </c>
      <c r="B103" s="134">
        <f t="shared" si="44"/>
        <v>0</v>
      </c>
      <c r="C103" s="391">
        <f t="shared" si="44"/>
        <v>0</v>
      </c>
      <c r="D103" s="155">
        <v>0</v>
      </c>
      <c r="E103" s="155"/>
      <c r="F103" s="156">
        <f t="shared" si="43"/>
        <v>0</v>
      </c>
      <c r="G103" s="157"/>
      <c r="H103" s="157"/>
      <c r="I103" s="158"/>
      <c r="J103" s="159"/>
      <c r="K103" s="160"/>
      <c r="L103" s="296"/>
      <c r="M103" s="159"/>
      <c r="N103" s="161"/>
      <c r="O103" s="162"/>
      <c r="P103" s="159"/>
      <c r="Q103" s="161"/>
      <c r="R103" s="163"/>
      <c r="S103" s="159"/>
      <c r="T103" s="161"/>
      <c r="U103" s="163"/>
      <c r="V103" s="159"/>
      <c r="W103" s="161"/>
      <c r="X103" s="163"/>
    </row>
    <row r="104" spans="1:24" s="175" customFormat="1" outlineLevel="2">
      <c r="A104" s="132" t="str">
        <f t="shared" si="44"/>
        <v>psychiatr 1</v>
      </c>
      <c r="B104" s="132" t="str">
        <f t="shared" si="44"/>
        <v>Suchánková</v>
      </c>
      <c r="C104" s="389">
        <f t="shared" si="44"/>
        <v>0.5</v>
      </c>
      <c r="D104" s="166">
        <f>160000*0.5</f>
        <v>80000</v>
      </c>
      <c r="E104" s="93"/>
      <c r="F104" s="167">
        <f t="shared" si="43"/>
        <v>-80000</v>
      </c>
      <c r="G104" s="168"/>
      <c r="H104" s="168"/>
      <c r="I104" s="169"/>
      <c r="J104" s="170"/>
      <c r="K104" s="171"/>
      <c r="L104" s="228"/>
      <c r="M104" s="170"/>
      <c r="N104" s="172"/>
      <c r="O104" s="173"/>
      <c r="P104" s="170"/>
      <c r="Q104" s="172"/>
      <c r="R104" s="174"/>
      <c r="S104" s="170"/>
      <c r="T104" s="172"/>
      <c r="U104" s="174"/>
      <c r="V104" s="170"/>
      <c r="W104" s="172"/>
      <c r="X104" s="174"/>
    </row>
    <row r="105" spans="1:24" s="164" customFormat="1" outlineLevel="2">
      <c r="A105" s="134" t="str">
        <f t="shared" si="44"/>
        <v xml:space="preserve">psychiatr 2 </v>
      </c>
      <c r="B105" s="134">
        <f t="shared" si="44"/>
        <v>0</v>
      </c>
      <c r="C105" s="391">
        <f t="shared" si="44"/>
        <v>0</v>
      </c>
      <c r="D105" s="155">
        <v>0</v>
      </c>
      <c r="E105" s="155"/>
      <c r="F105" s="156">
        <f t="shared" si="43"/>
        <v>0</v>
      </c>
      <c r="G105" s="157"/>
      <c r="H105" s="157"/>
      <c r="I105" s="158"/>
      <c r="J105" s="159"/>
      <c r="K105" s="160"/>
      <c r="L105" s="296"/>
      <c r="M105" s="159"/>
      <c r="N105" s="161"/>
      <c r="O105" s="162"/>
      <c r="P105" s="159"/>
      <c r="Q105" s="161"/>
      <c r="R105" s="163"/>
      <c r="S105" s="159"/>
      <c r="T105" s="161"/>
      <c r="U105" s="163"/>
      <c r="V105" s="159"/>
      <c r="W105" s="161"/>
      <c r="X105" s="163"/>
    </row>
    <row r="106" spans="1:24" s="164" customFormat="1" outlineLevel="2">
      <c r="A106" s="134" t="str">
        <f t="shared" si="44"/>
        <v>psychiatr 3</v>
      </c>
      <c r="B106" s="134">
        <f t="shared" si="44"/>
        <v>0</v>
      </c>
      <c r="C106" s="391">
        <f t="shared" si="44"/>
        <v>0</v>
      </c>
      <c r="D106" s="155">
        <v>0</v>
      </c>
      <c r="E106" s="155"/>
      <c r="F106" s="156">
        <f t="shared" si="43"/>
        <v>0</v>
      </c>
      <c r="G106" s="157"/>
      <c r="H106" s="157"/>
      <c r="I106" s="158"/>
      <c r="J106" s="159"/>
      <c r="K106" s="160"/>
      <c r="L106" s="296"/>
      <c r="M106" s="159"/>
      <c r="N106" s="161"/>
      <c r="O106" s="162"/>
      <c r="P106" s="159"/>
      <c r="Q106" s="161"/>
      <c r="R106" s="163"/>
      <c r="S106" s="159"/>
      <c r="T106" s="161"/>
      <c r="U106" s="163"/>
      <c r="V106" s="159"/>
      <c r="W106" s="161"/>
      <c r="X106" s="163"/>
    </row>
    <row r="107" spans="1:24" s="78" customFormat="1" outlineLevel="2">
      <c r="A107" s="165" t="str">
        <f t="shared" si="44"/>
        <v>psycholog 1</v>
      </c>
      <c r="B107" s="165" t="str">
        <f t="shared" si="44"/>
        <v>Kliská</v>
      </c>
      <c r="C107" s="394">
        <f t="shared" si="44"/>
        <v>0.2</v>
      </c>
      <c r="D107" s="166">
        <v>20000</v>
      </c>
      <c r="E107" s="93"/>
      <c r="F107" s="167">
        <f t="shared" si="43"/>
        <v>-20000</v>
      </c>
      <c r="G107" s="79"/>
      <c r="H107" s="79"/>
      <c r="I107" s="80"/>
      <c r="J107" s="81"/>
      <c r="K107" s="82"/>
      <c r="L107" s="83"/>
      <c r="M107" s="81"/>
      <c r="N107" s="84"/>
      <c r="O107" s="85"/>
      <c r="P107" s="81"/>
      <c r="Q107" s="84"/>
      <c r="R107" s="86"/>
      <c r="S107" s="81"/>
      <c r="T107" s="84"/>
      <c r="U107" s="86"/>
      <c r="V107" s="81"/>
      <c r="W107" s="84"/>
      <c r="X107" s="86"/>
    </row>
    <row r="108" spans="1:24" s="175" customFormat="1" outlineLevel="2">
      <c r="A108" s="165" t="str">
        <f t="shared" si="44"/>
        <v xml:space="preserve">psycholog 2 </v>
      </c>
      <c r="B108" s="165" t="str">
        <f t="shared" si="44"/>
        <v>Brožek Ľuba</v>
      </c>
      <c r="C108" s="394">
        <f t="shared" si="44"/>
        <v>0.5</v>
      </c>
      <c r="D108" s="166">
        <v>40000</v>
      </c>
      <c r="E108" s="166"/>
      <c r="F108" s="167">
        <f t="shared" si="43"/>
        <v>-40000</v>
      </c>
      <c r="G108" s="168"/>
      <c r="H108" s="168"/>
      <c r="I108" s="169"/>
      <c r="J108" s="170"/>
      <c r="K108" s="171"/>
      <c r="L108" s="228"/>
      <c r="M108" s="170"/>
      <c r="N108" s="172"/>
      <c r="O108" s="173"/>
      <c r="P108" s="170"/>
      <c r="Q108" s="172"/>
      <c r="R108" s="174"/>
      <c r="S108" s="170"/>
      <c r="T108" s="172"/>
      <c r="U108" s="174"/>
      <c r="V108" s="170"/>
      <c r="W108" s="172"/>
      <c r="X108" s="174"/>
    </row>
    <row r="109" spans="1:24" s="164" customFormat="1" outlineLevel="2">
      <c r="A109" s="134" t="str">
        <f t="shared" si="44"/>
        <v xml:space="preserve">psycholog 3 </v>
      </c>
      <c r="B109" s="134">
        <f t="shared" si="44"/>
        <v>0</v>
      </c>
      <c r="C109" s="391">
        <f t="shared" si="44"/>
        <v>0</v>
      </c>
      <c r="D109" s="155">
        <v>0</v>
      </c>
      <c r="E109" s="155"/>
      <c r="F109" s="156">
        <f t="shared" si="43"/>
        <v>0</v>
      </c>
      <c r="G109" s="157"/>
      <c r="H109" s="157"/>
      <c r="I109" s="158"/>
      <c r="J109" s="159"/>
      <c r="K109" s="160"/>
      <c r="L109" s="296"/>
      <c r="M109" s="159"/>
      <c r="N109" s="161"/>
      <c r="O109" s="162"/>
      <c r="P109" s="159"/>
      <c r="Q109" s="161"/>
      <c r="R109" s="163"/>
      <c r="S109" s="159"/>
      <c r="T109" s="161"/>
      <c r="U109" s="163"/>
      <c r="V109" s="159"/>
      <c r="W109" s="161"/>
      <c r="X109" s="163"/>
    </row>
    <row r="110" spans="1:24" outlineLevel="1">
      <c r="A110" s="50" t="s">
        <v>60</v>
      </c>
      <c r="B110" s="50" t="str">
        <f>+B2</f>
        <v>jméno pracovníka</v>
      </c>
      <c r="C110" s="50" t="str">
        <f>+C2</f>
        <v>úvazek</v>
      </c>
      <c r="D110" s="115">
        <f>SUM(D111:D121)*1.34</f>
        <v>359120</v>
      </c>
      <c r="E110" s="115">
        <f>SUM(E111:E121)*1.34</f>
        <v>0</v>
      </c>
      <c r="F110" s="116">
        <f>+E110-D110</f>
        <v>-359120</v>
      </c>
      <c r="H110" s="16"/>
      <c r="I110" s="40"/>
    </row>
    <row r="111" spans="1:24" s="164" customFormat="1" outlineLevel="2">
      <c r="A111" s="165" t="str">
        <f>+A40</f>
        <v>všeob. sestra 1</v>
      </c>
      <c r="B111" s="165" t="str">
        <f t="shared" ref="B111:C111" si="45">+B40</f>
        <v>Kopecká</v>
      </c>
      <c r="C111" s="394">
        <f t="shared" si="45"/>
        <v>0.6</v>
      </c>
      <c r="D111" s="417">
        <v>28000</v>
      </c>
      <c r="E111" s="166"/>
      <c r="F111" s="167">
        <f t="shared" ref="F111:F139" si="46">+E111-D111</f>
        <v>-28000</v>
      </c>
      <c r="G111" s="157"/>
      <c r="H111" s="157"/>
      <c r="I111" s="157"/>
      <c r="J111" s="159"/>
      <c r="K111" s="160"/>
      <c r="L111" s="296"/>
      <c r="M111" s="159"/>
      <c r="N111" s="161"/>
      <c r="O111" s="162"/>
      <c r="P111" s="159"/>
      <c r="Q111" s="161"/>
      <c r="R111" s="163"/>
      <c r="S111" s="159"/>
      <c r="T111" s="161"/>
      <c r="U111" s="163"/>
      <c r="V111" s="159"/>
      <c r="W111" s="161"/>
      <c r="X111" s="163"/>
    </row>
    <row r="112" spans="1:24" s="175" customFormat="1" outlineLevel="2">
      <c r="A112" s="165" t="str">
        <f t="shared" ref="A112:C121" si="47">+A41</f>
        <v>psych. sestra 2</v>
      </c>
      <c r="B112" s="165" t="str">
        <f t="shared" si="47"/>
        <v>Prajzová</v>
      </c>
      <c r="C112" s="394">
        <f t="shared" si="47"/>
        <v>1</v>
      </c>
      <c r="D112" s="166">
        <v>55000</v>
      </c>
      <c r="E112" s="166"/>
      <c r="F112" s="167">
        <f t="shared" si="46"/>
        <v>-55000</v>
      </c>
      <c r="G112" s="168"/>
      <c r="H112" s="168"/>
      <c r="I112" s="169"/>
      <c r="J112" s="170"/>
      <c r="K112" s="171"/>
      <c r="L112" s="228"/>
      <c r="M112" s="170"/>
      <c r="N112" s="172"/>
      <c r="O112" s="173"/>
      <c r="P112" s="170"/>
      <c r="Q112" s="172"/>
      <c r="R112" s="174"/>
      <c r="S112" s="170"/>
      <c r="T112" s="172"/>
      <c r="U112" s="174"/>
      <c r="V112" s="170"/>
      <c r="W112" s="172"/>
      <c r="X112" s="174"/>
    </row>
    <row r="113" spans="1:24" s="175" customFormat="1" outlineLevel="2">
      <c r="A113" s="165" t="str">
        <f t="shared" si="47"/>
        <v>psych. sestra 3</v>
      </c>
      <c r="B113" s="324" t="str">
        <f t="shared" si="47"/>
        <v>Mašková</v>
      </c>
      <c r="C113" s="394">
        <f t="shared" si="47"/>
        <v>1</v>
      </c>
      <c r="D113" s="298">
        <v>55000</v>
      </c>
      <c r="E113" s="166"/>
      <c r="F113" s="167">
        <f t="shared" si="46"/>
        <v>-55000</v>
      </c>
      <c r="G113" s="168"/>
      <c r="H113" s="168"/>
      <c r="I113" s="169"/>
      <c r="J113" s="170"/>
      <c r="K113" s="171"/>
      <c r="L113" s="228"/>
      <c r="M113" s="170"/>
      <c r="N113" s="172"/>
      <c r="O113" s="173"/>
      <c r="P113" s="170"/>
      <c r="Q113" s="172"/>
      <c r="R113" s="174"/>
      <c r="S113" s="170"/>
      <c r="T113" s="172"/>
      <c r="U113" s="174"/>
      <c r="V113" s="170"/>
      <c r="W113" s="172"/>
      <c r="X113" s="174"/>
    </row>
    <row r="114" spans="1:24" s="175" customFormat="1" outlineLevel="2">
      <c r="A114" s="165" t="str">
        <f t="shared" si="47"/>
        <v>psych. sestra 4</v>
      </c>
      <c r="B114" s="324" t="str">
        <f t="shared" si="47"/>
        <v>Čechurová</v>
      </c>
      <c r="C114" s="394">
        <f t="shared" si="47"/>
        <v>1</v>
      </c>
      <c r="D114" s="298">
        <v>55000</v>
      </c>
      <c r="E114" s="166"/>
      <c r="F114" s="167">
        <f t="shared" si="46"/>
        <v>-55000</v>
      </c>
      <c r="G114" s="168"/>
      <c r="H114" s="168"/>
      <c r="I114" s="169"/>
      <c r="J114" s="170"/>
      <c r="K114" s="171"/>
      <c r="L114" s="228"/>
      <c r="M114" s="170"/>
      <c r="N114" s="172"/>
      <c r="O114" s="173"/>
      <c r="P114" s="170"/>
      <c r="Q114" s="172"/>
      <c r="R114" s="174"/>
      <c r="S114" s="170"/>
      <c r="T114" s="172"/>
      <c r="U114" s="174"/>
      <c r="V114" s="170"/>
      <c r="W114" s="172"/>
      <c r="X114" s="174"/>
    </row>
    <row r="115" spans="1:24" s="164" customFormat="1" outlineLevel="2">
      <c r="A115" s="134" t="str">
        <f t="shared" si="47"/>
        <v>psych. sestra 5</v>
      </c>
      <c r="B115" s="134">
        <f t="shared" si="47"/>
        <v>0</v>
      </c>
      <c r="C115" s="391">
        <f t="shared" si="47"/>
        <v>0</v>
      </c>
      <c r="D115" s="155">
        <v>0</v>
      </c>
      <c r="E115" s="155"/>
      <c r="F115" s="156">
        <f t="shared" si="46"/>
        <v>0</v>
      </c>
      <c r="G115" s="157"/>
      <c r="H115" s="157"/>
      <c r="I115" s="158"/>
      <c r="J115" s="159"/>
      <c r="K115" s="160"/>
      <c r="L115" s="296"/>
      <c r="M115" s="159"/>
      <c r="N115" s="161"/>
      <c r="O115" s="162"/>
      <c r="P115" s="159"/>
      <c r="Q115" s="161"/>
      <c r="R115" s="163"/>
      <c r="S115" s="159"/>
      <c r="T115" s="161"/>
      <c r="U115" s="163"/>
      <c r="V115" s="159"/>
      <c r="W115" s="161"/>
      <c r="X115" s="163"/>
    </row>
    <row r="116" spans="1:24" s="164" customFormat="1" outlineLevel="2">
      <c r="A116" s="165" t="str">
        <f t="shared" si="47"/>
        <v>psychiatr 1</v>
      </c>
      <c r="B116" s="165" t="str">
        <f t="shared" si="47"/>
        <v>Kútniková</v>
      </c>
      <c r="C116" s="394">
        <f t="shared" si="47"/>
        <v>0.5</v>
      </c>
      <c r="D116" s="166">
        <v>45000</v>
      </c>
      <c r="E116" s="166"/>
      <c r="F116" s="167">
        <f t="shared" si="46"/>
        <v>-45000</v>
      </c>
      <c r="G116" s="157"/>
      <c r="H116" s="157"/>
      <c r="I116" s="157"/>
      <c r="J116" s="159"/>
      <c r="K116" s="160"/>
      <c r="L116" s="296"/>
      <c r="M116" s="159"/>
      <c r="N116" s="161"/>
      <c r="O116" s="162"/>
      <c r="P116" s="159"/>
      <c r="Q116" s="161"/>
      <c r="R116" s="163"/>
      <c r="S116" s="159"/>
      <c r="T116" s="161"/>
      <c r="U116" s="163"/>
      <c r="V116" s="159"/>
      <c r="W116" s="161"/>
      <c r="X116" s="163"/>
    </row>
    <row r="117" spans="1:24" s="164" customFormat="1" outlineLevel="2">
      <c r="A117" s="134" t="str">
        <f t="shared" si="47"/>
        <v xml:space="preserve">psychiatr 2 </v>
      </c>
      <c r="B117" s="134">
        <f t="shared" si="47"/>
        <v>0</v>
      </c>
      <c r="C117" s="391">
        <f t="shared" si="47"/>
        <v>0</v>
      </c>
      <c r="D117" s="155">
        <v>0</v>
      </c>
      <c r="E117" s="155"/>
      <c r="F117" s="156">
        <f t="shared" si="46"/>
        <v>0</v>
      </c>
      <c r="G117" s="157"/>
      <c r="H117" s="157"/>
      <c r="I117" s="158"/>
      <c r="J117" s="159"/>
      <c r="K117" s="160"/>
      <c r="L117" s="296"/>
      <c r="M117" s="159"/>
      <c r="N117" s="161"/>
      <c r="O117" s="162"/>
      <c r="P117" s="159"/>
      <c r="Q117" s="161"/>
      <c r="R117" s="163"/>
      <c r="S117" s="159"/>
      <c r="T117" s="161"/>
      <c r="U117" s="163"/>
      <c r="V117" s="159"/>
      <c r="W117" s="161"/>
      <c r="X117" s="163"/>
    </row>
    <row r="118" spans="1:24" s="164" customFormat="1" outlineLevel="2">
      <c r="A118" s="134" t="str">
        <f t="shared" si="47"/>
        <v>psychiatr 3</v>
      </c>
      <c r="B118" s="134">
        <f t="shared" si="47"/>
        <v>0</v>
      </c>
      <c r="C118" s="391">
        <f t="shared" si="47"/>
        <v>0</v>
      </c>
      <c r="D118" s="155">
        <v>0</v>
      </c>
      <c r="E118" s="155"/>
      <c r="F118" s="156">
        <f t="shared" si="46"/>
        <v>0</v>
      </c>
      <c r="G118" s="157"/>
      <c r="H118" s="157"/>
      <c r="I118" s="158"/>
      <c r="J118" s="159"/>
      <c r="K118" s="160"/>
      <c r="L118" s="296"/>
      <c r="M118" s="159"/>
      <c r="N118" s="161"/>
      <c r="O118" s="162"/>
      <c r="P118" s="159"/>
      <c r="Q118" s="161"/>
      <c r="R118" s="163"/>
      <c r="S118" s="159"/>
      <c r="T118" s="161"/>
      <c r="U118" s="163"/>
      <c r="V118" s="159"/>
      <c r="W118" s="161"/>
      <c r="X118" s="163"/>
    </row>
    <row r="119" spans="1:24" s="164" customFormat="1" outlineLevel="2">
      <c r="A119" s="165" t="str">
        <f t="shared" si="47"/>
        <v>psycholog 1</v>
      </c>
      <c r="B119" s="165" t="str">
        <f t="shared" si="47"/>
        <v>Lichtenbergová</v>
      </c>
      <c r="C119" s="394">
        <f t="shared" si="47"/>
        <v>0.5</v>
      </c>
      <c r="D119" s="166">
        <v>30000</v>
      </c>
      <c r="E119" s="166"/>
      <c r="F119" s="167">
        <f t="shared" si="46"/>
        <v>-30000</v>
      </c>
      <c r="G119" s="157"/>
      <c r="H119" s="157"/>
      <c r="I119" s="157"/>
      <c r="J119" s="159"/>
      <c r="K119" s="160"/>
      <c r="L119" s="296"/>
      <c r="M119" s="159"/>
      <c r="N119" s="161"/>
      <c r="O119" s="162"/>
      <c r="P119" s="159"/>
      <c r="Q119" s="161"/>
      <c r="R119" s="163"/>
      <c r="S119" s="159"/>
      <c r="T119" s="161"/>
      <c r="U119" s="163"/>
      <c r="V119" s="159"/>
      <c r="W119" s="161"/>
      <c r="X119" s="163"/>
    </row>
    <row r="120" spans="1:24" s="164" customFormat="1" outlineLevel="2">
      <c r="A120" s="134" t="str">
        <f t="shared" si="47"/>
        <v xml:space="preserve">psycholog 2 </v>
      </c>
      <c r="B120" s="134">
        <f t="shared" si="47"/>
        <v>0</v>
      </c>
      <c r="C120" s="391">
        <f t="shared" si="47"/>
        <v>0</v>
      </c>
      <c r="D120" s="155">
        <v>0</v>
      </c>
      <c r="E120" s="155"/>
      <c r="F120" s="156">
        <f t="shared" si="46"/>
        <v>0</v>
      </c>
      <c r="G120" s="157"/>
      <c r="H120" s="157"/>
      <c r="I120" s="158"/>
      <c r="J120" s="159"/>
      <c r="K120" s="160"/>
      <c r="L120" s="296"/>
      <c r="M120" s="159"/>
      <c r="N120" s="161"/>
      <c r="O120" s="162"/>
      <c r="P120" s="159"/>
      <c r="Q120" s="161"/>
      <c r="R120" s="163"/>
      <c r="S120" s="159"/>
      <c r="T120" s="161"/>
      <c r="U120" s="163"/>
      <c r="V120" s="159"/>
      <c r="W120" s="161"/>
      <c r="X120" s="163"/>
    </row>
    <row r="121" spans="1:24" s="164" customFormat="1" outlineLevel="2">
      <c r="A121" s="134" t="str">
        <f t="shared" si="47"/>
        <v xml:space="preserve">psycholog 3 </v>
      </c>
      <c r="B121" s="134">
        <f t="shared" si="47"/>
        <v>0</v>
      </c>
      <c r="C121" s="391">
        <f t="shared" si="47"/>
        <v>0</v>
      </c>
      <c r="D121" s="155">
        <v>0</v>
      </c>
      <c r="E121" s="155"/>
      <c r="F121" s="156">
        <f t="shared" si="46"/>
        <v>0</v>
      </c>
      <c r="G121" s="157"/>
      <c r="H121" s="157"/>
      <c r="I121" s="158"/>
      <c r="J121" s="159"/>
      <c r="K121" s="160"/>
      <c r="L121" s="296"/>
      <c r="M121" s="159"/>
      <c r="N121" s="161"/>
      <c r="O121" s="162"/>
      <c r="P121" s="159"/>
      <c r="Q121" s="161"/>
      <c r="R121" s="163"/>
      <c r="S121" s="159"/>
      <c r="T121" s="161"/>
      <c r="U121" s="163"/>
      <c r="V121" s="159"/>
      <c r="W121" s="161"/>
      <c r="X121" s="163"/>
    </row>
    <row r="122" spans="1:24" outlineLevel="1">
      <c r="A122" s="135" t="s">
        <v>62</v>
      </c>
      <c r="B122" s="135" t="str">
        <f>+B2</f>
        <v>jméno pracovníka</v>
      </c>
      <c r="C122" s="135" t="str">
        <f>+C2</f>
        <v>úvazek</v>
      </c>
      <c r="D122" s="117">
        <f>SUM(D123:D124)*1.34</f>
        <v>0</v>
      </c>
      <c r="E122" s="117">
        <f>SUM(E123:E124)*1.34</f>
        <v>0</v>
      </c>
      <c r="F122" s="118">
        <f t="shared" si="46"/>
        <v>0</v>
      </c>
      <c r="H122" s="16"/>
      <c r="I122" s="40"/>
    </row>
    <row r="123" spans="1:24" outlineLevel="2">
      <c r="A123" s="134" t="str">
        <f>+A52</f>
        <v>psych. sestra 1</v>
      </c>
      <c r="B123" s="134"/>
      <c r="C123" s="367"/>
      <c r="D123" s="155">
        <v>0</v>
      </c>
      <c r="E123" s="155">
        <v>0</v>
      </c>
      <c r="F123" s="156">
        <f t="shared" si="46"/>
        <v>0</v>
      </c>
      <c r="H123" s="16"/>
      <c r="I123" s="40"/>
    </row>
    <row r="124" spans="1:24" s="78" customFormat="1" outlineLevel="2">
      <c r="A124" s="134" t="str">
        <f>+A53</f>
        <v>psych. sestra 2</v>
      </c>
      <c r="B124" s="134"/>
      <c r="C124" s="367"/>
      <c r="D124" s="95">
        <v>0</v>
      </c>
      <c r="E124" s="95">
        <v>0</v>
      </c>
      <c r="F124" s="110">
        <f t="shared" si="46"/>
        <v>0</v>
      </c>
      <c r="G124" s="79"/>
      <c r="H124" s="79"/>
      <c r="I124" s="80"/>
      <c r="J124" s="81"/>
      <c r="K124" s="82"/>
      <c r="L124" s="83"/>
      <c r="M124" s="81"/>
      <c r="N124" s="84"/>
      <c r="O124" s="85"/>
      <c r="P124" s="81"/>
      <c r="Q124" s="84"/>
      <c r="R124" s="86"/>
      <c r="S124" s="81"/>
      <c r="T124" s="84"/>
      <c r="U124" s="86"/>
      <c r="V124" s="81"/>
      <c r="W124" s="84"/>
      <c r="X124" s="86"/>
    </row>
    <row r="125" spans="1:24" outlineLevel="1">
      <c r="A125" s="136" t="s">
        <v>63</v>
      </c>
      <c r="B125" s="136" t="str">
        <f>+B2</f>
        <v>jméno pracovníka</v>
      </c>
      <c r="C125" s="136" t="str">
        <f>+C2</f>
        <v>úvazek</v>
      </c>
      <c r="D125" s="120">
        <f>SUM(D126:D127)*1.34</f>
        <v>0</v>
      </c>
      <c r="E125" s="120">
        <f>SUM(E126:E127)*1.34</f>
        <v>0</v>
      </c>
      <c r="F125" s="121">
        <f t="shared" si="46"/>
        <v>0</v>
      </c>
      <c r="H125" s="16"/>
      <c r="I125" s="40"/>
    </row>
    <row r="126" spans="1:24" s="164" customFormat="1" outlineLevel="2">
      <c r="A126" s="134" t="str">
        <f>+A55</f>
        <v>psych. sestra 1</v>
      </c>
      <c r="B126" s="134">
        <f t="shared" ref="B126:C127" si="48">+B55</f>
        <v>0</v>
      </c>
      <c r="C126" s="391">
        <f t="shared" si="48"/>
        <v>0</v>
      </c>
      <c r="D126" s="155">
        <v>0</v>
      </c>
      <c r="E126" s="155"/>
      <c r="F126" s="156">
        <f t="shared" si="46"/>
        <v>0</v>
      </c>
      <c r="G126" s="157"/>
      <c r="H126" s="157"/>
      <c r="I126" s="158"/>
      <c r="J126" s="159"/>
      <c r="K126" s="160"/>
      <c r="L126" s="296"/>
      <c r="M126" s="159"/>
      <c r="N126" s="161"/>
      <c r="O126" s="162"/>
      <c r="P126" s="159"/>
      <c r="Q126" s="161"/>
      <c r="R126" s="163"/>
      <c r="S126" s="159"/>
      <c r="T126" s="161"/>
      <c r="U126" s="163"/>
      <c r="V126" s="159"/>
      <c r="W126" s="161"/>
      <c r="X126" s="163"/>
    </row>
    <row r="127" spans="1:24" s="78" customFormat="1" outlineLevel="2">
      <c r="A127" s="134" t="str">
        <f>+A56</f>
        <v>psych. sestra 2</v>
      </c>
      <c r="B127" s="134">
        <f t="shared" si="48"/>
        <v>0</v>
      </c>
      <c r="C127" s="391">
        <f t="shared" si="48"/>
        <v>0</v>
      </c>
      <c r="D127" s="95"/>
      <c r="E127" s="95"/>
      <c r="F127" s="110">
        <f t="shared" si="46"/>
        <v>0</v>
      </c>
      <c r="G127" s="79"/>
      <c r="H127" s="79"/>
      <c r="I127" s="80"/>
      <c r="J127" s="81"/>
      <c r="K127" s="82"/>
      <c r="L127" s="83"/>
      <c r="M127" s="81"/>
      <c r="N127" s="84"/>
      <c r="O127" s="85"/>
      <c r="P127" s="81"/>
      <c r="Q127" s="84"/>
      <c r="R127" s="86"/>
      <c r="S127" s="81"/>
      <c r="T127" s="84"/>
      <c r="U127" s="86"/>
      <c r="V127" s="81"/>
      <c r="W127" s="84"/>
      <c r="X127" s="86"/>
    </row>
    <row r="128" spans="1:24" outlineLevel="1">
      <c r="A128" s="202" t="s">
        <v>64</v>
      </c>
      <c r="B128" s="202" t="str">
        <f>+B2</f>
        <v>jméno pracovníka</v>
      </c>
      <c r="C128" s="202" t="str">
        <f>+C2</f>
        <v>úvazek</v>
      </c>
      <c r="D128" s="203">
        <f>SUM(D129:D130)*1.34</f>
        <v>0</v>
      </c>
      <c r="E128" s="203">
        <f>SUM(E129:E130)*1.34</f>
        <v>0</v>
      </c>
      <c r="F128" s="204">
        <f t="shared" si="46"/>
        <v>0</v>
      </c>
      <c r="H128" s="16"/>
      <c r="I128" s="40"/>
    </row>
    <row r="129" spans="1:24" s="78" customFormat="1" outlineLevel="2">
      <c r="A129" s="134" t="str">
        <f t="shared" ref="A129:C130" si="49">+A58</f>
        <v>psych. sestra 1</v>
      </c>
      <c r="B129" s="134">
        <f t="shared" si="49"/>
        <v>0</v>
      </c>
      <c r="C129" s="391">
        <f t="shared" si="49"/>
        <v>0</v>
      </c>
      <c r="D129" s="155">
        <v>0</v>
      </c>
      <c r="E129" s="95"/>
      <c r="F129" s="110">
        <f t="shared" si="46"/>
        <v>0</v>
      </c>
      <c r="G129" s="79"/>
      <c r="H129" s="79"/>
      <c r="I129" s="80"/>
      <c r="J129" s="81"/>
      <c r="K129" s="82"/>
      <c r="L129" s="83"/>
      <c r="M129" s="81"/>
      <c r="N129" s="84"/>
      <c r="O129" s="85"/>
      <c r="P129" s="81"/>
      <c r="Q129" s="84"/>
      <c r="R129" s="86"/>
      <c r="S129" s="81"/>
      <c r="T129" s="84"/>
      <c r="U129" s="86"/>
      <c r="V129" s="81"/>
      <c r="W129" s="84"/>
      <c r="X129" s="86"/>
    </row>
    <row r="130" spans="1:24" s="78" customFormat="1" outlineLevel="2">
      <c r="A130" s="134" t="str">
        <f t="shared" si="49"/>
        <v>psych. sestra 2</v>
      </c>
      <c r="B130" s="134">
        <f t="shared" si="49"/>
        <v>0</v>
      </c>
      <c r="C130" s="391">
        <f t="shared" si="49"/>
        <v>0</v>
      </c>
      <c r="D130" s="155">
        <v>0</v>
      </c>
      <c r="E130" s="95"/>
      <c r="F130" s="110">
        <f t="shared" si="46"/>
        <v>0</v>
      </c>
      <c r="G130" s="79"/>
      <c r="H130" s="79"/>
      <c r="I130" s="80"/>
      <c r="J130" s="81"/>
      <c r="K130" s="82"/>
      <c r="L130" s="83"/>
      <c r="M130" s="81"/>
      <c r="N130" s="84"/>
      <c r="O130" s="85"/>
      <c r="P130" s="81"/>
      <c r="Q130" s="84"/>
      <c r="R130" s="86"/>
      <c r="S130" s="81"/>
      <c r="T130" s="84"/>
      <c r="U130" s="86"/>
      <c r="V130" s="81"/>
      <c r="W130" s="84"/>
      <c r="X130" s="86"/>
    </row>
    <row r="131" spans="1:24" outlineLevel="1">
      <c r="A131" s="202" t="s">
        <v>65</v>
      </c>
      <c r="B131" s="202" t="str">
        <f>+B2</f>
        <v>jméno pracovníka</v>
      </c>
      <c r="C131" s="202" t="str">
        <f>+C2</f>
        <v>úvazek</v>
      </c>
      <c r="D131" s="203">
        <f>SUM(D132:D139)*1.34</f>
        <v>308870</v>
      </c>
      <c r="E131" s="203">
        <f>SUM(E132:E139)*1.34</f>
        <v>0</v>
      </c>
      <c r="F131" s="204">
        <f t="shared" si="46"/>
        <v>-308870</v>
      </c>
      <c r="H131" s="16"/>
      <c r="I131" s="40"/>
    </row>
    <row r="132" spans="1:24" s="175" customFormat="1" outlineLevel="2">
      <c r="A132" s="165" t="str">
        <f>+A61</f>
        <v>všeob. sestra 1</v>
      </c>
      <c r="B132" s="165" t="str">
        <f t="shared" ref="B132:C132" si="50">+B61</f>
        <v>Pekárová</v>
      </c>
      <c r="C132" s="394">
        <f t="shared" si="50"/>
        <v>1</v>
      </c>
      <c r="D132" s="166">
        <v>52000</v>
      </c>
      <c r="E132" s="166"/>
      <c r="F132" s="167">
        <f t="shared" si="46"/>
        <v>-52000</v>
      </c>
      <c r="G132" s="168"/>
      <c r="H132" s="168"/>
      <c r="I132" s="169"/>
      <c r="J132" s="170"/>
      <c r="K132" s="171"/>
      <c r="L132" s="228"/>
      <c r="M132" s="170"/>
      <c r="N132" s="172"/>
      <c r="O132" s="173"/>
      <c r="P132" s="170"/>
      <c r="Q132" s="172"/>
      <c r="R132" s="174"/>
      <c r="S132" s="170"/>
      <c r="T132" s="172"/>
      <c r="U132" s="174"/>
      <c r="V132" s="170"/>
      <c r="W132" s="172"/>
      <c r="X132" s="174"/>
    </row>
    <row r="133" spans="1:24" s="175" customFormat="1" outlineLevel="2">
      <c r="A133" s="165" t="str">
        <f t="shared" ref="A133:C139" si="51">+A62</f>
        <v>psychiatr 1</v>
      </c>
      <c r="B133" s="165" t="str">
        <f t="shared" si="51"/>
        <v>Dorofeev</v>
      </c>
      <c r="C133" s="394">
        <f t="shared" si="51"/>
        <v>0.5</v>
      </c>
      <c r="D133" s="166">
        <v>37500</v>
      </c>
      <c r="E133" s="166"/>
      <c r="F133" s="167">
        <f t="shared" si="46"/>
        <v>-37500</v>
      </c>
      <c r="G133" s="168"/>
      <c r="H133" s="168"/>
      <c r="I133" s="169"/>
      <c r="J133" s="170"/>
      <c r="K133" s="171"/>
      <c r="L133" s="228"/>
      <c r="M133" s="170"/>
      <c r="N133" s="172"/>
      <c r="O133" s="173"/>
      <c r="P133" s="170"/>
      <c r="Q133" s="172"/>
      <c r="R133" s="174"/>
      <c r="S133" s="170"/>
      <c r="T133" s="172"/>
      <c r="U133" s="174"/>
      <c r="V133" s="170"/>
      <c r="W133" s="172"/>
      <c r="X133" s="174"/>
    </row>
    <row r="134" spans="1:24" s="175" customFormat="1" outlineLevel="2">
      <c r="A134" s="165" t="str">
        <f t="shared" si="51"/>
        <v>psych.sestra 1</v>
      </c>
      <c r="B134" s="165" t="str">
        <f t="shared" si="51"/>
        <v>Kašpárková</v>
      </c>
      <c r="C134" s="394">
        <f t="shared" si="51"/>
        <v>1</v>
      </c>
      <c r="D134" s="166">
        <v>65000</v>
      </c>
      <c r="E134" s="166"/>
      <c r="F134" s="167">
        <f t="shared" si="46"/>
        <v>-65000</v>
      </c>
      <c r="G134" s="168"/>
      <c r="H134" s="168"/>
      <c r="I134" s="169"/>
      <c r="J134" s="170"/>
      <c r="K134" s="171"/>
      <c r="L134" s="228"/>
      <c r="M134" s="170"/>
      <c r="N134" s="172"/>
      <c r="O134" s="173"/>
      <c r="P134" s="170"/>
      <c r="Q134" s="172"/>
      <c r="R134" s="174"/>
      <c r="S134" s="170"/>
      <c r="T134" s="172"/>
      <c r="U134" s="174"/>
      <c r="V134" s="170"/>
      <c r="W134" s="172"/>
      <c r="X134" s="174"/>
    </row>
    <row r="135" spans="1:24" s="175" customFormat="1" outlineLevel="2">
      <c r="A135" s="165" t="str">
        <f t="shared" si="51"/>
        <v>psycholog 1</v>
      </c>
      <c r="B135" s="165" t="str">
        <f t="shared" si="51"/>
        <v>Jakovcová</v>
      </c>
      <c r="C135" s="394">
        <f t="shared" si="51"/>
        <v>0.2</v>
      </c>
      <c r="D135" s="166">
        <v>12000</v>
      </c>
      <c r="E135" s="166"/>
      <c r="F135" s="167">
        <f t="shared" si="46"/>
        <v>-12000</v>
      </c>
      <c r="G135" s="168"/>
      <c r="H135" s="168"/>
      <c r="I135" s="169"/>
      <c r="J135" s="170"/>
      <c r="K135" s="171"/>
      <c r="L135" s="228"/>
      <c r="M135" s="170"/>
      <c r="N135" s="172"/>
      <c r="O135" s="173"/>
      <c r="P135" s="170"/>
      <c r="Q135" s="172"/>
      <c r="R135" s="174"/>
      <c r="S135" s="170"/>
      <c r="T135" s="172"/>
      <c r="U135" s="174"/>
      <c r="V135" s="170"/>
      <c r="W135" s="172"/>
      <c r="X135" s="174"/>
    </row>
    <row r="136" spans="1:24" s="175" customFormat="1" outlineLevel="2">
      <c r="A136" s="165" t="str">
        <f t="shared" si="51"/>
        <v xml:space="preserve">psycholog 2 </v>
      </c>
      <c r="B136" s="165" t="str">
        <f t="shared" si="51"/>
        <v>Balko</v>
      </c>
      <c r="C136" s="394">
        <f t="shared" si="51"/>
        <v>0.3</v>
      </c>
      <c r="D136" s="166">
        <f>80000*0.3</f>
        <v>24000</v>
      </c>
      <c r="E136" s="166"/>
      <c r="F136" s="167">
        <f t="shared" si="46"/>
        <v>-24000</v>
      </c>
      <c r="G136" s="168"/>
      <c r="H136" s="168"/>
      <c r="I136" s="168"/>
      <c r="J136" s="170"/>
      <c r="K136" s="171"/>
      <c r="L136" s="228"/>
      <c r="M136" s="170"/>
      <c r="N136" s="172"/>
      <c r="O136" s="173"/>
      <c r="P136" s="170"/>
      <c r="Q136" s="172"/>
      <c r="R136" s="174"/>
      <c r="S136" s="170"/>
      <c r="T136" s="172"/>
      <c r="U136" s="174"/>
      <c r="V136" s="170"/>
      <c r="W136" s="172"/>
      <c r="X136" s="174"/>
    </row>
    <row r="137" spans="1:24" s="175" customFormat="1" outlineLevel="2">
      <c r="A137" s="165" t="str">
        <f t="shared" si="51"/>
        <v xml:space="preserve">psychiatr 2 </v>
      </c>
      <c r="B137" s="324" t="str">
        <f t="shared" si="51"/>
        <v>Štětinová</v>
      </c>
      <c r="C137" s="394">
        <f t="shared" si="51"/>
        <v>0.5</v>
      </c>
      <c r="D137" s="298">
        <v>40000</v>
      </c>
      <c r="E137" s="166"/>
      <c r="F137" s="167">
        <f t="shared" si="46"/>
        <v>-40000</v>
      </c>
      <c r="G137" s="168"/>
      <c r="H137" s="168"/>
      <c r="I137" s="169"/>
      <c r="J137" s="170"/>
      <c r="K137" s="171"/>
      <c r="L137" s="228"/>
      <c r="M137" s="170"/>
      <c r="N137" s="172"/>
      <c r="O137" s="173"/>
      <c r="P137" s="170"/>
      <c r="Q137" s="172"/>
      <c r="R137" s="174"/>
      <c r="S137" s="170"/>
      <c r="T137" s="172"/>
      <c r="U137" s="174"/>
      <c r="V137" s="170"/>
      <c r="W137" s="172"/>
      <c r="X137" s="174"/>
    </row>
    <row r="138" spans="1:24" s="164" customFormat="1" outlineLevel="2">
      <c r="A138" s="134" t="str">
        <f t="shared" si="51"/>
        <v>další pozice</v>
      </c>
      <c r="B138" s="134">
        <f t="shared" si="51"/>
        <v>0</v>
      </c>
      <c r="C138" s="391">
        <f t="shared" si="51"/>
        <v>0</v>
      </c>
      <c r="D138" s="155"/>
      <c r="E138" s="155"/>
      <c r="F138" s="156">
        <f t="shared" si="46"/>
        <v>0</v>
      </c>
      <c r="G138" s="157"/>
      <c r="H138" s="157"/>
      <c r="I138" s="158"/>
      <c r="J138" s="159"/>
      <c r="K138" s="160"/>
      <c r="L138" s="296"/>
      <c r="M138" s="159"/>
      <c r="N138" s="161"/>
      <c r="O138" s="162"/>
      <c r="P138" s="159"/>
      <c r="Q138" s="161"/>
      <c r="R138" s="163"/>
      <c r="S138" s="159"/>
      <c r="T138" s="161"/>
      <c r="U138" s="163"/>
      <c r="V138" s="159"/>
      <c r="W138" s="161"/>
      <c r="X138" s="163"/>
    </row>
    <row r="139" spans="1:24" s="164" customFormat="1" outlineLevel="2">
      <c r="A139" s="134" t="str">
        <f t="shared" si="51"/>
        <v>další pozice</v>
      </c>
      <c r="B139" s="134">
        <f t="shared" si="51"/>
        <v>0</v>
      </c>
      <c r="C139" s="391">
        <f t="shared" si="51"/>
        <v>0</v>
      </c>
      <c r="D139" s="155"/>
      <c r="E139" s="155"/>
      <c r="F139" s="156">
        <f t="shared" si="46"/>
        <v>0</v>
      </c>
      <c r="G139" s="157"/>
      <c r="H139" s="157"/>
      <c r="I139" s="158"/>
      <c r="J139" s="159"/>
      <c r="K139" s="160"/>
      <c r="L139" s="296"/>
      <c r="M139" s="159"/>
      <c r="N139" s="161"/>
      <c r="O139" s="162"/>
      <c r="P139" s="159"/>
      <c r="Q139" s="161"/>
      <c r="R139" s="163"/>
      <c r="S139" s="159"/>
      <c r="T139" s="161"/>
      <c r="U139" s="163"/>
      <c r="V139" s="159"/>
      <c r="W139" s="161"/>
      <c r="X139" s="163"/>
    </row>
    <row r="140" spans="1:24">
      <c r="A140" s="89" t="s">
        <v>66</v>
      </c>
      <c r="B140" s="89"/>
      <c r="C140" s="378"/>
      <c r="D140" s="122">
        <f>SUM(D141:D148)</f>
        <v>625800</v>
      </c>
      <c r="E140" s="122">
        <f>SUM(E141:E148)</f>
        <v>140619.47400000002</v>
      </c>
      <c r="F140" s="123">
        <f>+E140-D140</f>
        <v>-485180.52599999995</v>
      </c>
    </row>
    <row r="141" spans="1:24" outlineLevel="1">
      <c r="A141" s="44" t="s">
        <v>67</v>
      </c>
      <c r="B141" s="44"/>
      <c r="C141" s="366"/>
      <c r="D141" s="141">
        <f>+D3*0.15</f>
        <v>132000</v>
      </c>
      <c r="E141" s="141">
        <f>+E3*0.15</f>
        <v>29691.255000000005</v>
      </c>
      <c r="F141" s="142">
        <f t="shared" ref="F141:F166" si="52">+E141-D141</f>
        <v>-102308.745</v>
      </c>
    </row>
    <row r="142" spans="1:24" outlineLevel="1">
      <c r="A142" s="58" t="s">
        <v>68</v>
      </c>
      <c r="B142" s="58"/>
      <c r="C142" s="368"/>
      <c r="D142" s="141">
        <f>+D15*0.15</f>
        <v>162750</v>
      </c>
      <c r="E142" s="141">
        <f>+E15*0.15</f>
        <v>50299.992000000006</v>
      </c>
      <c r="F142" s="142">
        <f t="shared" si="52"/>
        <v>-112450.008</v>
      </c>
    </row>
    <row r="143" spans="1:24" outlineLevel="1">
      <c r="A143" s="57" t="s">
        <v>69</v>
      </c>
      <c r="B143" s="57"/>
      <c r="C143" s="369"/>
      <c r="D143" s="141">
        <f>+D27*0.15</f>
        <v>162750</v>
      </c>
      <c r="E143" s="141">
        <f>+E27*0.15</f>
        <v>43137.072000000007</v>
      </c>
      <c r="F143" s="142">
        <f t="shared" si="52"/>
        <v>-119612.92799999999</v>
      </c>
    </row>
    <row r="144" spans="1:24" outlineLevel="1">
      <c r="A144" s="50" t="s">
        <v>70</v>
      </c>
      <c r="B144" s="50"/>
      <c r="C144" s="370"/>
      <c r="D144" s="141">
        <f>+D39*0.15</f>
        <v>89250</v>
      </c>
      <c r="E144" s="141">
        <f>+E39*0.15</f>
        <v>11673.75</v>
      </c>
      <c r="F144" s="142">
        <f t="shared" si="52"/>
        <v>-77576.25</v>
      </c>
    </row>
    <row r="145" spans="1:6" outlineLevel="1">
      <c r="A145" s="67" t="s">
        <v>71</v>
      </c>
      <c r="B145" s="67"/>
      <c r="C145" s="371"/>
      <c r="D145" s="141">
        <f>+D51*0.15</f>
        <v>0</v>
      </c>
      <c r="E145" s="141">
        <f>+E51*0.15</f>
        <v>0</v>
      </c>
      <c r="F145" s="142">
        <f t="shared" si="52"/>
        <v>0</v>
      </c>
    </row>
    <row r="146" spans="1:6" outlineLevel="1">
      <c r="A146" s="47" t="s">
        <v>72</v>
      </c>
      <c r="B146" s="47"/>
      <c r="C146" s="372"/>
      <c r="D146" s="141">
        <f>+D54*0.15</f>
        <v>0</v>
      </c>
      <c r="E146" s="141">
        <f>+E54*0.15</f>
        <v>0</v>
      </c>
      <c r="F146" s="142">
        <f t="shared" si="52"/>
        <v>0</v>
      </c>
    </row>
    <row r="147" spans="1:6" outlineLevel="1">
      <c r="A147" s="198" t="s">
        <v>73</v>
      </c>
      <c r="B147" s="198"/>
      <c r="C147" s="374"/>
      <c r="D147" s="141">
        <f>+D57*0.15</f>
        <v>0</v>
      </c>
      <c r="E147" s="141">
        <f>+E57*0.15</f>
        <v>0</v>
      </c>
      <c r="F147" s="142">
        <f t="shared" si="52"/>
        <v>0</v>
      </c>
    </row>
    <row r="148" spans="1:6" outlineLevel="1">
      <c r="A148" s="198" t="s">
        <v>74</v>
      </c>
      <c r="B148" s="198"/>
      <c r="C148" s="374"/>
      <c r="D148" s="141">
        <f>+D60*0.15</f>
        <v>79050</v>
      </c>
      <c r="E148" s="141">
        <f>+E60*0.15</f>
        <v>5817.4049999999997</v>
      </c>
      <c r="F148" s="142">
        <f t="shared" si="52"/>
        <v>-73232.595000000001</v>
      </c>
    </row>
    <row r="149" spans="1:6">
      <c r="A149" s="88" t="s">
        <v>75</v>
      </c>
      <c r="B149" s="88"/>
      <c r="C149" s="379"/>
      <c r="D149" s="124">
        <f>SUM(D150:D157)</f>
        <v>70000</v>
      </c>
      <c r="E149" s="124">
        <f>SUM(E150:E157)</f>
        <v>70000</v>
      </c>
      <c r="F149" s="125">
        <f>+E149-D149</f>
        <v>0</v>
      </c>
    </row>
    <row r="150" spans="1:6" outlineLevel="1">
      <c r="A150" s="44" t="s">
        <v>76</v>
      </c>
      <c r="B150" s="44"/>
      <c r="C150" s="366"/>
      <c r="D150" s="111">
        <v>30000</v>
      </c>
      <c r="E150" s="111">
        <f>+D150</f>
        <v>30000</v>
      </c>
      <c r="F150" s="112">
        <f t="shared" si="52"/>
        <v>0</v>
      </c>
    </row>
    <row r="151" spans="1:6" outlineLevel="1">
      <c r="A151" s="58" t="s">
        <v>77</v>
      </c>
      <c r="B151" s="58"/>
      <c r="C151" s="368"/>
      <c r="D151" s="111">
        <v>20000</v>
      </c>
      <c r="E151" s="111">
        <f t="shared" ref="E151:E157" si="53">+D151</f>
        <v>20000</v>
      </c>
      <c r="F151" s="112">
        <f t="shared" si="52"/>
        <v>0</v>
      </c>
    </row>
    <row r="152" spans="1:6" outlineLevel="1">
      <c r="A152" s="57" t="s">
        <v>78</v>
      </c>
      <c r="B152" s="57"/>
      <c r="C152" s="369"/>
      <c r="D152" s="111">
        <v>20000</v>
      </c>
      <c r="E152" s="111">
        <f t="shared" si="53"/>
        <v>20000</v>
      </c>
      <c r="F152" s="111">
        <f t="shared" si="52"/>
        <v>0</v>
      </c>
    </row>
    <row r="153" spans="1:6" outlineLevel="1">
      <c r="A153" s="50" t="s">
        <v>79</v>
      </c>
      <c r="B153" s="50"/>
      <c r="C153" s="370"/>
      <c r="D153" s="111">
        <v>0</v>
      </c>
      <c r="E153" s="111">
        <f t="shared" si="53"/>
        <v>0</v>
      </c>
      <c r="F153" s="111">
        <f t="shared" si="52"/>
        <v>0</v>
      </c>
    </row>
    <row r="154" spans="1:6" outlineLevel="1">
      <c r="A154" s="67" t="s">
        <v>80</v>
      </c>
      <c r="B154" s="67"/>
      <c r="C154" s="371"/>
      <c r="D154" s="111">
        <v>0</v>
      </c>
      <c r="E154" s="111">
        <f t="shared" si="53"/>
        <v>0</v>
      </c>
      <c r="F154" s="111">
        <f t="shared" si="52"/>
        <v>0</v>
      </c>
    </row>
    <row r="155" spans="1:6" outlineLevel="1">
      <c r="A155" s="47" t="s">
        <v>81</v>
      </c>
      <c r="B155" s="47"/>
      <c r="C155" s="372"/>
      <c r="D155" s="111">
        <v>0</v>
      </c>
      <c r="E155" s="111">
        <f t="shared" si="53"/>
        <v>0</v>
      </c>
      <c r="F155" s="111">
        <f t="shared" si="52"/>
        <v>0</v>
      </c>
    </row>
    <row r="156" spans="1:6" outlineLevel="1">
      <c r="A156" s="198" t="s">
        <v>82</v>
      </c>
      <c r="B156" s="198"/>
      <c r="C156" s="374"/>
      <c r="D156" s="111">
        <v>0</v>
      </c>
      <c r="E156" s="111">
        <f t="shared" si="53"/>
        <v>0</v>
      </c>
      <c r="F156" s="111">
        <f t="shared" si="52"/>
        <v>0</v>
      </c>
    </row>
    <row r="157" spans="1:6" outlineLevel="1">
      <c r="A157" s="198" t="s">
        <v>83</v>
      </c>
      <c r="B157" s="198"/>
      <c r="C157" s="374"/>
      <c r="D157" s="111">
        <v>0</v>
      </c>
      <c r="E157" s="111">
        <f t="shared" si="53"/>
        <v>0</v>
      </c>
      <c r="F157" s="111">
        <f t="shared" si="52"/>
        <v>0</v>
      </c>
    </row>
    <row r="158" spans="1:6">
      <c r="A158" s="150" t="s">
        <v>84</v>
      </c>
      <c r="B158" s="150"/>
      <c r="C158" s="380"/>
      <c r="D158" s="151">
        <f>SUM(D159:D166)</f>
        <v>417200</v>
      </c>
      <c r="E158" s="151">
        <f t="shared" ref="E158" si="54">SUM(E159:E166)</f>
        <v>93746.316000000006</v>
      </c>
      <c r="F158" s="151">
        <f>+E158-D158</f>
        <v>-323453.68400000001</v>
      </c>
    </row>
    <row r="159" spans="1:6" outlineLevel="1">
      <c r="A159" s="44" t="s">
        <v>85</v>
      </c>
      <c r="B159" s="44"/>
      <c r="C159" s="366"/>
      <c r="D159" s="152">
        <f>+D3/10</f>
        <v>88000</v>
      </c>
      <c r="E159" s="152">
        <f>+E3/10</f>
        <v>19794.170000000006</v>
      </c>
      <c r="F159" s="153">
        <f t="shared" si="52"/>
        <v>-68205.829999999987</v>
      </c>
    </row>
    <row r="160" spans="1:6" outlineLevel="1">
      <c r="A160" s="58" t="s">
        <v>86</v>
      </c>
      <c r="B160" s="58"/>
      <c r="C160" s="368"/>
      <c r="D160" s="152">
        <f>+D15/10</f>
        <v>108500</v>
      </c>
      <c r="E160" s="152">
        <f>+E15/10</f>
        <v>33533.328000000001</v>
      </c>
      <c r="F160" s="153">
        <f t="shared" si="52"/>
        <v>-74966.671999999991</v>
      </c>
    </row>
    <row r="161" spans="1:9" outlineLevel="1">
      <c r="A161" s="57" t="s">
        <v>87</v>
      </c>
      <c r="B161" s="57"/>
      <c r="C161" s="369"/>
      <c r="D161" s="152">
        <f>+D27/10</f>
        <v>108500</v>
      </c>
      <c r="E161" s="152">
        <f>+E27/10</f>
        <v>28758.048000000003</v>
      </c>
      <c r="F161" s="152">
        <f t="shared" si="52"/>
        <v>-79741.95199999999</v>
      </c>
    </row>
    <row r="162" spans="1:9" outlineLevel="1">
      <c r="A162" s="50" t="s">
        <v>88</v>
      </c>
      <c r="B162" s="50"/>
      <c r="C162" s="370"/>
      <c r="D162" s="152">
        <f>+D39/10</f>
        <v>59500</v>
      </c>
      <c r="E162" s="152">
        <f>+E39/10</f>
        <v>7782.5</v>
      </c>
      <c r="F162" s="152">
        <f t="shared" si="52"/>
        <v>-51717.5</v>
      </c>
    </row>
    <row r="163" spans="1:9" outlineLevel="1">
      <c r="A163" s="67" t="s">
        <v>89</v>
      </c>
      <c r="B163" s="67"/>
      <c r="C163" s="371"/>
      <c r="D163" s="152">
        <f>+D51/10</f>
        <v>0</v>
      </c>
      <c r="E163" s="152">
        <f>+E51/10</f>
        <v>0</v>
      </c>
      <c r="F163" s="152">
        <f t="shared" si="52"/>
        <v>0</v>
      </c>
    </row>
    <row r="164" spans="1:9" outlineLevel="1">
      <c r="A164" s="47" t="s">
        <v>90</v>
      </c>
      <c r="B164" s="47"/>
      <c r="C164" s="372"/>
      <c r="D164" s="152">
        <f>+D54/10</f>
        <v>0</v>
      </c>
      <c r="E164" s="152">
        <f>+E54/10</f>
        <v>0</v>
      </c>
      <c r="F164" s="152">
        <f t="shared" si="52"/>
        <v>0</v>
      </c>
    </row>
    <row r="165" spans="1:9" outlineLevel="1">
      <c r="A165" s="198" t="s">
        <v>91</v>
      </c>
      <c r="B165" s="198"/>
      <c r="C165" s="374"/>
      <c r="D165" s="152">
        <f>+D57/10</f>
        <v>0</v>
      </c>
      <c r="E165" s="152">
        <f>+E57/10</f>
        <v>0</v>
      </c>
      <c r="F165" s="152">
        <f t="shared" si="52"/>
        <v>0</v>
      </c>
    </row>
    <row r="166" spans="1:9" outlineLevel="1">
      <c r="A166" s="198" t="s">
        <v>92</v>
      </c>
      <c r="B166" s="198"/>
      <c r="C166" s="374"/>
      <c r="D166" s="152">
        <f>+D60/10</f>
        <v>52700</v>
      </c>
      <c r="E166" s="152">
        <f>+E60/10</f>
        <v>3878.2699999999995</v>
      </c>
      <c r="F166" s="152">
        <f t="shared" si="52"/>
        <v>-48821.73</v>
      </c>
    </row>
    <row r="167" spans="1:9" ht="18">
      <c r="A167" s="139" t="s">
        <v>93</v>
      </c>
      <c r="B167" s="139"/>
      <c r="C167" s="381"/>
      <c r="D167" s="126">
        <f t="shared" ref="D167:F168" si="55">+D149+D140+D73+D158</f>
        <v>3265710</v>
      </c>
      <c r="E167" s="126">
        <f t="shared" si="55"/>
        <v>304365.79000000004</v>
      </c>
      <c r="F167" s="126">
        <f t="shared" si="55"/>
        <v>-2961344.21</v>
      </c>
      <c r="G167" s="15"/>
      <c r="H167" s="10"/>
      <c r="I167" s="41"/>
    </row>
    <row r="168" spans="1:9" outlineLevel="1">
      <c r="A168" s="44" t="s">
        <v>94</v>
      </c>
      <c r="B168" s="44"/>
      <c r="C168" s="366"/>
      <c r="D168" s="140">
        <f t="shared" si="55"/>
        <v>739100</v>
      </c>
      <c r="E168" s="140">
        <f t="shared" si="55"/>
        <v>79485.425000000017</v>
      </c>
      <c r="F168" s="140">
        <f t="shared" si="55"/>
        <v>-659614.57500000007</v>
      </c>
      <c r="G168" s="15"/>
      <c r="H168" s="10"/>
      <c r="I168" s="41"/>
    </row>
    <row r="169" spans="1:9" outlineLevel="1">
      <c r="A169" s="58" t="s">
        <v>95</v>
      </c>
      <c r="B169" s="58"/>
      <c r="C169" s="368"/>
      <c r="D169" s="140">
        <f>+D151+D142+D86+D160</f>
        <v>773650</v>
      </c>
      <c r="E169" s="140">
        <f>+E151+E142+E86+E160</f>
        <v>103833.32</v>
      </c>
      <c r="F169" s="140">
        <f>+F151+F142+F86+F160</f>
        <v>-669816.68000000005</v>
      </c>
      <c r="G169" s="15"/>
      <c r="H169" s="10"/>
      <c r="I169" s="41"/>
    </row>
    <row r="170" spans="1:9" outlineLevel="1">
      <c r="A170" s="57" t="s">
        <v>96</v>
      </c>
      <c r="B170" s="57"/>
      <c r="C170" s="369"/>
      <c r="D170" s="140">
        <f>+D152+D143+D98+D161</f>
        <v>804470</v>
      </c>
      <c r="E170" s="140">
        <f>+E152+E143+E98+E161</f>
        <v>91895.12000000001</v>
      </c>
      <c r="F170" s="140">
        <f>+F152+F143+F98+F161</f>
        <v>-712574.88000000012</v>
      </c>
      <c r="G170" s="15"/>
      <c r="H170" s="10"/>
      <c r="I170" s="41"/>
    </row>
    <row r="171" spans="1:9" outlineLevel="1">
      <c r="A171" s="50" t="s">
        <v>97</v>
      </c>
      <c r="B171" s="50"/>
      <c r="C171" s="370"/>
      <c r="D171" s="140">
        <f>+D153+D144+D110+D162</f>
        <v>507870</v>
      </c>
      <c r="E171" s="140">
        <f>+E153+E144+E110+E162</f>
        <v>19456.25</v>
      </c>
      <c r="F171" s="140">
        <f>+F153+F144+F110+F162</f>
        <v>-488413.75</v>
      </c>
      <c r="G171" s="15"/>
      <c r="H171" s="10"/>
      <c r="I171" s="41"/>
    </row>
    <row r="172" spans="1:9" outlineLevel="1">
      <c r="A172" s="67" t="s">
        <v>98</v>
      </c>
      <c r="B172" s="67"/>
      <c r="C172" s="371"/>
      <c r="D172" s="140">
        <f>+D154+D145+D122+D163</f>
        <v>0</v>
      </c>
      <c r="E172" s="140">
        <f>+E154+E145+E122+E163</f>
        <v>0</v>
      </c>
      <c r="F172" s="140">
        <f>+F154+F145+F122+F163</f>
        <v>0</v>
      </c>
      <c r="G172" s="15"/>
      <c r="H172" s="10"/>
      <c r="I172" s="41"/>
    </row>
    <row r="173" spans="1:9" outlineLevel="1">
      <c r="A173" s="47" t="s">
        <v>99</v>
      </c>
      <c r="B173" s="47"/>
      <c r="C173" s="372"/>
      <c r="D173" s="140">
        <f>+D164+D155+D146+D125</f>
        <v>0</v>
      </c>
      <c r="E173" s="140">
        <f>+E164+E155+E146+E125</f>
        <v>0</v>
      </c>
      <c r="F173" s="140">
        <f>+F156+F147+F130+F165</f>
        <v>0</v>
      </c>
      <c r="G173" s="15"/>
      <c r="H173" s="10"/>
      <c r="I173" s="41"/>
    </row>
    <row r="174" spans="1:9" outlineLevel="1">
      <c r="A174" s="198" t="s">
        <v>100</v>
      </c>
      <c r="B174" s="198"/>
      <c r="C174" s="374"/>
      <c r="D174" s="140">
        <f>+D165+D156+D147+D128</f>
        <v>0</v>
      </c>
      <c r="E174" s="140">
        <f>+E165+E156+E147+E128</f>
        <v>0</v>
      </c>
      <c r="F174" s="140">
        <f>+F156+F147+F130+F165</f>
        <v>0</v>
      </c>
      <c r="G174" s="15"/>
      <c r="H174" s="10"/>
      <c r="I174" s="41"/>
    </row>
    <row r="175" spans="1:9" outlineLevel="1">
      <c r="A175" s="198" t="s">
        <v>101</v>
      </c>
      <c r="B175" s="198"/>
      <c r="C175" s="374"/>
      <c r="D175" s="140">
        <f>+D166+D157+D148+D131</f>
        <v>440620</v>
      </c>
      <c r="E175" s="140">
        <f>+E166+E157+E148+E131</f>
        <v>9695.6749999999993</v>
      </c>
      <c r="F175" s="140">
        <f>+F157+F148+F131+F166</f>
        <v>-430924.32499999995</v>
      </c>
      <c r="G175" s="15"/>
      <c r="H175" s="10"/>
      <c r="I175" s="41"/>
    </row>
    <row r="176" spans="1:9">
      <c r="A176" s="7"/>
      <c r="B176" s="7"/>
      <c r="C176" s="382"/>
      <c r="D176" s="127"/>
      <c r="E176" s="127"/>
      <c r="F176" s="128"/>
      <c r="G176" s="15"/>
      <c r="H176" s="10"/>
      <c r="I176" s="41"/>
    </row>
    <row r="177" spans="1:9" ht="15.75">
      <c r="A177" s="177" t="s">
        <v>102</v>
      </c>
      <c r="B177" s="177"/>
      <c r="C177" s="383"/>
      <c r="D177" s="129">
        <f>+D70-D167</f>
        <v>906290</v>
      </c>
      <c r="E177" s="129">
        <f>+E70-E167</f>
        <v>633097.37000000011</v>
      </c>
      <c r="F177" s="129">
        <f>+F70-F167</f>
        <v>-273192.62999999989</v>
      </c>
      <c r="G177" s="19"/>
      <c r="H177" s="20"/>
      <c r="I177" s="42"/>
    </row>
    <row r="178" spans="1:9">
      <c r="A178" s="44" t="s">
        <v>103</v>
      </c>
      <c r="B178" s="44"/>
      <c r="C178" s="366"/>
      <c r="D178" s="178">
        <f>+D3-D168</f>
        <v>140900</v>
      </c>
      <c r="E178" s="178">
        <f>+E3-E168</f>
        <v>118456.27500000002</v>
      </c>
      <c r="F178" s="178">
        <f>+F3-F168</f>
        <v>-22443.724999999977</v>
      </c>
      <c r="G178" s="19"/>
      <c r="H178" s="20"/>
      <c r="I178" s="42"/>
    </row>
    <row r="179" spans="1:9">
      <c r="A179" s="58" t="s">
        <v>104</v>
      </c>
      <c r="B179" s="58"/>
      <c r="C179" s="368"/>
      <c r="D179" s="178">
        <f>+D15-D169</f>
        <v>311350</v>
      </c>
      <c r="E179" s="178">
        <f>+E15-E169</f>
        <v>231499.96000000002</v>
      </c>
      <c r="F179" s="178">
        <f>+F15-F169</f>
        <v>-79850.040000000037</v>
      </c>
      <c r="G179" s="19"/>
      <c r="H179" s="20"/>
      <c r="I179" s="42"/>
    </row>
    <row r="180" spans="1:9">
      <c r="A180" s="57" t="s">
        <v>105</v>
      </c>
      <c r="B180" s="57"/>
      <c r="C180" s="369"/>
      <c r="D180" s="178">
        <f>+D27-D170</f>
        <v>280530</v>
      </c>
      <c r="E180" s="178">
        <f>+E27-E170</f>
        <v>195685.36000000004</v>
      </c>
      <c r="F180" s="178">
        <f>+F27-F170</f>
        <v>-84844.639999999781</v>
      </c>
      <c r="G180" s="19"/>
      <c r="H180" s="20"/>
      <c r="I180" s="42"/>
    </row>
    <row r="181" spans="1:9">
      <c r="A181" s="50" t="s">
        <v>106</v>
      </c>
      <c r="B181" s="50"/>
      <c r="C181" s="370"/>
      <c r="D181" s="178">
        <f>+D39-D171</f>
        <v>87130</v>
      </c>
      <c r="E181" s="178">
        <f>+E39-E171</f>
        <v>58368.75</v>
      </c>
      <c r="F181" s="178">
        <f>+F39-F171</f>
        <v>-28761.25</v>
      </c>
      <c r="G181" s="19"/>
      <c r="H181" s="20"/>
      <c r="I181" s="42"/>
    </row>
    <row r="182" spans="1:9">
      <c r="A182" s="61" t="s">
        <v>107</v>
      </c>
      <c r="B182" s="61"/>
      <c r="C182" s="384"/>
      <c r="D182" s="178">
        <f>+D51-D172</f>
        <v>0</v>
      </c>
      <c r="E182" s="178">
        <f>+E51-E172</f>
        <v>0</v>
      </c>
      <c r="F182" s="178">
        <f>+F51-F172</f>
        <v>0</v>
      </c>
      <c r="G182" s="19"/>
      <c r="H182" s="20"/>
      <c r="I182" s="42"/>
    </row>
    <row r="183" spans="1:9">
      <c r="A183" s="62" t="s">
        <v>108</v>
      </c>
      <c r="B183" s="62"/>
      <c r="C183" s="385"/>
      <c r="D183" s="178">
        <f>+D54-D173</f>
        <v>0</v>
      </c>
      <c r="E183" s="178">
        <f>+E54-E173</f>
        <v>0</v>
      </c>
      <c r="F183" s="178">
        <f>+F59-F174</f>
        <v>0</v>
      </c>
      <c r="G183" s="19"/>
      <c r="H183" s="20"/>
      <c r="I183" s="42"/>
    </row>
    <row r="184" spans="1:9">
      <c r="A184" s="201" t="s">
        <v>109</v>
      </c>
      <c r="B184" s="201"/>
      <c r="C184" s="386"/>
      <c r="D184" s="178">
        <f>+D57-D174</f>
        <v>0</v>
      </c>
      <c r="E184" s="178">
        <f>+E57-E174</f>
        <v>0</v>
      </c>
      <c r="F184" s="178">
        <f>+F59-F174</f>
        <v>0</v>
      </c>
      <c r="G184" s="19"/>
      <c r="H184" s="20"/>
      <c r="I184" s="42"/>
    </row>
    <row r="185" spans="1:9">
      <c r="A185" s="201" t="s">
        <v>110</v>
      </c>
      <c r="B185" s="201"/>
      <c r="C185" s="386"/>
      <c r="D185" s="178">
        <f>+D60-D175</f>
        <v>86380</v>
      </c>
      <c r="E185" s="178">
        <f>+E60-E175</f>
        <v>29087.024999999998</v>
      </c>
      <c r="F185" s="178">
        <f>+F60-F175</f>
        <v>-57292.975000000035</v>
      </c>
      <c r="G185" s="19"/>
      <c r="H185" s="20"/>
      <c r="I185" s="42"/>
    </row>
    <row r="186" spans="1:9">
      <c r="F186" s="131"/>
      <c r="G186" s="21"/>
      <c r="H186" s="22"/>
      <c r="I186" s="43"/>
    </row>
    <row r="187" spans="1:9">
      <c r="A187" s="179" t="s">
        <v>111</v>
      </c>
      <c r="B187" s="179"/>
      <c r="C187" s="388"/>
      <c r="D187" s="180">
        <f>+D70/D167-1</f>
        <v>0.27751698711765593</v>
      </c>
      <c r="E187" s="180">
        <f>+E70/E167-1</f>
        <v>2.0800542991378896</v>
      </c>
    </row>
  </sheetData>
  <mergeCells count="5">
    <mergeCell ref="J1:L1"/>
    <mergeCell ref="M1:O1"/>
    <mergeCell ref="P1:R1"/>
    <mergeCell ref="S1:U1"/>
    <mergeCell ref="V1:X1"/>
  </mergeCells>
  <conditionalFormatting sqref="D178:F185">
    <cfRule type="cellIs" dxfId="1" priority="4" operator="lessThan">
      <formula>0</formula>
    </cfRule>
    <cfRule type="cellIs" dxfId="0" priority="5" operator="greaterThan">
      <formula>0</formula>
    </cfRule>
  </conditionalFormatting>
  <conditionalFormatting sqref="F4:F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{926E7507-16FC-43FC-9C9D-A6FF27C1E561}</x14:id>
        </ext>
      </extLst>
    </cfRule>
  </conditionalFormatting>
  <conditionalFormatting sqref="F16:F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{4AC95E72-1768-45AB-892E-F6A15161E6F9}</x14:id>
        </ext>
      </extLst>
    </cfRule>
  </conditionalFormatting>
  <conditionalFormatting sqref="F28:F3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{0EE5DA5D-4C10-4F82-BA44-918E838BCE26}</x14:id>
        </ext>
      </extLst>
    </cfRule>
  </conditionalFormatting>
  <conditionalFormatting sqref="F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{E5BC4F78-1F8B-4AED-8EBC-07A6F2D9595F}</x14:id>
        </ext>
      </extLst>
    </cfRule>
  </conditionalFormatting>
  <conditionalFormatting sqref="F41:F5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{EFCD57B1-7E7F-4E8F-AE14-EEAE1480A67C}</x14:id>
        </ext>
      </extLst>
    </cfRule>
  </conditionalFormatting>
  <conditionalFormatting sqref="F52:F5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{565E8F65-C2E2-412E-A332-7B05830618F5}</x14:id>
        </ext>
      </extLst>
    </cfRule>
  </conditionalFormatting>
  <conditionalFormatting sqref="F55:F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{DFDBB8C4-AB77-423A-ADFA-A521C2EAE83E}</x14:id>
        </ext>
      </extLst>
    </cfRule>
  </conditionalFormatting>
  <conditionalFormatting sqref="F58:F5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{9426AE75-6D5A-48CD-A28F-7F8A687E50A3}</x14:id>
        </ext>
      </extLst>
    </cfRule>
  </conditionalFormatting>
  <conditionalFormatting sqref="F61:F6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{E347AE2D-7B8C-4A9B-9D47-1077FA3107C3}</x14:id>
        </ext>
      </extLst>
    </cfRule>
  </conditionalFormatting>
  <pageMargins left="0.7" right="0.7" top="0.78740157499999996" bottom="0.78740157499999996" header="0.3" footer="0.3"/>
  <pageSetup paperSize="8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6E7507-16FC-43FC-9C9D-A6FF27C1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F4:F14</xm:sqref>
        </x14:conditionalFormatting>
        <x14:conditionalFormatting xmlns:xm="http://schemas.microsoft.com/office/excel/2006/main">
          <x14:cfRule type="dataBar" id="{4AC95E72-1768-45AB-892E-F6A15161E6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F16:F26</xm:sqref>
        </x14:conditionalFormatting>
        <x14:conditionalFormatting xmlns:xm="http://schemas.microsoft.com/office/excel/2006/main">
          <x14:cfRule type="dataBar" id="{0EE5DA5D-4C10-4F82-BA44-918E838BC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F28:F38</xm:sqref>
        </x14:conditionalFormatting>
        <x14:conditionalFormatting xmlns:xm="http://schemas.microsoft.com/office/excel/2006/main">
          <x14:cfRule type="dataBar" id="{E5BC4F78-1F8B-4AED-8EBC-07A6F2D959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EFCD57B1-7E7F-4E8F-AE14-EEAE1480A6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F41:F50</xm:sqref>
        </x14:conditionalFormatting>
        <x14:conditionalFormatting xmlns:xm="http://schemas.microsoft.com/office/excel/2006/main">
          <x14:cfRule type="dataBar" id="{565E8F65-C2E2-412E-A332-7B05830618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F52:F53</xm:sqref>
        </x14:conditionalFormatting>
        <x14:conditionalFormatting xmlns:xm="http://schemas.microsoft.com/office/excel/2006/main">
          <x14:cfRule type="dataBar" id="{DFDBB8C4-AB77-423A-ADFA-A521C2EAE8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F55:F56</xm:sqref>
        </x14:conditionalFormatting>
        <x14:conditionalFormatting xmlns:xm="http://schemas.microsoft.com/office/excel/2006/main">
          <x14:cfRule type="dataBar" id="{9426AE75-6D5A-48CD-A28F-7F8A687E50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F58:F59</xm:sqref>
        </x14:conditionalFormatting>
        <x14:conditionalFormatting xmlns:xm="http://schemas.microsoft.com/office/excel/2006/main">
          <x14:cfRule type="dataBar" id="{E347AE2D-7B8C-4A9B-9D47-1077FA310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F61:F69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 Krejci</dc:creator>
  <cp:keywords/>
  <dc:description/>
  <cp:lastModifiedBy/>
  <cp:revision/>
  <dcterms:created xsi:type="dcterms:W3CDTF">2025-02-18T10:00:06Z</dcterms:created>
  <dcterms:modified xsi:type="dcterms:W3CDTF">2026-03-11T09:44:31Z</dcterms:modified>
  <cp:category/>
  <cp:contentStatus/>
</cp:coreProperties>
</file>